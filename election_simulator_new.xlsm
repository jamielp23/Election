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workbook.xml" ContentType="application/vnd.ms-excel.sheet.macroEnabled.main+xml"/>
  <Override PartName="/xl/theme/theme1.xml" ContentType="application/vnd.openxmlformats-officedocument.theme+xml"/>
  <Override PartName="/xl/styles.xml" ContentType="application/vnd.openxmlformats-officedocument.spreadsheetml.styles+xml"/>
  <Override PartName="/xl/worksheets/sheet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Simulator" sheetId="1" state="visible" r:id="rId3"/>
    <sheet name="Demographics" sheetId="2" state="visible" r:id="rId4"/>
    <sheet name="Voting History" sheetId="3" state="visible" r:id="rId5"/>
    <sheet name="Polling" sheetId="4" state="visible" r:id="rId6"/>
    <sheet name="Incumbency" sheetId="5" state="visible" r:id="rId7"/>
    <sheet name="Tactical &amp; Candidate" sheetId="6" state="visible" r:id="rId8"/>
    <sheet name="Coalition" sheetId="7" state="visible" r:id="rId9"/>
    <sheet name="Model" sheetId="8" state="visible" r:id="rId10"/>
    <sheet name="Engine" sheetId="9" state="hidden" r:id="rId11"/>
    <sheet name="Monte Carlo" sheetId="10" state="visible" r:id="rId12"/>
    <sheet name="Methodology" sheetId="11" state="visible" r:id="rId13"/>
    <sheet name="Macros &amp; Setup" sheetId="12" state="visible" r:id="rId14"/>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<sst xmlns="http://schemas.openxmlformats.org/spreadsheetml/2006/main" count="635" uniqueCount="353">
  <si>
    <t xml:space="preserve">ELECTION SIMULATOR</t>
  </si>
  <si>
    <t xml:space="preserve">Demographically modelled  -  6 parties  -  per-seat contests with FPTP seat efficiency  -  adjustable turnout  -  602 seats  -  302 for a majority</t>
  </si>
  <si>
    <t xml:space="preserve">  PARTIES (edit names)</t>
  </si>
  <si>
    <t xml:space="preserve">Seat
eff%</t>
  </si>
  <si>
    <t xml:space="preserve">State</t>
  </si>
  <si>
    <t xml:space="preserve">Polls
close</t>
  </si>
  <si>
    <t xml:space="preserve">Population</t>
  </si>
  <si>
    <t xml:space="preserve">Turnout
%</t>
  </si>
  <si>
    <t xml:space="preserve">Votes
cast</t>
  </si>
  <si>
    <t xml:space="preserve">Seats</t>
  </si>
  <si>
    <t xml:space="preserve">Con
win%</t>
  </si>
  <si>
    <t xml:space="preserve">SD
win%</t>
  </si>
  <si>
    <t xml:space="preserve">Lib
win%</t>
  </si>
  <si>
    <t xml:space="preserve">Nat
win%</t>
  </si>
  <si>
    <t xml:space="preserve">Ind
win%</t>
  </si>
  <si>
    <t xml:space="preserve">BPF
win%</t>
  </si>
  <si>
    <t xml:space="preserve">Con
seats</t>
  </si>
  <si>
    <t xml:space="preserve">SD
seats</t>
  </si>
  <si>
    <t xml:space="preserve">Lib
seats</t>
  </si>
  <si>
    <t xml:space="preserve">Nat
seats</t>
  </si>
  <si>
    <t xml:space="preserve">Ind
seats</t>
  </si>
  <si>
    <t xml:space="preserve">BPF
seats</t>
  </si>
  <si>
    <t xml:space="preserve">State winner</t>
  </si>
  <si>
    <t xml:space="preserve">Con
votes</t>
  </si>
  <si>
    <t xml:space="preserve">SD
votes</t>
  </si>
  <si>
    <t xml:space="preserve">Lib
votes</t>
  </si>
  <si>
    <t xml:space="preserve">Nat
votes</t>
  </si>
  <si>
    <t xml:space="preserve">Ind
votes</t>
  </si>
  <si>
    <t xml:space="preserve">BPF
votes</t>
  </si>
  <si>
    <t xml:space="preserve">Party A</t>
  </si>
  <si>
    <t xml:space="preserve">Conservatives</t>
  </si>
  <si>
    <t xml:space="preserve">Cambria</t>
  </si>
  <si>
    <t xml:space="preserve">Party B</t>
  </si>
  <si>
    <t xml:space="preserve">Social-Democrats</t>
  </si>
  <si>
    <t xml:space="preserve">Medina</t>
  </si>
  <si>
    <t xml:space="preserve">Party C</t>
  </si>
  <si>
    <t xml:space="preserve">Liberals</t>
  </si>
  <si>
    <t xml:space="preserve">Irving</t>
  </si>
  <si>
    <t xml:space="preserve">Party D</t>
  </si>
  <si>
    <t xml:space="preserve">Nationalist</t>
  </si>
  <si>
    <t xml:space="preserve">Claymont</t>
  </si>
  <si>
    <t xml:space="preserve">Party E</t>
  </si>
  <si>
    <t xml:space="preserve">Independent</t>
  </si>
  <si>
    <t xml:space="preserve">Witmiota</t>
  </si>
  <si>
    <t xml:space="preserve">Party F</t>
  </si>
  <si>
    <t xml:space="preserve">BP First</t>
  </si>
  <si>
    <t xml:space="preserve">Qassines</t>
  </si>
  <si>
    <t xml:space="preserve">Rockwell</t>
  </si>
  <si>
    <t xml:space="preserve">  RESULT  -  SEATS</t>
  </si>
  <si>
    <t xml:space="preserve">Dunham</t>
  </si>
  <si>
    <t xml:space="preserve">Total electoral seats</t>
  </si>
  <si>
    <t xml:space="preserve">Runswick</t>
  </si>
  <si>
    <t xml:space="preserve">Seats to win (majority)</t>
  </si>
  <si>
    <t xml:space="preserve">Antiheller</t>
  </si>
  <si>
    <t xml:space="preserve">Brackley</t>
  </si>
  <si>
    <t xml:space="preserve">Wynhurst</t>
  </si>
  <si>
    <t xml:space="preserve">North Deltana</t>
  </si>
  <si>
    <t xml:space="preserve">Wentworth</t>
  </si>
  <si>
    <t xml:space="preserve">Fairdover</t>
  </si>
  <si>
    <t xml:space="preserve">Vanleer</t>
  </si>
  <si>
    <t xml:space="preserve">Stretton</t>
  </si>
  <si>
    <t xml:space="preserve">Almorange</t>
  </si>
  <si>
    <t xml:space="preserve">Largest party</t>
  </si>
  <si>
    <t xml:space="preserve">Penshurst</t>
  </si>
  <si>
    <t xml:space="preserve">Majority winner</t>
  </si>
  <si>
    <t xml:space="preserve">Chamberlain</t>
  </si>
  <si>
    <t xml:space="preserve">Plyholm</t>
  </si>
  <si>
    <t xml:space="preserve">  RESULT  -  POPULAR VOTE</t>
  </si>
  <si>
    <t xml:space="preserve">Vawdrey</t>
  </si>
  <si>
    <t xml:space="preserve">Esmour</t>
  </si>
  <si>
    <t xml:space="preserve">South Deltana</t>
  </si>
  <si>
    <t xml:space="preserve">Thornton</t>
  </si>
  <si>
    <t xml:space="preserve">Stanhope</t>
  </si>
  <si>
    <t xml:space="preserve">Kerswell</t>
  </si>
  <si>
    <t xml:space="preserve">North Aguirre</t>
  </si>
  <si>
    <t xml:space="preserve">South Aguirre</t>
  </si>
  <si>
    <t xml:space="preserve">Most votes (winner)</t>
  </si>
  <si>
    <t xml:space="preserve">Gladstone</t>
  </si>
  <si>
    <t xml:space="preserve">Matches largest party?</t>
  </si>
  <si>
    <t xml:space="preserve">Ponderay</t>
  </si>
  <si>
    <t xml:space="preserve">Total votes cast</t>
  </si>
  <si>
    <t xml:space="preserve">Deale</t>
  </si>
  <si>
    <t xml:space="preserve">National turnout</t>
  </si>
  <si>
    <t xml:space="preserve">Bremond</t>
  </si>
  <si>
    <t xml:space="preserve">Eielson</t>
  </si>
  <si>
    <t xml:space="preserve">  INCUMBENCY</t>
  </si>
  <si>
    <t xml:space="preserve">St.Julian</t>
  </si>
  <si>
    <t xml:space="preserve">Incumbent party</t>
  </si>
  <si>
    <t xml:space="preserve">Bras-Panon Islands</t>
  </si>
  <si>
    <t xml:space="preserve">Net swing applied</t>
  </si>
  <si>
    <t xml:space="preserve">TOTAL</t>
  </si>
  <si>
    <t xml:space="preserve">Incumbent outcome</t>
  </si>
  <si>
    <t xml:space="preserve">Likely government</t>
  </si>
  <si>
    <t xml:space="preserve">Win chances (K-P) are Model vote share after incumbency, candidate and tactical adjustments. SEAT EFFICIENCY (D5:D10) sets FPTP vote-to-seat conversion. Set the incumbent (Incumbency), tactical &amp; candidate effects (Tactical &amp; Candidate) and blocs (Coalition) per election. Press F9 to re-roll.</t>
  </si>
  <si>
    <t xml:space="preserve">DEMOGRAPHICS  -  composition &amp; group profiles</t>
  </si>
  <si>
    <t xml:space="preserve">Synthetic data calibrated to generic US patterns and your regional briefs. Composition rows sum to 100%. Group leans now include Independent and BP First.</t>
  </si>
  <si>
    <t xml:space="preserve">White college</t>
  </si>
  <si>
    <t xml:space="preserve">White non-college</t>
  </si>
  <si>
    <t xml:space="preserve">Black</t>
  </si>
  <si>
    <t xml:space="preserve">Hispanic</t>
  </si>
  <si>
    <t xml:space="preserve">Asian</t>
  </si>
  <si>
    <t xml:space="preserve">Polynesian</t>
  </si>
  <si>
    <t xml:space="preserve">Other</t>
  </si>
  <si>
    <t xml:space="preserve">Sum</t>
  </si>
  <si>
    <t xml:space="preserve">Region</t>
  </si>
  <si>
    <t xml:space="preserve">East</t>
  </si>
  <si>
    <t xml:space="preserve">West</t>
  </si>
  <si>
    <t xml:space="preserve">North</t>
  </si>
  <si>
    <t xml:space="preserve">South</t>
  </si>
  <si>
    <t xml:space="preserve">Middle West</t>
  </si>
  <si>
    <t xml:space="preserve">Middle East</t>
  </si>
  <si>
    <t xml:space="preserve">GROUP PROFILES (national, editable)</t>
  </si>
  <si>
    <t xml:space="preserve">Turnout rate</t>
  </si>
  <si>
    <t xml:space="preserve">Conservatives lean</t>
  </si>
  <si>
    <t xml:space="preserve">Social-Democrats lean</t>
  </si>
  <si>
    <t xml:space="preserve">Liberals lean</t>
  </si>
  <si>
    <t xml:space="preserve">Nationalist lean</t>
  </si>
  <si>
    <t xml:space="preserve">Independent lean</t>
  </si>
  <si>
    <t xml:space="preserve">BP First lean</t>
  </si>
  <si>
    <t xml:space="preserve">Lean check (=100%)</t>
  </si>
  <si>
    <t xml:space="preserve">VOTING HISTORY  -  past three elections (vote share %)</t>
  </si>
  <si>
    <t xml:space="preserve">Actual recorded results, converted from seats to vote share via each party's seat efficiency and distributed across states. Each election's six shares sum to 100%.</t>
  </si>
  <si>
    <t xml:space="preserve">2 elections ago</t>
  </si>
  <si>
    <t xml:space="preserve">1 election ago</t>
  </si>
  <si>
    <t xml:space="preserve">Last election</t>
  </si>
  <si>
    <t xml:space="preserve">Con</t>
  </si>
  <si>
    <t xml:space="preserve">SD</t>
  </si>
  <si>
    <t xml:space="preserve">Lib</t>
  </si>
  <si>
    <t xml:space="preserve">Nat</t>
  </si>
  <si>
    <t xml:space="preserve">Ind</t>
  </si>
  <si>
    <t xml:space="preserve">BPF</t>
  </si>
  <si>
    <t xml:space="preserve">POLLING  -  current state averages (vote share %)</t>
  </si>
  <si>
    <t xml:space="preserve">Synthetic poll-of-polls per state. Editable - changing a poll flows through the Model to the simulation. Shares sum to 100%.</t>
  </si>
  <si>
    <t xml:space="preserve">+/- MoE</t>
  </si>
  <si>
    <t xml:space="preserve">INCUMBENCY  -  the party defending power</t>
  </si>
  <si>
    <t xml:space="preserve">None</t>
  </si>
  <si>
    <t xml:space="preserve">Pick the incumbent party, then set the eight factors for this election. Each factor that favours the incumbent (Yes) adds its weight; against (No) subtracts it. The net swing shifts the incumbent's vote share and renormalises the rest, flowing through to every seat.</t>
  </si>
  <si>
    <t xml:space="preserve">Incumbent party (one only)</t>
  </si>
  <si>
    <t xml:space="preserve">Net swing to incumbent</t>
  </si>
  <si>
    <t xml:space="preserve">Net swing (share)</t>
  </si>
  <si>
    <t xml:space="preserve">Party gained seats in the last election</t>
  </si>
  <si>
    <t xml:space="preserve">Yes</t>
  </si>
  <si>
    <t xml:space="preserve">Strong short-term economy</t>
  </si>
  <si>
    <t xml:space="preserve">Major policy change enacted this term</t>
  </si>
  <si>
    <t xml:space="preserve">No major social unrest this term</t>
  </si>
  <si>
    <t xml:space="preserve">No</t>
  </si>
  <si>
    <t xml:space="preserve">No major scandal this term</t>
  </si>
  <si>
    <t xml:space="preserve">Major foreign / military success this term</t>
  </si>
  <si>
    <t xml:space="preserve">Charismatic incumbent party leader</t>
  </si>
  <si>
    <t xml:space="preserve">Uncharismatic challenger(s)</t>
  </si>
  <si>
    <t xml:space="preserve">NET SWING (points)</t>
  </si>
  <si>
    <t xml:space="preserve">Net swing (share, auto)</t>
  </si>
  <si>
    <t xml:space="preserve">Party indicator (auto)</t>
  </si>
  <si>
    <t xml:space="preserve">  RESULT  (after the latest simulated election)</t>
  </si>
  <si>
    <t xml:space="preserve">Incumbent seats</t>
  </si>
  <si>
    <t xml:space="preserve">Incumbent vote share</t>
  </si>
  <si>
    <t xml:space="preserve">TACTICAL VOTING  &amp;  CANDIDATE EFFECT</t>
  </si>
  <si>
    <t xml:space="preserve">Editable per election. Tactical voting squeezes parties outside the top two in each state; their lost votes transfer to the strongest viable rival of the party you choose to block. Candidate effect nudges each party up or down for slate strength / local campaigns. Both apply on top of incumbency, before seats are drawn.</t>
  </si>
  <si>
    <t xml:space="preserve">Tactical voting intensity</t>
  </si>
  <si>
    <t xml:space="preserve">% of a squeezed party's vote that defects</t>
  </si>
  <si>
    <t xml:space="preserve">Party to block (tactical target)</t>
  </si>
  <si>
    <t xml:space="preserve">choose a party to activate tactical voting against it</t>
  </si>
  <si>
    <t xml:space="preserve">Effective intensity (auto)</t>
  </si>
  <si>
    <t xml:space="preserve">Target indicator (auto)</t>
  </si>
  <si>
    <t xml:space="preserve">  CANDIDATE EFFECT  -  per-party slate strength (vote points; + helps, - hurts)</t>
  </si>
  <si>
    <t xml:space="preserve">Candidate strength (pts)</t>
  </si>
  <si>
    <t xml:space="preserve">Tip: +2 for a party with star candidates, -2 for a weak slate. Set intensity to 0% to switch tactical voting off.</t>
  </si>
  <si>
    <t xml:space="preserve">COALITION  -  who can govern</t>
  </si>
  <si>
    <t xml:space="preserve">Assign each party to a bloc. Bloc seats are totalled from the latest result; a bloc or single party reaching the majority forms a government. Unaligned parties can be kingmakers. Editable per election.</t>
  </si>
  <si>
    <t xml:space="preserve">Bloc 1 name</t>
  </si>
  <si>
    <t xml:space="preserve">SD-Liberal</t>
  </si>
  <si>
    <t xml:space="preserve">Bloc 2 name</t>
  </si>
  <si>
    <t xml:space="preserve">Con-National</t>
  </si>
  <si>
    <t xml:space="preserve">Party</t>
  </si>
  <si>
    <t xml:space="preserve">Bloc</t>
  </si>
  <si>
    <t xml:space="preserve">Bloc 2</t>
  </si>
  <si>
    <t xml:space="preserve">Bloc 1</t>
  </si>
  <si>
    <t xml:space="preserve">Unaligned</t>
  </si>
  <si>
    <t xml:space="preserve">Unaligned seats</t>
  </si>
  <si>
    <t xml:space="preserve">Majority needed</t>
  </si>
  <si>
    <t xml:space="preserve">  GOVERNMENT</t>
  </si>
  <si>
    <t xml:space="preserve">Outcome</t>
  </si>
  <si>
    <t xml:space="preserve">Kingmaker</t>
  </si>
  <si>
    <t xml:space="preserve">MODEL  -  blended support estimate</t>
  </si>
  <si>
    <t xml:space="preserve">FINAL blended support = demographic model + recency-weighted history + current polling, normalised. The Simulator then applies the INCUMBENCY swing on top of this before allocating seats.</t>
  </si>
  <si>
    <t xml:space="preserve">Blend weights:</t>
  </si>
  <si>
    <t xml:space="preserve">Demog</t>
  </si>
  <si>
    <t xml:space="preserve">Hist</t>
  </si>
  <si>
    <t xml:space="preserve">Poll</t>
  </si>
  <si>
    <t xml:space="preserve">Recency o/m/n:</t>
  </si>
  <si>
    <t xml:space="preserve">Demographic model</t>
  </si>
  <si>
    <t xml:space="preserve">Recency-wtd history</t>
  </si>
  <si>
    <t xml:space="preserve">Current polling</t>
  </si>
  <si>
    <t xml:space="preserve">FINAL blended support</t>
  </si>
  <si>
    <t xml:space="preserve">Turn
est</t>
  </si>
  <si>
    <t xml:space="preserve">seat#-&gt;</t>
  </si>
  <si>
    <t xml:space="preserve">tot</t>
  </si>
  <si>
    <t xml:space="preserve">c1</t>
  </si>
  <si>
    <t xml:space="preserve">c2</t>
  </si>
  <si>
    <t xml:space="preserve">c3</t>
  </si>
  <si>
    <t xml:space="preserve">c4</t>
  </si>
  <si>
    <t xml:space="preserve">c5</t>
  </si>
  <si>
    <t xml:space="preserve">Engine: one random draw per possible seat per state. tot/c1..c5 = normalised cumulative thresholds from win chance x seat efficiency (Simulator D5:D10).</t>
  </si>
  <si>
    <t xml:space="preserve">MONTE CARLO</t>
  </si>
  <si>
    <t xml:space="preserve">Runs many six-party elections from the modelled win chances and seat efficiencies. Seat results are independent of turnout.</t>
  </si>
  <si>
    <t xml:space="preserve">Number of simulations</t>
  </si>
  <si>
    <t xml:space="preserve">Run the RunMonteCarlo macro to fill the table below.</t>
  </si>
  <si>
    <t xml:space="preserve">Simulations run</t>
  </si>
  <si>
    <t xml:space="preserve">Majority wins</t>
  </si>
  <si>
    <t xml:space="preserve">Maj %</t>
  </si>
  <si>
    <t xml:space="preserve">Avg seats</t>
  </si>
  <si>
    <t xml:space="preserve">Times largest</t>
  </si>
  <si>
    <t xml:space="preserve">Largest %</t>
  </si>
  <si>
    <t xml:space="preserve">No overall majority</t>
  </si>
  <si>
    <t xml:space="preserve">Tied for largest</t>
  </si>
  <si>
    <t xml:space="preserve">METHODOLOGY  &amp;  DATA NOTES</t>
  </si>
  <si>
    <t xml:space="preserve">Purpose</t>
  </si>
  <si>
    <t xml:space="preserve">A bottom-up demographic forecasting model for a hypothetical 36-state, six-party, first-past-the-post country across eight regions (West, North, Middle West, Middle East, South, East, plus Bras-Panon Islands and St.Julian).</t>
  </si>
  <si>
    <t xml:space="preserve">Parties and demographic groups</t>
  </si>
  <si>
    <t xml:space="preserve">Six parties: Conservatives (centre-right), Social-Democrats (centre-left), Liberals (educated/urban), Nationalist (populist right), Independent and BP First. Independent is a genuine minor party everywhere, polling about half the Liberal/Nationalist share. BP First is a regional party that contests Bras-Panon Islands only (35-50% there, ~0 elsewhere). Seven demographic segments include Polynesian, concentrated in Bras-Panon, which anchors BP First.</t>
  </si>
  <si>
    <t xml:space="preserve">Regional calibration</t>
  </si>
  <si>
    <t xml:space="preserve">Each state's composition and voting intention blends your regional briefs (about two-thirds) with prior averages (one-third) plus per-state variance, so regions read clearly while no two states are identical.</t>
  </si>
  <si>
    <t xml:space="preserve">From data to support</t>
  </si>
  <si>
    <t xml:space="preserve">Demographic-implied support = SUM over groups of (share x turnout x lean), normalised. It is blended with recency-weighted history and current polling (default 30/25/45, adjustable) to set each state's per-seat win chances. Turnout is composition-weighted and scales votes only.</t>
  </si>
  <si>
    <t xml:space="preserve">Seat efficiency (FPTP distortion)</t>
  </si>
  <si>
    <t xml:space="preserve">Each party has a SEAT EFFICIENCY factor (Simulator D5:D10) scaling its effective per-seat probability. Conservatives/Social-Democrats 100%; Liberals/Nationalist 22% (spread-out support converts poorly to seats); Independent very low (~4-5%, so it wins only the occasional strong-local-candidate seat, typically 1-5 nationally); BP First 100% (its vote is geographically concentrated, so it converts efficiently in Bras-Panon). The popular vote uses true vote share, so vote totals and seat totals diverge as they do in real FPTP systems.</t>
  </si>
  <si>
    <t xml:space="preserve">Incumbency</t>
  </si>
  <si>
    <t xml:space="preserve">One party may be designated the incumbent on the Incumbency sheet. Eight editable factors - last-election seat gain, short-term economy, a major policy change, absence of social unrest, absence of scandal, a foreign or military success, a charismatic incumbent leader and an uncharismatic challenger - each carry an editable weight in points. Factors that favour the incumbent (Yes) add their weight; those against (No) subtract it. The net swing is added to the incumbent's vote share in every state and the other parties are renormalised, so the effect flows through win chances to seats. Set the incumbent to None to switch the mechanism off.</t>
  </si>
  <si>
    <t xml:space="preserve">Tactical voting, candidate effect and coalitions</t>
  </si>
  <si>
    <t xml:space="preserve">Three further levers, all editable per election. TACTICAL VOTING (Tactical &amp; Candidate sheet): in each state, parties lying outside the top two shed a set intensity of their vote, which transfers to the strongest viable rival of the party you nominate to block - the classic FPTP squeeze on third parties. CANDIDATE EFFECT: a per-party points nudge for slate strength or local campaigns, applied as a vote-share shift. COALITION (Coalition sheet): each party is assigned to a bloc; bloc seats are totalled from the result to decide whether a single party or a bloc reaches the majority, and which unaligned parties are kingmakers. Order of operations: demographics/history/polling -&gt; incumbency + candidate -&gt; tactical -&gt; seat draw -&gt; coalition assessment.</t>
  </si>
  <si>
    <t xml:space="preserve">Important limitations</t>
  </si>
  <si>
    <t xml:space="preserve">All figures are SYNTHETIC. The per-seat contest is probabilistic (proportional-with-noise) before the efficiency adjustment. Six-party fragmentation makes outright 302-seat majorities rare; the largest party is the key figure. Within-group behaviour is uniform across states; there is no tactical voting or coalition modelling.</t>
  </si>
  <si>
    <t xml:space="preserve">How to drive it</t>
  </si>
  <si>
    <t xml:space="preserve">Edit Polling for a quick what-if; Demographics or Voting History for structural change; Model blend weights to lean on polls or fundamentals; and the seat-efficiency cells (D5:D10) to tune how votes convert to seats. Everything recalculates to the Simulator and Monte Carlo.</t>
  </si>
  <si>
    <t xml:space="preserve">MACROS &amp; SETUP</t>
  </si>
  <si>
    <t xml:space="preserve">WORKBOOK MAP</t>
  </si>
  <si>
    <t xml:space="preserve">Simulator      - results dashboard + state-by-state outcome. Party names &amp; seat efficiency in B/C/D 5:10. Press F9.</t>
  </si>
  <si>
    <t xml:space="preserve">Demographics   - 7-group composition per state (+ Region), national group turnout and 6-party leans.</t>
  </si>
  <si>
    <t xml:space="preserve">Voting History - past three elections' six-party vote shares per state.</t>
  </si>
  <si>
    <t xml:space="preserve">Polling        - current six-party poll averages per state (quickest what-if knob).</t>
  </si>
  <si>
    <t xml:space="preserve">Incumbency     - pick the incumbent party and set the eight election factors; nets to a vote swing.</t>
  </si>
  <si>
    <t xml:space="preserve">Tactical&amp;Cand. - tactical-voting intensity + target, and per-party candidate-strength points.</t>
  </si>
  <si>
    <t xml:space="preserve">Coalition      - assign parties to blocs; shows which bloc can govern and any kingmakers.</t>
  </si>
  <si>
    <t xml:space="preserve">Model          - blends sources into win chances and turnout. Blend weights editable.</t>
  </si>
  <si>
    <t xml:space="preserve">Monte Carlo    - runs many elections and summarises outcomes.   Methodology - full write-up.</t>
  </si>
  <si>
    <t xml:space="preserve">ADDING THE MACROS  (optional)</t>
  </si>
  <si>
    <t xml:space="preserve">1.  Alt + F11 to open the VBA editor.   2.  Insert &gt; Module (or File &gt; Import ElectionMacros.bas).</t>
  </si>
  <si>
    <t xml:space="preserve">3.  Paste the code below.   4-5.  Add Form-Control buttons on Simulator (RunElection) and Monte Carlo (RunMonteCarlo).</t>
  </si>
  <si>
    <t xml:space="preserve">6.  Save as 'Excel Macro-Enabled Workbook (*.xlsm)'.</t>
  </si>
  <si>
    <t xml:space="preserve">VBA CODE   (also supplied as ElectionMacros.bas)</t>
  </si>
  <si>
    <t xml:space="preserve">Option Explicit</t>
  </si>
  <si>
    <t xml:space="preserve"> </t>
  </si>
  <si>
    <t xml:space="preserve">'==========================================================</t>
  </si>
  <si>
    <t xml:space="preserve">'  ELECTION SIMULATOR  -  MACROS  (6 parties, per-seat, turnout)</t>
  </si>
  <si>
    <t xml:space="preserve">'  Parties: Conservatives, Social-Democrats, Liberals,</t>
  </si>
  <si>
    <t xml:space="preserve">'           Nationalist, Independent, BP First.</t>
  </si>
  <si>
    <t xml:space="preserve">'  Seat efficiency (Simulator D5:D10) scales each party's</t>
  </si>
  <si>
    <t xml:space="preserve">'  per-seat probability before allocation (FPTP distortion).</t>
  </si>
  <si>
    <t xml:space="preserve">'  Assign RunElection   to a button on the Simulator sheet.</t>
  </si>
  <si>
    <t xml:space="preserve">'  Assign RunMonteCarlo to a button on the Monte Carlo sheet.</t>
  </si>
  <si>
    <t xml:space="preserve">Sub RunElection()</t>
  </si>
  <si>
    <t xml:space="preserve">    Application.Calculation = xlCalculationAutomatic</t>
  </si>
  <si>
    <t xml:space="preserve">    Application.Calculate</t>
  </si>
  <si>
    <t xml:space="preserve">    With Sheets("Simulator")</t>
  </si>
  <si>
    <t xml:space="preserve">        Dim msg As String, p As Long</t>
  </si>
  <si>
    <t xml:space="preserve">        msg = "Seats won:" &amp; vbCrLf</t>
  </si>
  <si>
    <t xml:space="preserve">        For p = 1 To 6</t>
  </si>
  <si>
    <t xml:space="preserve">            msg = msg &amp; .Cells(4 + p, 3).Value &amp; ":  " &amp; .Cells(15 + p, 3).Value &amp; vbCrLf</t>
  </si>
  <si>
    <t xml:space="preserve">        Next p</t>
  </si>
  <si>
    <t xml:space="preserve">        msg = msg &amp; vbCrLf &amp; "Largest party:  " &amp; .Range("C23").Value &amp; vbCrLf &amp; _</t>
  </si>
  <si>
    <t xml:space="preserve">              "Result:  " &amp; .Range("C24").Value &amp; "   (302 to win)"</t>
  </si>
  <si>
    <t xml:space="preserve">        MsgBox msg, vbInformation, "Election Result"</t>
  </si>
  <si>
    <t xml:space="preserve">    End With</t>
  </si>
  <si>
    <t xml:space="preserve">End Sub</t>
  </si>
  <si>
    <t xml:space="preserve">Sub RunMonteCarlo()</t>
  </si>
  <si>
    <t xml:space="preserve">    Dim ws As Worksheet, mc As Worksheet</t>
  </si>
  <si>
    <t xml:space="preserve">    Set ws = Sheets("Simulator")</t>
  </si>
  <si>
    <t xml:space="preserve">    Set mc = Sheets("Monte Carlo")</t>
  </si>
  <si>
    <t xml:space="preserve">    Const nStates As Long = 36</t>
  </si>
  <si>
    <t xml:space="preserve">    Const nP As Long = 6</t>
  </si>
  <si>
    <t xml:space="preserve">    Dim nSims As Long</t>
  </si>
  <si>
    <t xml:space="preserve">    nSims = mc.Range("C4").Value</t>
  </si>
  <si>
    <t xml:space="preserve">    If nSims &lt; 1 Then nSims = 1</t>
  </si>
  <si>
    <t xml:space="preserve">    If nSims &gt; 1000000 Then nSims = 1000000</t>
  </si>
  <si>
    <t xml:space="preserve">    ' seats and cumulative thresholds cum(state, 1..nP-1); cum(.,nP) = 1</t>
  </si>
  <si>
    <t xml:space="preserve">    Dim seats() As Long, cum() As Double</t>
  </si>
  <si>
    <t xml:space="preserve">    ReDim seats(1 To nStates): ReDim cum(1 To nStates, 1 To nP)</t>
  </si>
  <si>
    <t xml:space="preserve">    Dim i As Long, p As Long, e(1 To 6) As Double, tot As Double, run As Double</t>
  </si>
  <si>
    <t xml:space="preserve">    For i = 1 To nStates</t>
  </si>
  <si>
    <t xml:space="preserve">        seats(i) = ws.Cells(4 + i, 10).Value         ' J  Seats</t>
  </si>
  <si>
    <t xml:space="preserve">        tot = 0</t>
  </si>
  <si>
    <t xml:space="preserve">        For p = 1 To nP</t>
  </si>
  <si>
    <t xml:space="preserve">            e(p) = ws.Cells(4 + i, 10 + p).Value * ws.Cells(4 + p, 4).Value ' win x efficiency</t>
  </si>
  <si>
    <t xml:space="preserve">            tot = tot + e(p)</t>
  </si>
  <si>
    <t xml:space="preserve">        run = 0</t>
  </si>
  <si>
    <t xml:space="preserve">        If tot &lt;= 0 Then</t>
  </si>
  <si>
    <t xml:space="preserve">            For p = 1 To nP: cum(i, p) = p / nP: Next p</t>
  </si>
  <si>
    <t xml:space="preserve">        Else</t>
  </si>
  <si>
    <t xml:space="preserve">            For p = 1 To nP</t>
  </si>
  <si>
    <t xml:space="preserve">                run = run + e(p)</t>
  </si>
  <si>
    <t xml:space="preserve">                cum(i, p) = run / tot</t>
  </si>
  <si>
    <t xml:space="preserve">            Next p</t>
  </si>
  <si>
    <t xml:space="preserve">        End If</t>
  </si>
  <si>
    <t xml:space="preserve">    Next i</t>
  </si>
  <si>
    <t xml:space="preserve">    Dim threshold As Long: threshold = ws.Range("C14").Value   ' 302</t>
  </si>
  <si>
    <t xml:space="preserve">    Dim nm(1 To nP) As String</t>
  </si>
  <si>
    <t xml:space="preserve">    For p = 1 To nP: nm(p) = ws.Cells(4 + p, 3).Value: Next p   ' C5:C10</t>
  </si>
  <si>
    <t xml:space="preserve">    Dim majWins(1 To nP) As Long, largest(1 To nP) As Long, sumSeats(1 To nP) As Double</t>
  </si>
  <si>
    <t xml:space="preserve">    Dim hung As Long, tieLargest As Long</t>
  </si>
  <si>
    <t xml:space="preserve">    Randomize</t>
  </si>
  <si>
    <t xml:space="preserve">    Dim sName As Long, k As Long, st As Long</t>
  </si>
  <si>
    <t xml:space="preserve">    Dim r As Double, ps(1 To nP) As Long</t>
  </si>
  <si>
    <t xml:space="preserve">    Dim maxv As Long, cntmax As Long, idx As Long, anyMaj As Boolean</t>
  </si>
  <si>
    <t xml:space="preserve">    For sName = 1 To nSims</t>
  </si>
  <si>
    <t xml:space="preserve">        For p = 1 To nP: ps(p) = 0: Next p</t>
  </si>
  <si>
    <t xml:space="preserve">        For st = 1 To nStates</t>
  </si>
  <si>
    <t xml:space="preserve">            For k = 1 To seats(st)</t>
  </si>
  <si>
    <t xml:space="preserve">                r = Rnd()</t>
  </si>
  <si>
    <t xml:space="preserve">                For p = 1 To nP</t>
  </si>
  <si>
    <t xml:space="preserve">                    If r &lt; cum(st, p) Then ps(p) = ps(p) + 1: Exit For</t>
  </si>
  <si>
    <t xml:space="preserve">                Next p</t>
  </si>
  <si>
    <t xml:space="preserve">            Next k</t>
  </si>
  <si>
    <t xml:space="preserve">        Next st</t>
  </si>
  <si>
    <t xml:space="preserve">        anyMaj = False: maxv = -1: cntmax = 0: idx = 0</t>
  </si>
  <si>
    <t xml:space="preserve">            sumSeats(p) = sumSeats(p) + ps(p)</t>
  </si>
  <si>
    <t xml:space="preserve">            If ps(p) &gt;= threshold Then majWins(p) = majWins(p) + 1: anyMaj = True</t>
  </si>
  <si>
    <t xml:space="preserve">            If ps(p) &gt; maxv Then</t>
  </si>
  <si>
    <t xml:space="preserve">                maxv = ps(p): idx = p: cntmax = 1</t>
  </si>
  <si>
    <t xml:space="preserve">            ElseIf ps(p) = maxv Then</t>
  </si>
  <si>
    <t xml:space="preserve">                cntmax = cntmax + 1</t>
  </si>
  <si>
    <t xml:space="preserve">            End If</t>
  </si>
  <si>
    <t xml:space="preserve">        If Not anyMaj Then hung = hung + 1</t>
  </si>
  <si>
    <t xml:space="preserve">        If cntmax = 1 Then largest(idx) = largest(idx) + 1 Else tieLargest = tieLargest + 1</t>
  </si>
  <si>
    <t xml:space="preserve">    Next sName</t>
  </si>
  <si>
    <t xml:space="preserve">    Application.ScreenUpdating = False</t>
  </si>
  <si>
    <t xml:space="preserve">    mc.Range("C6").Value = nSims</t>
  </si>
  <si>
    <t xml:space="preserve">    For p = 1 To nP</t>
  </si>
  <si>
    <t xml:space="preserve">        mc.Cells(8 + p, 2).Value = nm(p)</t>
  </si>
  <si>
    <t xml:space="preserve">        mc.Cells(8 + p, 3).Value = majWins(p)</t>
  </si>
  <si>
    <t xml:space="preserve">        mc.Cells(8 + p, 4).Value = majWins(p) / nSims</t>
  </si>
  <si>
    <t xml:space="preserve">        mc.Cells(8 + p, 5).Value = sumSeats(p) / nSims</t>
  </si>
  <si>
    <t xml:space="preserve">        mc.Cells(8 + p, 6).Value = largest(p)</t>
  </si>
  <si>
    <t xml:space="preserve">        mc.Cells(8 + p, 7).Value = largest(p) / nSims</t>
  </si>
  <si>
    <t xml:space="preserve">    Next p</t>
  </si>
  <si>
    <t xml:space="preserve">    mc.Cells(9 + nP, 3).Value = hung</t>
  </si>
  <si>
    <t xml:space="preserve">    mc.Cells(9 + nP, 4).Value = hung / nSims</t>
  </si>
  <si>
    <t xml:space="preserve">    mc.Cells(10 + nP, 3).Value = tieLargest</t>
  </si>
  <si>
    <t xml:space="preserve">    mc.Cells(10 + nP, 4).Value = tieLargest / nSims</t>
  </si>
  <si>
    <t xml:space="preserve">    Application.ScreenUpdating = True</t>
  </si>
  <si>
    <t xml:space="preserve">    MsgBox nSims &amp; " elections simulated." &amp; vbCrLf &amp; vbCrLf &amp; _</t>
  </si>
  <si>
    <t xml:space="preserve">           "No overall majority in " &amp; Format(hung / nSims, "0.0%") &amp; " of runs." &amp; vbCrLf &amp; _</t>
  </si>
  <si>
    <t xml:space="preserve">           "See the table for each party's majority wins, average seats and how often it finished largest.", _</t>
  </si>
  <si>
    <t xml:space="preserve">           vbInformation, "Monte Carlo Results"</t>
  </si>
</sst>
</file>

<file path=xl/styles.xml><?xml version="1.0" encoding="utf-8"?>
<styleSheet xmlns="http://schemas.openxmlformats.org/spreadsheetml/2006/main">
  <numFmts count="13">
    <numFmt numFmtId="164" formatCode="General"/>
    <numFmt numFmtId="165" formatCode="0%"/>
    <numFmt numFmtId="166" formatCode="h:mm\ AM/PM"/>
    <numFmt numFmtId="167" formatCode="#,##0"/>
    <numFmt numFmtId="168" formatCode="General"/>
    <numFmt numFmtId="169" formatCode="0.0%"/>
    <numFmt numFmtId="170" formatCode="\+0.0&quot; pts&quot;;\-0.0&quot; pts&quot;;0&quot; pts&quot;"/>
    <numFmt numFmtId="171" formatCode="0.000"/>
    <numFmt numFmtId="172" formatCode="0.0"/>
    <numFmt numFmtId="173" formatCode="\+0.0;\-0.0;0"/>
    <numFmt numFmtId="174" formatCode="0.0000"/>
    <numFmt numFmtId="175" formatCode="0"/>
    <numFmt numFmtId="176" formatCode="0.00"/>
  </numFmts>
  <fonts count="37">
    <font>
      <sz val="11"/>
      <color theme="1"/>
      <name val="Calibri"/>
      <family val="2"/>
      <charset val="1"/>
    </font>
    <font>
      <sz val="10"/>
      <name val="Arial"/>
      <family val="0"/>
    </font>
    <font>
      <sz val="10"/>
      <name val="Arial"/>
      <family val="0"/>
    </font>
    <font>
      <sz val="10"/>
      <name val="Arial"/>
      <family val="0"/>
    </font>
    <font>
      <b val="true"/>
      <sz val="20"/>
      <color rgb="FFFFFFFF"/>
      <name val="Arial"/>
      <family val="0"/>
      <charset val="1"/>
    </font>
    <font>
      <sz val="10"/>
      <color rgb="FFFFFFFF"/>
      <name val="Arial"/>
      <family val="0"/>
      <charset val="1"/>
    </font>
    <font>
      <b val="true"/>
      <sz val="11"/>
      <color rgb="FFFFFFFF"/>
      <name val="Arial"/>
      <family val="0"/>
      <charset val="1"/>
    </font>
    <font>
      <b val="true"/>
      <sz val="9"/>
      <color rgb="FFFFFFFF"/>
      <name val="Arial"/>
      <family val="0"/>
      <charset val="1"/>
    </font>
    <font>
      <b val="true"/>
      <sz val="11"/>
      <color rgb="FF000000"/>
      <name val="Arial"/>
      <family val="0"/>
      <charset val="1"/>
    </font>
    <font>
      <b val="true"/>
      <sz val="11"/>
      <color rgb="FF1F4E79"/>
      <name val="Arial"/>
      <family val="0"/>
      <charset val="1"/>
    </font>
    <font>
      <sz val="11"/>
      <color rgb="FF000000"/>
      <name val="Arial"/>
      <family val="0"/>
      <charset val="1"/>
    </font>
    <font>
      <b val="true"/>
      <sz val="11"/>
      <color rgb="FFC0392B"/>
      <name val="Arial"/>
      <family val="0"/>
      <charset val="1"/>
    </font>
    <font>
      <b val="true"/>
      <sz val="11"/>
      <color rgb="FF9C6500"/>
      <name val="Arial"/>
      <family val="0"/>
      <charset val="1"/>
    </font>
    <font>
      <b val="true"/>
      <sz val="11"/>
      <color rgb="FF6A1B9A"/>
      <name val="Arial"/>
      <family val="0"/>
      <charset val="1"/>
    </font>
    <font>
      <b val="true"/>
      <sz val="11"/>
      <color rgb="FF0E6E6E"/>
      <name val="Arial"/>
      <family val="0"/>
      <charset val="1"/>
    </font>
    <font>
      <i val="true"/>
      <sz val="9"/>
      <color rgb="FF808080"/>
      <name val="Arial"/>
      <family val="0"/>
      <charset val="1"/>
    </font>
    <font>
      <b val="true"/>
      <sz val="18"/>
      <color rgb="FFFFFFFF"/>
      <name val="Arial"/>
      <family val="0"/>
      <charset val="1"/>
    </font>
    <font>
      <sz val="9"/>
      <color rgb="FF000000"/>
      <name val="Arial"/>
      <family val="0"/>
      <charset val="1"/>
    </font>
    <font>
      <sz val="11"/>
      <color rgb="FF1F4E79"/>
      <name val="Arial"/>
      <family val="0"/>
      <charset val="1"/>
    </font>
    <font>
      <sz val="11"/>
      <color rgb="FFC0392B"/>
      <name val="Arial"/>
      <family val="0"/>
      <charset val="1"/>
    </font>
    <font>
      <sz val="11"/>
      <color rgb="FF9C6500"/>
      <name val="Arial"/>
      <family val="0"/>
      <charset val="1"/>
    </font>
    <font>
      <sz val="11"/>
      <color rgb="FF6A1B9A"/>
      <name val="Arial"/>
      <family val="0"/>
      <charset val="1"/>
    </font>
    <font>
      <sz val="11"/>
      <color rgb="FF0E6E6E"/>
      <name val="Arial"/>
      <family val="0"/>
      <charset val="1"/>
    </font>
    <font>
      <sz val="9"/>
      <color rgb="FF808080"/>
      <name val="Arial"/>
      <family val="0"/>
      <charset val="1"/>
    </font>
    <font>
      <sz val="8"/>
      <color rgb="FF1F4E79"/>
      <name val="Arial"/>
      <family val="0"/>
      <charset val="1"/>
    </font>
    <font>
      <sz val="8"/>
      <color rgb="FFC0392B"/>
      <name val="Arial"/>
      <family val="0"/>
      <charset val="1"/>
    </font>
    <font>
      <sz val="8"/>
      <color rgb="FF9C6500"/>
      <name val="Arial"/>
      <family val="0"/>
      <charset val="1"/>
    </font>
    <font>
      <sz val="8"/>
      <color rgb="FF000000"/>
      <name val="Arial"/>
      <family val="0"/>
      <charset val="1"/>
    </font>
    <font>
      <sz val="8"/>
      <color rgb="FF6A1B9A"/>
      <name val="Arial"/>
      <family val="0"/>
      <charset val="1"/>
    </font>
    <font>
      <sz val="8"/>
      <color rgb="FF0E6E6E"/>
      <name val="Arial"/>
      <family val="0"/>
      <charset val="1"/>
    </font>
    <font>
      <sz val="8"/>
      <color rgb="FF808080"/>
      <name val="Arial"/>
      <family val="0"/>
      <charset val="1"/>
    </font>
    <font>
      <sz val="10"/>
      <color rgb="FF000000"/>
      <name val="Arial"/>
      <family val="0"/>
      <charset val="1"/>
    </font>
    <font>
      <b val="true"/>
      <sz val="9"/>
      <color rgb="FF808080"/>
      <name val="Arial"/>
      <family val="0"/>
      <charset val="1"/>
    </font>
    <font>
      <sz val="8"/>
      <name val="Arial"/>
      <family val="0"/>
      <charset val="1"/>
    </font>
    <font>
      <i val="true"/>
      <sz val="11"/>
      <color rgb="FF000000"/>
      <name val="Arial"/>
      <family val="0"/>
      <charset val="1"/>
    </font>
    <font>
      <b val="true"/>
      <sz val="16"/>
      <color rgb="FFFFFFFF"/>
      <name val="Arial"/>
      <family val="0"/>
      <charset val="1"/>
    </font>
    <font>
      <sz val="9"/>
      <color rgb="FF1F1F1F"/>
      <name val="Consolas"/>
      <family val="0"/>
      <charset val="1"/>
    </font>
  </fonts>
  <fills count="13">
    <fill>
      <patternFill patternType="none"/>
    </fill>
    <fill>
      <patternFill patternType="gray125"/>
    </fill>
    <fill>
      <patternFill patternType="solid">
        <fgColor rgb="FF1F3864"/>
        <bgColor rgb="FF1F4E79"/>
      </patternFill>
    </fill>
    <fill>
      <patternFill patternType="solid">
        <fgColor rgb="FF305496"/>
        <bgColor rgb="FF1F4E79"/>
      </patternFill>
    </fill>
    <fill>
      <patternFill patternType="solid">
        <fgColor rgb="FFFFF2CC"/>
        <bgColor rgb="FFF2F2F2"/>
      </patternFill>
    </fill>
    <fill>
      <patternFill patternType="solid">
        <fgColor rgb="FFEEF3FA"/>
        <bgColor rgb="FFF2F2F2"/>
      </patternFill>
    </fill>
    <fill>
      <patternFill patternType="solid">
        <fgColor rgb="FFF2F2F2"/>
        <bgColor rgb="FFEEF3FA"/>
      </patternFill>
    </fill>
    <fill>
      <patternFill patternType="solid">
        <fgColor rgb="FFD6E4FF"/>
        <bgColor rgb="FFCDE9E9"/>
      </patternFill>
    </fill>
    <fill>
      <patternFill patternType="solid">
        <fgColor rgb="FFFBD9D5"/>
        <bgColor rgb="FFE7D6F2"/>
      </patternFill>
    </fill>
    <fill>
      <patternFill patternType="solid">
        <fgColor rgb="FFFFE699"/>
        <bgColor rgb="FFFFF2CC"/>
      </patternFill>
    </fill>
    <fill>
      <patternFill patternType="solid">
        <fgColor rgb="FFD0CECE"/>
        <bgColor rgb="FFBFBFBF"/>
      </patternFill>
    </fill>
    <fill>
      <patternFill patternType="solid">
        <fgColor rgb="FFE7D6F2"/>
        <bgColor rgb="FFFBD9D5"/>
      </patternFill>
    </fill>
    <fill>
      <patternFill patternType="solid">
        <fgColor rgb="FFCDE9E9"/>
        <bgColor rgb="FFD6E4FF"/>
      </patternFill>
    </fill>
  </fills>
  <borders count="3">
    <border diagonalUp="false" diagonalDown="false">
      <left/>
      <right/>
      <top/>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style="thin">
        <color rgb="FFBFBFBF"/>
      </left>
      <right/>
      <top style="thin">
        <color rgb="FFBFBFBF"/>
      </top>
      <bottom style="thin">
        <color rgb="FFBFBFBF"/>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175">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2" borderId="0" xfId="0" applyFont="true" applyBorder="true" applyAlignment="true" applyProtection="false">
      <alignment horizontal="left" vertical="center" textRotation="0" wrapText="false" indent="0" shrinkToFit="false"/>
      <protection locked="true" hidden="false"/>
    </xf>
    <xf numFmtId="164" fontId="5" fillId="3" borderId="0" xfId="0" applyFont="true" applyBorder="true" applyAlignment="true" applyProtection="false">
      <alignment horizontal="left" vertical="center" textRotation="0" wrapText="false" indent="0" shrinkToFit="false"/>
      <protection locked="true" hidden="false"/>
    </xf>
    <xf numFmtId="164" fontId="6" fillId="3" borderId="0" xfId="0" applyFont="true" applyBorder="true" applyAlignment="true" applyProtection="false">
      <alignment horizontal="left" vertical="center" textRotation="0" wrapText="false" indent="0" shrinkToFit="false"/>
      <protection locked="true" hidden="false"/>
    </xf>
    <xf numFmtId="164" fontId="7" fillId="3" borderId="0" xfId="0" applyFont="true" applyBorder="false" applyAlignment="true" applyProtection="false">
      <alignment horizontal="center" vertical="center" textRotation="0" wrapText="true" indent="0" shrinkToFit="false"/>
      <protection locked="true" hidden="false"/>
    </xf>
    <xf numFmtId="164" fontId="6" fillId="3" borderId="1" xfId="0" applyFont="true" applyBorder="true" applyAlignment="true" applyProtection="false">
      <alignment horizontal="center" vertical="center" textRotation="0" wrapText="true" indent="0" shrinkToFit="false"/>
      <protection locked="true" hidden="false"/>
    </xf>
    <xf numFmtId="164" fontId="8" fillId="0" borderId="0" xfId="0" applyFont="true" applyBorder="false" applyAlignment="true" applyProtection="false">
      <alignment horizontal="left" vertical="center" textRotation="0" wrapText="false" indent="0" shrinkToFit="false"/>
      <protection locked="true" hidden="false"/>
    </xf>
    <xf numFmtId="164" fontId="9" fillId="4" borderId="1" xfId="0" applyFont="true" applyBorder="true" applyAlignment="true" applyProtection="false">
      <alignment horizontal="left" vertical="center" textRotation="0" wrapText="false" indent="0" shrinkToFit="false"/>
      <protection locked="true" hidden="false"/>
    </xf>
    <xf numFmtId="165" fontId="9" fillId="4" borderId="1" xfId="0" applyFont="true" applyBorder="true" applyAlignment="true" applyProtection="false">
      <alignment horizontal="center" vertical="center" textRotation="0" wrapText="false" indent="0" shrinkToFit="false"/>
      <protection locked="true" hidden="false"/>
    </xf>
    <xf numFmtId="164" fontId="10" fillId="0" borderId="1" xfId="0" applyFont="true" applyBorder="true" applyAlignment="true" applyProtection="false">
      <alignment horizontal="left" vertical="center" textRotation="0" wrapText="false" indent="0" shrinkToFit="false"/>
      <protection locked="true" hidden="false"/>
    </xf>
    <xf numFmtId="166" fontId="10" fillId="0" borderId="1" xfId="0" applyFont="true" applyBorder="true" applyAlignment="true" applyProtection="false">
      <alignment horizontal="center" vertical="center" textRotation="0" wrapText="false" indent="0" shrinkToFit="false"/>
      <protection locked="true" hidden="false"/>
    </xf>
    <xf numFmtId="167" fontId="10" fillId="0" borderId="1" xfId="0" applyFont="true" applyBorder="true" applyAlignment="true" applyProtection="false">
      <alignment horizontal="right" vertical="center" textRotation="0" wrapText="false" indent="0" shrinkToFit="false"/>
      <protection locked="true" hidden="false"/>
    </xf>
    <xf numFmtId="165" fontId="10" fillId="5" borderId="1" xfId="0" applyFont="true" applyBorder="true" applyAlignment="true" applyProtection="false">
      <alignment horizontal="center" vertical="center" textRotation="0" wrapText="false" indent="0" shrinkToFit="false"/>
      <protection locked="true" hidden="false"/>
    </xf>
    <xf numFmtId="164" fontId="10" fillId="0" borderId="1" xfId="0" applyFont="true" applyBorder="true" applyAlignment="true" applyProtection="false">
      <alignment horizontal="center" vertical="center" textRotation="0" wrapText="false" indent="0" shrinkToFit="false"/>
      <protection locked="true" hidden="false"/>
    </xf>
    <xf numFmtId="165" fontId="9" fillId="5" borderId="0" xfId="0" applyFont="true" applyBorder="false" applyAlignment="true" applyProtection="false">
      <alignment horizontal="center" vertical="center" textRotation="0" wrapText="false" indent="0" shrinkToFit="false"/>
      <protection locked="true" hidden="false"/>
    </xf>
    <xf numFmtId="165" fontId="11" fillId="5" borderId="0" xfId="0" applyFont="true" applyBorder="false" applyAlignment="true" applyProtection="false">
      <alignment horizontal="center" vertical="center" textRotation="0" wrapText="false" indent="0" shrinkToFit="false"/>
      <protection locked="true" hidden="false"/>
    </xf>
    <xf numFmtId="165" fontId="12" fillId="5" borderId="0" xfId="0" applyFont="true" applyBorder="false" applyAlignment="true" applyProtection="false">
      <alignment horizontal="center" vertical="center" textRotation="0" wrapText="false" indent="0" shrinkToFit="false"/>
      <protection locked="true" hidden="false"/>
    </xf>
    <xf numFmtId="165" fontId="8" fillId="5" borderId="0" xfId="0" applyFont="true" applyBorder="false" applyAlignment="true" applyProtection="false">
      <alignment horizontal="center" vertical="center" textRotation="0" wrapText="false" indent="0" shrinkToFit="false"/>
      <protection locked="true" hidden="false"/>
    </xf>
    <xf numFmtId="165" fontId="13" fillId="5" borderId="0" xfId="0" applyFont="true" applyBorder="false" applyAlignment="true" applyProtection="false">
      <alignment horizontal="center" vertical="center" textRotation="0" wrapText="false" indent="0" shrinkToFit="false"/>
      <protection locked="true" hidden="false"/>
    </xf>
    <xf numFmtId="165" fontId="14" fillId="5" borderId="0" xfId="0" applyFont="true" applyBorder="false" applyAlignment="true" applyProtection="false">
      <alignment horizontal="center" vertical="center" textRotation="0" wrapText="false" indent="0" shrinkToFit="false"/>
      <protection locked="true" hidden="false"/>
    </xf>
    <xf numFmtId="164" fontId="11" fillId="4" borderId="1" xfId="0" applyFont="true" applyBorder="true" applyAlignment="true" applyProtection="false">
      <alignment horizontal="left" vertical="center" textRotation="0" wrapText="false" indent="0" shrinkToFit="false"/>
      <protection locked="true" hidden="false"/>
    </xf>
    <xf numFmtId="165" fontId="11" fillId="4" borderId="1" xfId="0" applyFont="true" applyBorder="true" applyAlignment="true" applyProtection="false">
      <alignment horizontal="center" vertical="center" textRotation="0" wrapText="false" indent="0" shrinkToFit="false"/>
      <protection locked="true" hidden="false"/>
    </xf>
    <xf numFmtId="164" fontId="10" fillId="6" borderId="1" xfId="0" applyFont="true" applyBorder="true" applyAlignment="true" applyProtection="false">
      <alignment horizontal="left" vertical="center" textRotation="0" wrapText="false" indent="0" shrinkToFit="false"/>
      <protection locked="true" hidden="false"/>
    </xf>
    <xf numFmtId="166" fontId="10" fillId="6" borderId="1" xfId="0" applyFont="true" applyBorder="true" applyAlignment="true" applyProtection="false">
      <alignment horizontal="center" vertical="center" textRotation="0" wrapText="false" indent="0" shrinkToFit="false"/>
      <protection locked="true" hidden="false"/>
    </xf>
    <xf numFmtId="167" fontId="10" fillId="6" borderId="1" xfId="0" applyFont="true" applyBorder="true" applyAlignment="true" applyProtection="false">
      <alignment horizontal="right" vertical="center" textRotation="0" wrapText="false" indent="0" shrinkToFit="false"/>
      <protection locked="true" hidden="false"/>
    </xf>
    <xf numFmtId="164" fontId="10" fillId="6" borderId="1" xfId="0" applyFont="true" applyBorder="true" applyAlignment="true" applyProtection="false">
      <alignment horizontal="center" vertical="center" textRotation="0" wrapText="false" indent="0" shrinkToFit="false"/>
      <protection locked="true" hidden="false"/>
    </xf>
    <xf numFmtId="164" fontId="12" fillId="4" borderId="1" xfId="0" applyFont="true" applyBorder="true" applyAlignment="true" applyProtection="false">
      <alignment horizontal="left" vertical="center" textRotation="0" wrapText="false" indent="0" shrinkToFit="false"/>
      <protection locked="true" hidden="false"/>
    </xf>
    <xf numFmtId="165" fontId="12" fillId="4" borderId="1" xfId="0" applyFont="true" applyBorder="true" applyAlignment="true" applyProtection="false">
      <alignment horizontal="center" vertical="center" textRotation="0" wrapText="false" indent="0" shrinkToFit="false"/>
      <protection locked="true" hidden="false"/>
    </xf>
    <xf numFmtId="164" fontId="8" fillId="4" borderId="1" xfId="0" applyFont="true" applyBorder="true" applyAlignment="true" applyProtection="false">
      <alignment horizontal="left" vertical="center" textRotation="0" wrapText="false" indent="0" shrinkToFit="false"/>
      <protection locked="true" hidden="false"/>
    </xf>
    <xf numFmtId="165" fontId="8" fillId="4" borderId="1" xfId="0" applyFont="true" applyBorder="true" applyAlignment="true" applyProtection="false">
      <alignment horizontal="center" vertical="center" textRotation="0" wrapText="false" indent="0" shrinkToFit="false"/>
      <protection locked="true" hidden="false"/>
    </xf>
    <xf numFmtId="164" fontId="13" fillId="4" borderId="1" xfId="0" applyFont="true" applyBorder="true" applyAlignment="true" applyProtection="false">
      <alignment horizontal="left" vertical="center" textRotation="0" wrapText="false" indent="0" shrinkToFit="false"/>
      <protection locked="true" hidden="false"/>
    </xf>
    <xf numFmtId="165" fontId="13" fillId="4" borderId="1" xfId="0" applyFont="true" applyBorder="true" applyAlignment="true" applyProtection="false">
      <alignment horizontal="center" vertical="center" textRotation="0" wrapText="false" indent="0" shrinkToFit="false"/>
      <protection locked="true" hidden="false"/>
    </xf>
    <xf numFmtId="164" fontId="14" fillId="4" borderId="1" xfId="0" applyFont="true" applyBorder="true" applyAlignment="true" applyProtection="false">
      <alignment horizontal="left" vertical="center" textRotation="0" wrapText="false" indent="0" shrinkToFit="false"/>
      <protection locked="true" hidden="false"/>
    </xf>
    <xf numFmtId="165" fontId="14" fillId="4" borderId="1" xfId="0" applyFont="true" applyBorder="true" applyAlignment="true" applyProtection="false">
      <alignment horizontal="center" vertical="center" textRotation="0" wrapText="false" indent="0" shrinkToFit="false"/>
      <protection locked="true" hidden="false"/>
    </xf>
    <xf numFmtId="164" fontId="10" fillId="0" borderId="0" xfId="0" applyFont="true" applyBorder="false" applyAlignment="true" applyProtection="false">
      <alignment horizontal="left" vertical="center" textRotation="0" wrapText="false" indent="0" shrinkToFit="false"/>
      <protection locked="true" hidden="false"/>
    </xf>
    <xf numFmtId="168" fontId="8" fillId="0" borderId="1" xfId="0" applyFont="true" applyBorder="true" applyAlignment="true" applyProtection="false">
      <alignment horizontal="center" vertical="center" textRotation="0" wrapText="false" indent="0" shrinkToFit="false"/>
      <protection locked="true" hidden="false"/>
    </xf>
    <xf numFmtId="164" fontId="9" fillId="0" borderId="0" xfId="0" applyFont="true" applyBorder="false" applyAlignment="true" applyProtection="false">
      <alignment horizontal="left" vertical="center" textRotation="0" wrapText="false" indent="0" shrinkToFit="false"/>
      <protection locked="true" hidden="false"/>
    </xf>
    <xf numFmtId="168" fontId="9" fillId="7" borderId="1" xfId="0" applyFont="true" applyBorder="true" applyAlignment="true" applyProtection="false">
      <alignment horizontal="center" vertical="center" textRotation="0" wrapText="false" indent="0" shrinkToFit="false"/>
      <protection locked="true" hidden="false"/>
    </xf>
    <xf numFmtId="164" fontId="11" fillId="0" borderId="0" xfId="0" applyFont="true" applyBorder="false" applyAlignment="true" applyProtection="false">
      <alignment horizontal="left" vertical="center" textRotation="0" wrapText="false" indent="0" shrinkToFit="false"/>
      <protection locked="true" hidden="false"/>
    </xf>
    <xf numFmtId="168" fontId="11" fillId="8" borderId="1" xfId="0" applyFont="true" applyBorder="true" applyAlignment="true" applyProtection="false">
      <alignment horizontal="center" vertical="center" textRotation="0" wrapText="false" indent="0" shrinkToFit="false"/>
      <protection locked="true" hidden="false"/>
    </xf>
    <xf numFmtId="164" fontId="12" fillId="0" borderId="0" xfId="0" applyFont="true" applyBorder="false" applyAlignment="true" applyProtection="false">
      <alignment horizontal="left" vertical="center" textRotation="0" wrapText="false" indent="0" shrinkToFit="false"/>
      <protection locked="true" hidden="false"/>
    </xf>
    <xf numFmtId="168" fontId="12" fillId="9" borderId="1" xfId="0" applyFont="true" applyBorder="true" applyAlignment="true" applyProtection="false">
      <alignment horizontal="center" vertical="center" textRotation="0" wrapText="false" indent="0" shrinkToFit="false"/>
      <protection locked="true" hidden="false"/>
    </xf>
    <xf numFmtId="168" fontId="8" fillId="10" borderId="1" xfId="0" applyFont="true" applyBorder="true" applyAlignment="true" applyProtection="false">
      <alignment horizontal="center" vertical="center" textRotation="0" wrapText="false" indent="0" shrinkToFit="false"/>
      <protection locked="true" hidden="false"/>
    </xf>
    <xf numFmtId="164" fontId="13" fillId="0" borderId="0" xfId="0" applyFont="true" applyBorder="false" applyAlignment="true" applyProtection="false">
      <alignment horizontal="left" vertical="center" textRotation="0" wrapText="false" indent="0" shrinkToFit="false"/>
      <protection locked="true" hidden="false"/>
    </xf>
    <xf numFmtId="168" fontId="13" fillId="11" borderId="1" xfId="0" applyFont="true" applyBorder="true" applyAlignment="true" applyProtection="false">
      <alignment horizontal="center" vertical="center" textRotation="0" wrapText="false" indent="0" shrinkToFit="false"/>
      <protection locked="true" hidden="false"/>
    </xf>
    <xf numFmtId="164" fontId="14" fillId="0" borderId="0" xfId="0" applyFont="true" applyBorder="false" applyAlignment="true" applyProtection="false">
      <alignment horizontal="left" vertical="center" textRotation="0" wrapText="false" indent="0" shrinkToFit="false"/>
      <protection locked="true" hidden="false"/>
    </xf>
    <xf numFmtId="168" fontId="14" fillId="12" borderId="1" xfId="0" applyFont="true" applyBorder="true" applyAlignment="true" applyProtection="false">
      <alignment horizontal="center" vertical="center" textRotation="0" wrapText="false" indent="0" shrinkToFit="false"/>
      <protection locked="true" hidden="false"/>
    </xf>
    <xf numFmtId="164" fontId="8" fillId="0" borderId="1" xfId="0" applyFont="true" applyBorder="true" applyAlignment="true" applyProtection="false">
      <alignment horizontal="center" vertical="center" textRotation="0" wrapText="false" indent="0" shrinkToFit="false"/>
      <protection locked="true" hidden="false"/>
    </xf>
    <xf numFmtId="167" fontId="9" fillId="7" borderId="1" xfId="0" applyFont="true" applyBorder="true" applyAlignment="true" applyProtection="false">
      <alignment horizontal="center" vertical="center" textRotation="0" wrapText="false" indent="0" shrinkToFit="false"/>
      <protection locked="true" hidden="false"/>
    </xf>
    <xf numFmtId="167" fontId="11" fillId="8" borderId="1" xfId="0" applyFont="true" applyBorder="true" applyAlignment="true" applyProtection="false">
      <alignment horizontal="center" vertical="center" textRotation="0" wrapText="false" indent="0" shrinkToFit="false"/>
      <protection locked="true" hidden="false"/>
    </xf>
    <xf numFmtId="167" fontId="12" fillId="9" borderId="1" xfId="0" applyFont="true" applyBorder="true" applyAlignment="true" applyProtection="false">
      <alignment horizontal="center" vertical="center" textRotation="0" wrapText="false" indent="0" shrinkToFit="false"/>
      <protection locked="true" hidden="false"/>
    </xf>
    <xf numFmtId="167" fontId="8" fillId="10" borderId="1" xfId="0" applyFont="true" applyBorder="true" applyAlignment="true" applyProtection="false">
      <alignment horizontal="center" vertical="center" textRotation="0" wrapText="false" indent="0" shrinkToFit="false"/>
      <protection locked="true" hidden="false"/>
    </xf>
    <xf numFmtId="167" fontId="13" fillId="11" borderId="1" xfId="0" applyFont="true" applyBorder="true" applyAlignment="true" applyProtection="false">
      <alignment horizontal="center" vertical="center" textRotation="0" wrapText="false" indent="0" shrinkToFit="false"/>
      <protection locked="true" hidden="false"/>
    </xf>
    <xf numFmtId="167" fontId="14" fillId="12" borderId="1" xfId="0" applyFont="true" applyBorder="true" applyAlignment="true" applyProtection="false">
      <alignment horizontal="center" vertical="center" textRotation="0" wrapText="false" indent="0" shrinkToFit="false"/>
      <protection locked="true" hidden="false"/>
    </xf>
    <xf numFmtId="167" fontId="10" fillId="0" borderId="1" xfId="0" applyFont="true" applyBorder="true" applyAlignment="true" applyProtection="false">
      <alignment horizontal="center" vertical="center" textRotation="0" wrapText="false" indent="0" shrinkToFit="false"/>
      <protection locked="true" hidden="false"/>
    </xf>
    <xf numFmtId="169" fontId="10" fillId="0" borderId="1" xfId="0" applyFont="true" applyBorder="true" applyAlignment="true" applyProtection="false">
      <alignment horizontal="center" vertical="center" textRotation="0" wrapText="false" indent="0" shrinkToFit="false"/>
      <protection locked="true" hidden="false"/>
    </xf>
    <xf numFmtId="170" fontId="10" fillId="0" borderId="1" xfId="0" applyFont="true" applyBorder="true" applyAlignment="true" applyProtection="false">
      <alignment horizontal="center" vertical="center" textRotation="0" wrapText="false" indent="0" shrinkToFit="false"/>
      <protection locked="true" hidden="false"/>
    </xf>
    <xf numFmtId="164" fontId="6" fillId="2" borderId="1" xfId="0" applyFont="true" applyBorder="true" applyAlignment="true" applyProtection="false">
      <alignment horizontal="left" vertical="center" textRotation="0" wrapText="false" indent="0" shrinkToFit="false"/>
      <protection locked="true" hidden="false"/>
    </xf>
    <xf numFmtId="164" fontId="10" fillId="2" borderId="1" xfId="0" applyFont="true" applyBorder="true" applyAlignment="true" applyProtection="false">
      <alignment horizontal="left" vertical="center" textRotation="0" wrapText="false" indent="0" shrinkToFit="false"/>
      <protection locked="true" hidden="false"/>
    </xf>
    <xf numFmtId="167" fontId="6" fillId="2" borderId="1" xfId="0" applyFont="true" applyBorder="true" applyAlignment="true" applyProtection="false">
      <alignment horizontal="right" vertical="center" textRotation="0" wrapText="false" indent="0" shrinkToFit="false"/>
      <protection locked="true" hidden="false"/>
    </xf>
    <xf numFmtId="168" fontId="6" fillId="2" borderId="1" xfId="0" applyFont="true" applyBorder="true" applyAlignment="true" applyProtection="false">
      <alignment horizontal="center" vertical="center" textRotation="0" wrapText="false" indent="0" shrinkToFit="false"/>
      <protection locked="true" hidden="false"/>
    </xf>
    <xf numFmtId="164" fontId="15" fillId="0" borderId="0" xfId="0" applyFont="true" applyBorder="true" applyAlignment="true" applyProtection="false">
      <alignment horizontal="left" vertical="top" textRotation="0" wrapText="true" indent="0" shrinkToFit="false"/>
      <protection locked="true" hidden="false"/>
    </xf>
    <xf numFmtId="164" fontId="16" fillId="2" borderId="0" xfId="0" applyFont="true" applyBorder="true" applyAlignment="true" applyProtection="false">
      <alignment horizontal="left" vertical="center" textRotation="0" wrapText="false" indent="0" shrinkToFit="false"/>
      <protection locked="true" hidden="false"/>
    </xf>
    <xf numFmtId="164" fontId="15" fillId="0" borderId="0" xfId="0" applyFont="true" applyBorder="true" applyAlignment="true" applyProtection="false">
      <alignment horizontal="left" vertical="center" textRotation="0" wrapText="true" indent="0" shrinkToFit="false"/>
      <protection locked="true" hidden="false"/>
    </xf>
    <xf numFmtId="169" fontId="10" fillId="4" borderId="1" xfId="0" applyFont="true" applyBorder="true" applyAlignment="true" applyProtection="false">
      <alignment horizontal="center" vertical="center" textRotation="0" wrapText="false" indent="0" shrinkToFit="false"/>
      <protection locked="true" hidden="false"/>
    </xf>
    <xf numFmtId="164" fontId="17" fillId="0" borderId="1" xfId="0" applyFont="true" applyBorder="true" applyAlignment="true" applyProtection="false">
      <alignment horizontal="center" vertical="center" textRotation="0" wrapText="false" indent="0" shrinkToFit="false"/>
      <protection locked="true" hidden="false"/>
    </xf>
    <xf numFmtId="169" fontId="10" fillId="6" borderId="1" xfId="0" applyFont="true" applyBorder="true" applyAlignment="true" applyProtection="false">
      <alignment horizontal="center" vertical="center" textRotation="0" wrapText="false" indent="0" shrinkToFit="false"/>
      <protection locked="true" hidden="false"/>
    </xf>
    <xf numFmtId="164" fontId="17" fillId="6" borderId="1" xfId="0" applyFont="true" applyBorder="true" applyAlignment="true" applyProtection="false">
      <alignment horizontal="center" vertical="center" textRotation="0" wrapText="false" indent="0" shrinkToFit="false"/>
      <protection locked="true" hidden="false"/>
    </xf>
    <xf numFmtId="165" fontId="10" fillId="4" borderId="1" xfId="0" applyFont="true" applyBorder="true" applyAlignment="true" applyProtection="false">
      <alignment horizontal="center" vertical="center" textRotation="0" wrapText="false" indent="0" shrinkToFit="false"/>
      <protection locked="true" hidden="false"/>
    </xf>
    <xf numFmtId="165" fontId="18" fillId="4" borderId="1" xfId="0" applyFont="true" applyBorder="true" applyAlignment="true" applyProtection="false">
      <alignment horizontal="center" vertical="center" textRotation="0" wrapText="false" indent="0" shrinkToFit="false"/>
      <protection locked="true" hidden="false"/>
    </xf>
    <xf numFmtId="165" fontId="19" fillId="4" borderId="1" xfId="0" applyFont="true" applyBorder="true" applyAlignment="true" applyProtection="false">
      <alignment horizontal="center" vertical="center" textRotation="0" wrapText="false" indent="0" shrinkToFit="false"/>
      <protection locked="true" hidden="false"/>
    </xf>
    <xf numFmtId="165" fontId="20" fillId="4" borderId="1" xfId="0" applyFont="true" applyBorder="true" applyAlignment="true" applyProtection="false">
      <alignment horizontal="center" vertical="center" textRotation="0" wrapText="false" indent="0" shrinkToFit="false"/>
      <protection locked="true" hidden="false"/>
    </xf>
    <xf numFmtId="165" fontId="21" fillId="4" borderId="1" xfId="0" applyFont="true" applyBorder="true" applyAlignment="true" applyProtection="false">
      <alignment horizontal="center" vertical="center" textRotation="0" wrapText="false" indent="0" shrinkToFit="false"/>
      <protection locked="true" hidden="false"/>
    </xf>
    <xf numFmtId="165" fontId="22" fillId="4" borderId="1" xfId="0" applyFont="true" applyBorder="true" applyAlignment="true" applyProtection="false">
      <alignment horizontal="center" vertical="center" textRotation="0" wrapText="false" indent="0" shrinkToFit="false"/>
      <protection locked="true" hidden="false"/>
    </xf>
    <xf numFmtId="164" fontId="15" fillId="0" borderId="0" xfId="0" applyFont="true" applyBorder="false" applyAlignment="true" applyProtection="false">
      <alignment horizontal="left" vertical="center" textRotation="0" wrapText="false" indent="0" shrinkToFit="false"/>
      <protection locked="true" hidden="false"/>
    </xf>
    <xf numFmtId="165" fontId="23" fillId="0" borderId="0" xfId="0" applyFont="true" applyBorder="false" applyAlignment="true" applyProtection="false">
      <alignment horizontal="center" vertical="center" textRotation="0" wrapText="false" indent="0" shrinkToFit="false"/>
      <protection locked="true" hidden="false"/>
    </xf>
    <xf numFmtId="164" fontId="10" fillId="3" borderId="0" xfId="0" applyFont="true" applyBorder="false" applyAlignment="true" applyProtection="false">
      <alignment horizontal="left" vertical="center" textRotation="0" wrapText="false" indent="0" shrinkToFit="false"/>
      <protection locked="true" hidden="false"/>
    </xf>
    <xf numFmtId="164" fontId="6" fillId="3" borderId="2" xfId="0" applyFont="true" applyBorder="true" applyAlignment="true" applyProtection="false">
      <alignment horizontal="center" vertical="center" textRotation="0" wrapText="false" indent="0" shrinkToFit="false"/>
      <protection locked="true" hidden="false"/>
    </xf>
    <xf numFmtId="164" fontId="6" fillId="3" borderId="1" xfId="0" applyFont="true" applyBorder="true" applyAlignment="true" applyProtection="false">
      <alignment horizontal="center" vertical="center" textRotation="0" wrapText="false" indent="0" shrinkToFit="false"/>
      <protection locked="true" hidden="false"/>
    </xf>
    <xf numFmtId="164" fontId="7" fillId="3" borderId="1" xfId="0" applyFont="true" applyBorder="true" applyAlignment="true" applyProtection="false">
      <alignment horizontal="center" vertical="center" textRotation="0" wrapText="false" indent="0" shrinkToFit="false"/>
      <protection locked="true" hidden="false"/>
    </xf>
    <xf numFmtId="165" fontId="24" fillId="0" borderId="1" xfId="0" applyFont="true" applyBorder="true" applyAlignment="true" applyProtection="false">
      <alignment horizontal="center" vertical="center" textRotation="0" wrapText="false" indent="0" shrinkToFit="false"/>
      <protection locked="true" hidden="false"/>
    </xf>
    <xf numFmtId="165" fontId="25" fillId="0" borderId="1" xfId="0" applyFont="true" applyBorder="true" applyAlignment="true" applyProtection="false">
      <alignment horizontal="center" vertical="center" textRotation="0" wrapText="false" indent="0" shrinkToFit="false"/>
      <protection locked="true" hidden="false"/>
    </xf>
    <xf numFmtId="165" fontId="26" fillId="0" borderId="1" xfId="0" applyFont="true" applyBorder="true" applyAlignment="true" applyProtection="false">
      <alignment horizontal="center" vertical="center" textRotation="0" wrapText="false" indent="0" shrinkToFit="false"/>
      <protection locked="true" hidden="false"/>
    </xf>
    <xf numFmtId="165" fontId="27" fillId="0" borderId="1" xfId="0" applyFont="true" applyBorder="true" applyAlignment="true" applyProtection="false">
      <alignment horizontal="center" vertical="center" textRotation="0" wrapText="false" indent="0" shrinkToFit="false"/>
      <protection locked="true" hidden="false"/>
    </xf>
    <xf numFmtId="165" fontId="28" fillId="0" borderId="1" xfId="0" applyFont="true" applyBorder="true" applyAlignment="true" applyProtection="false">
      <alignment horizontal="center" vertical="center" textRotation="0" wrapText="false" indent="0" shrinkToFit="false"/>
      <protection locked="true" hidden="false"/>
    </xf>
    <xf numFmtId="165" fontId="29" fillId="0" borderId="1" xfId="0" applyFont="true" applyBorder="true" applyAlignment="true" applyProtection="false">
      <alignment horizontal="center" vertical="center" textRotation="0" wrapText="false" indent="0" shrinkToFit="false"/>
      <protection locked="true" hidden="false"/>
    </xf>
    <xf numFmtId="165" fontId="24" fillId="6" borderId="1" xfId="0" applyFont="true" applyBorder="true" applyAlignment="true" applyProtection="false">
      <alignment horizontal="center" vertical="center" textRotation="0" wrapText="false" indent="0" shrinkToFit="false"/>
      <protection locked="true" hidden="false"/>
    </xf>
    <xf numFmtId="165" fontId="25" fillId="6" borderId="1" xfId="0" applyFont="true" applyBorder="true" applyAlignment="true" applyProtection="false">
      <alignment horizontal="center" vertical="center" textRotation="0" wrapText="false" indent="0" shrinkToFit="false"/>
      <protection locked="true" hidden="false"/>
    </xf>
    <xf numFmtId="165" fontId="26" fillId="6" borderId="1" xfId="0" applyFont="true" applyBorder="true" applyAlignment="true" applyProtection="false">
      <alignment horizontal="center" vertical="center" textRotation="0" wrapText="false" indent="0" shrinkToFit="false"/>
      <protection locked="true" hidden="false"/>
    </xf>
    <xf numFmtId="165" fontId="27" fillId="6" borderId="1" xfId="0" applyFont="true" applyBorder="true" applyAlignment="true" applyProtection="false">
      <alignment horizontal="center" vertical="center" textRotation="0" wrapText="false" indent="0" shrinkToFit="false"/>
      <protection locked="true" hidden="false"/>
    </xf>
    <xf numFmtId="165" fontId="28" fillId="6" borderId="1" xfId="0" applyFont="true" applyBorder="true" applyAlignment="true" applyProtection="false">
      <alignment horizontal="center" vertical="center" textRotation="0" wrapText="false" indent="0" shrinkToFit="false"/>
      <protection locked="true" hidden="false"/>
    </xf>
    <xf numFmtId="165" fontId="29" fillId="6" borderId="1" xfId="0" applyFont="true" applyBorder="true" applyAlignment="true" applyProtection="false">
      <alignment horizontal="center" vertical="center" textRotation="0" wrapText="false" indent="0" shrinkToFit="false"/>
      <protection locked="true" hidden="false"/>
    </xf>
    <xf numFmtId="169" fontId="18" fillId="4" borderId="1" xfId="0" applyFont="true" applyBorder="true" applyAlignment="true" applyProtection="false">
      <alignment horizontal="center" vertical="center" textRotation="0" wrapText="false" indent="0" shrinkToFit="false"/>
      <protection locked="true" hidden="false"/>
    </xf>
    <xf numFmtId="169" fontId="19" fillId="4" borderId="1" xfId="0" applyFont="true" applyBorder="true" applyAlignment="true" applyProtection="false">
      <alignment horizontal="center" vertical="center" textRotation="0" wrapText="false" indent="0" shrinkToFit="false"/>
      <protection locked="true" hidden="false"/>
    </xf>
    <xf numFmtId="169" fontId="20" fillId="4" borderId="1" xfId="0" applyFont="true" applyBorder="true" applyAlignment="true" applyProtection="false">
      <alignment horizontal="center" vertical="center" textRotation="0" wrapText="false" indent="0" shrinkToFit="false"/>
      <protection locked="true" hidden="false"/>
    </xf>
    <xf numFmtId="169" fontId="21" fillId="4" borderId="1" xfId="0" applyFont="true" applyBorder="true" applyAlignment="true" applyProtection="false">
      <alignment horizontal="center" vertical="center" textRotation="0" wrapText="false" indent="0" shrinkToFit="false"/>
      <protection locked="true" hidden="false"/>
    </xf>
    <xf numFmtId="169" fontId="22" fillId="4" borderId="1" xfId="0" applyFont="true" applyBorder="true" applyAlignment="true" applyProtection="false">
      <alignment horizontal="center" vertical="center" textRotation="0" wrapText="false" indent="0" shrinkToFit="false"/>
      <protection locked="true" hidden="false"/>
    </xf>
    <xf numFmtId="164" fontId="11" fillId="4" borderId="1" xfId="0" applyFont="true" applyBorder="true" applyAlignment="true" applyProtection="false">
      <alignment horizontal="center" vertical="center" textRotation="0" wrapText="false" indent="0" shrinkToFit="false"/>
      <protection locked="true" hidden="false"/>
    </xf>
    <xf numFmtId="170" fontId="8" fillId="5" borderId="1" xfId="0" applyFont="true" applyBorder="true" applyAlignment="true" applyProtection="false">
      <alignment horizontal="center" vertical="center" textRotation="0" wrapText="false" indent="0" shrinkToFit="false"/>
      <protection locked="true" hidden="false"/>
    </xf>
    <xf numFmtId="171" fontId="15" fillId="0" borderId="0" xfId="0" applyFont="true" applyBorder="false" applyAlignment="true" applyProtection="false">
      <alignment horizontal="center" vertical="center" textRotation="0" wrapText="false" indent="0" shrinkToFit="false"/>
      <protection locked="true" hidden="false"/>
    </xf>
    <xf numFmtId="164" fontId="8" fillId="4" borderId="1" xfId="0" applyFont="true" applyBorder="true" applyAlignment="true" applyProtection="false">
      <alignment horizontal="center" vertical="center" textRotation="0" wrapText="false" indent="0" shrinkToFit="false"/>
      <protection locked="true" hidden="false"/>
    </xf>
    <xf numFmtId="172" fontId="10" fillId="4" borderId="1" xfId="0" applyFont="true" applyBorder="true" applyAlignment="true" applyProtection="false">
      <alignment horizontal="center" vertical="center" textRotation="0" wrapText="false" indent="0" shrinkToFit="false"/>
      <protection locked="true" hidden="false"/>
    </xf>
    <xf numFmtId="173" fontId="10" fillId="0" borderId="1" xfId="0" applyFont="true" applyBorder="true" applyAlignment="true" applyProtection="false">
      <alignment horizontal="center" vertical="center" textRotation="0" wrapText="false" indent="0" shrinkToFit="false"/>
      <protection locked="true" hidden="false"/>
    </xf>
    <xf numFmtId="173" fontId="6" fillId="2" borderId="1" xfId="0" applyFont="true" applyBorder="true" applyAlignment="true" applyProtection="false">
      <alignment horizontal="center" vertical="center" textRotation="0" wrapText="false" indent="0" shrinkToFit="false"/>
      <protection locked="true" hidden="false"/>
    </xf>
    <xf numFmtId="171" fontId="23" fillId="0" borderId="0" xfId="0" applyFont="true" applyBorder="false" applyAlignment="true" applyProtection="false">
      <alignment horizontal="center" vertical="center" textRotation="0" wrapText="false" indent="0" shrinkToFit="false"/>
      <protection locked="true" hidden="false"/>
    </xf>
    <xf numFmtId="168" fontId="23" fillId="0" borderId="1" xfId="0" applyFont="true" applyBorder="true" applyAlignment="true" applyProtection="false">
      <alignment horizontal="center" vertical="center" textRotation="0" wrapText="false" indent="0" shrinkToFit="false"/>
      <protection locked="true" hidden="false"/>
    </xf>
    <xf numFmtId="164" fontId="30" fillId="0" borderId="0" xfId="0" applyFont="true" applyBorder="false" applyAlignment="true" applyProtection="false">
      <alignment horizontal="center" vertical="center" textRotation="0" wrapText="false" indent="0" shrinkToFit="false"/>
      <protection locked="true" hidden="false"/>
    </xf>
    <xf numFmtId="165" fontId="15" fillId="0" borderId="0" xfId="0" applyFont="true" applyBorder="false" applyAlignment="true" applyProtection="false">
      <alignment horizontal="center" vertical="center" textRotation="0" wrapText="false" indent="0" shrinkToFit="false"/>
      <protection locked="true" hidden="false"/>
    </xf>
    <xf numFmtId="164" fontId="9" fillId="6" borderId="1" xfId="0" applyFont="true" applyBorder="true" applyAlignment="true" applyProtection="false">
      <alignment horizontal="center" vertical="center" textRotation="0" wrapText="false" indent="0" shrinkToFit="false"/>
      <protection locked="true" hidden="false"/>
    </xf>
    <xf numFmtId="164" fontId="11" fillId="6" borderId="1" xfId="0" applyFont="true" applyBorder="true" applyAlignment="true" applyProtection="false">
      <alignment horizontal="center" vertical="center" textRotation="0" wrapText="false" indent="0" shrinkToFit="false"/>
      <protection locked="true" hidden="false"/>
    </xf>
    <xf numFmtId="164" fontId="12" fillId="6" borderId="1" xfId="0" applyFont="true" applyBorder="true" applyAlignment="true" applyProtection="false">
      <alignment horizontal="center" vertical="center" textRotation="0" wrapText="false" indent="0" shrinkToFit="false"/>
      <protection locked="true" hidden="false"/>
    </xf>
    <xf numFmtId="164" fontId="8" fillId="6" borderId="1" xfId="0" applyFont="true" applyBorder="true" applyAlignment="true" applyProtection="false">
      <alignment horizontal="center" vertical="center" textRotation="0" wrapText="false" indent="0" shrinkToFit="false"/>
      <protection locked="true" hidden="false"/>
    </xf>
    <xf numFmtId="164" fontId="13" fillId="6" borderId="1" xfId="0" applyFont="true" applyBorder="true" applyAlignment="true" applyProtection="false">
      <alignment horizontal="center" vertical="center" textRotation="0" wrapText="false" indent="0" shrinkToFit="false"/>
      <protection locked="true" hidden="false"/>
    </xf>
    <xf numFmtId="164" fontId="14" fillId="6" borderId="1" xfId="0" applyFont="true" applyBorder="true" applyAlignment="true" applyProtection="false">
      <alignment horizontal="center" vertical="center" textRotation="0" wrapText="false" indent="0" shrinkToFit="false"/>
      <protection locked="true" hidden="false"/>
    </xf>
    <xf numFmtId="173" fontId="18" fillId="4" borderId="1" xfId="0" applyFont="true" applyBorder="true" applyAlignment="true" applyProtection="false">
      <alignment horizontal="center" vertical="center" textRotation="0" wrapText="false" indent="0" shrinkToFit="false"/>
      <protection locked="true" hidden="false"/>
    </xf>
    <xf numFmtId="173" fontId="19" fillId="4" borderId="1" xfId="0" applyFont="true" applyBorder="true" applyAlignment="true" applyProtection="false">
      <alignment horizontal="center" vertical="center" textRotation="0" wrapText="false" indent="0" shrinkToFit="false"/>
      <protection locked="true" hidden="false"/>
    </xf>
    <xf numFmtId="173" fontId="20" fillId="4" borderId="1" xfId="0" applyFont="true" applyBorder="true" applyAlignment="true" applyProtection="false">
      <alignment horizontal="center" vertical="center" textRotation="0" wrapText="false" indent="0" shrinkToFit="false"/>
      <protection locked="true" hidden="false"/>
    </xf>
    <xf numFmtId="173" fontId="10" fillId="4" borderId="1" xfId="0" applyFont="true" applyBorder="true" applyAlignment="true" applyProtection="false">
      <alignment horizontal="center" vertical="center" textRotation="0" wrapText="false" indent="0" shrinkToFit="false"/>
      <protection locked="true" hidden="false"/>
    </xf>
    <xf numFmtId="173" fontId="21" fillId="4" borderId="1" xfId="0" applyFont="true" applyBorder="true" applyAlignment="true" applyProtection="false">
      <alignment horizontal="center" vertical="center" textRotation="0" wrapText="false" indent="0" shrinkToFit="false"/>
      <protection locked="true" hidden="false"/>
    </xf>
    <xf numFmtId="173" fontId="22" fillId="4" borderId="1" xfId="0" applyFont="true" applyBorder="true" applyAlignment="true" applyProtection="false">
      <alignment horizontal="center" vertical="center" textRotation="0" wrapText="false" indent="0" shrinkToFit="false"/>
      <protection locked="true" hidden="false"/>
    </xf>
    <xf numFmtId="164" fontId="15" fillId="0" borderId="0" xfId="0" applyFont="true" applyBorder="true" applyAlignment="true" applyProtection="false">
      <alignment horizontal="left" vertical="center" textRotation="0" wrapText="false" indent="0" shrinkToFit="false"/>
      <protection locked="true" hidden="false"/>
    </xf>
    <xf numFmtId="164" fontId="9" fillId="0" borderId="1" xfId="0" applyFont="true" applyBorder="true" applyAlignment="true" applyProtection="false">
      <alignment horizontal="left" vertical="center" textRotation="0" wrapText="false" indent="0" shrinkToFit="false"/>
      <protection locked="true" hidden="false"/>
    </xf>
    <xf numFmtId="164" fontId="10" fillId="4" borderId="1" xfId="0" applyFont="true" applyBorder="true" applyAlignment="true" applyProtection="false">
      <alignment horizontal="center" vertical="center" textRotation="0" wrapText="false" indent="0" shrinkToFit="false"/>
      <protection locked="true" hidden="false"/>
    </xf>
    <xf numFmtId="164" fontId="11" fillId="0" borderId="1" xfId="0" applyFont="true" applyBorder="true" applyAlignment="true" applyProtection="false">
      <alignment horizontal="left" vertical="center" textRotation="0" wrapText="false" indent="0" shrinkToFit="false"/>
      <protection locked="true" hidden="false"/>
    </xf>
    <xf numFmtId="164" fontId="12" fillId="0" borderId="1" xfId="0" applyFont="true" applyBorder="true" applyAlignment="true" applyProtection="false">
      <alignment horizontal="left" vertical="center" textRotation="0" wrapText="false" indent="0" shrinkToFit="false"/>
      <protection locked="true" hidden="false"/>
    </xf>
    <xf numFmtId="164" fontId="8" fillId="0" borderId="1" xfId="0" applyFont="true" applyBorder="true" applyAlignment="true" applyProtection="false">
      <alignment horizontal="left" vertical="center" textRotation="0" wrapText="false" indent="0" shrinkToFit="false"/>
      <protection locked="true" hidden="false"/>
    </xf>
    <xf numFmtId="164" fontId="13" fillId="0" borderId="1" xfId="0" applyFont="true" applyBorder="true" applyAlignment="true" applyProtection="false">
      <alignment horizontal="left" vertical="center" textRotation="0" wrapText="false" indent="0" shrinkToFit="false"/>
      <protection locked="true" hidden="false"/>
    </xf>
    <xf numFmtId="164" fontId="14" fillId="0" borderId="1" xfId="0" applyFont="true" applyBorder="true" applyAlignment="true" applyProtection="false">
      <alignment horizontal="left" vertical="center" textRotation="0" wrapText="false" indent="0" shrinkToFit="false"/>
      <protection locked="true" hidden="false"/>
    </xf>
    <xf numFmtId="164" fontId="6" fillId="3" borderId="1" xfId="0" applyFont="true" applyBorder="true" applyAlignment="true" applyProtection="false">
      <alignment horizontal="left" vertical="center" textRotation="0" wrapText="false" indent="0" shrinkToFit="false"/>
      <protection locked="true" hidden="false"/>
    </xf>
    <xf numFmtId="164" fontId="8" fillId="0" borderId="2" xfId="0" applyFont="true" applyBorder="true" applyAlignment="true" applyProtection="false">
      <alignment horizontal="left" vertical="center" textRotation="0" wrapText="false" indent="0" shrinkToFit="false"/>
      <protection locked="true" hidden="false"/>
    </xf>
    <xf numFmtId="164" fontId="31" fillId="0" borderId="2" xfId="0" applyFont="true" applyBorder="true" applyAlignment="true" applyProtection="false">
      <alignment horizontal="left" vertical="center" textRotation="0" wrapText="false" indent="0" shrinkToFit="false"/>
      <protection locked="true" hidden="false"/>
    </xf>
    <xf numFmtId="164" fontId="10" fillId="0" borderId="0" xfId="0" applyFont="true" applyBorder="false" applyAlignment="true" applyProtection="false">
      <alignment horizontal="right" vertical="center" textRotation="0" wrapText="false" indent="0" shrinkToFit="false"/>
      <protection locked="true" hidden="false"/>
    </xf>
    <xf numFmtId="165" fontId="10" fillId="0" borderId="1" xfId="0" applyFont="true" applyBorder="true" applyAlignment="true" applyProtection="false">
      <alignment horizontal="center" vertical="center" textRotation="0" wrapText="false" indent="0" shrinkToFit="false"/>
      <protection locked="true" hidden="false"/>
    </xf>
    <xf numFmtId="172" fontId="10" fillId="0" borderId="1" xfId="0" applyFont="true" applyBorder="true" applyAlignment="true" applyProtection="false">
      <alignment horizontal="center" vertical="center" textRotation="0" wrapText="false" indent="0" shrinkToFit="false"/>
      <protection locked="true" hidden="false"/>
    </xf>
    <xf numFmtId="165" fontId="18" fillId="0" borderId="1" xfId="0" applyFont="true" applyBorder="true" applyAlignment="true" applyProtection="false">
      <alignment horizontal="center" vertical="center" textRotation="0" wrapText="false" indent="0" shrinkToFit="false"/>
      <protection locked="true" hidden="false"/>
    </xf>
    <xf numFmtId="165" fontId="19" fillId="0" borderId="1" xfId="0" applyFont="true" applyBorder="true" applyAlignment="true" applyProtection="false">
      <alignment horizontal="center" vertical="center" textRotation="0" wrapText="false" indent="0" shrinkToFit="false"/>
      <protection locked="true" hidden="false"/>
    </xf>
    <xf numFmtId="165" fontId="20" fillId="0" borderId="1" xfId="0" applyFont="true" applyBorder="true" applyAlignment="true" applyProtection="false">
      <alignment horizontal="center" vertical="center" textRotation="0" wrapText="false" indent="0" shrinkToFit="false"/>
      <protection locked="true" hidden="false"/>
    </xf>
    <xf numFmtId="165" fontId="21" fillId="0" borderId="1" xfId="0" applyFont="true" applyBorder="true" applyAlignment="true" applyProtection="false">
      <alignment horizontal="center" vertical="center" textRotation="0" wrapText="false" indent="0" shrinkToFit="false"/>
      <protection locked="true" hidden="false"/>
    </xf>
    <xf numFmtId="165" fontId="22" fillId="0" borderId="1" xfId="0" applyFont="true" applyBorder="true" applyAlignment="true" applyProtection="false">
      <alignment horizontal="center" vertical="center" textRotation="0" wrapText="false" indent="0" shrinkToFit="false"/>
      <protection locked="true" hidden="false"/>
    </xf>
    <xf numFmtId="165" fontId="9" fillId="0" borderId="1" xfId="0" applyFont="true" applyBorder="true" applyAlignment="true" applyProtection="false">
      <alignment horizontal="center" vertical="center" textRotation="0" wrapText="false" indent="0" shrinkToFit="false"/>
      <protection locked="true" hidden="false"/>
    </xf>
    <xf numFmtId="165" fontId="11" fillId="0" borderId="1" xfId="0" applyFont="true" applyBorder="true" applyAlignment="true" applyProtection="false">
      <alignment horizontal="center" vertical="center" textRotation="0" wrapText="false" indent="0" shrinkToFit="false"/>
      <protection locked="true" hidden="false"/>
    </xf>
    <xf numFmtId="165" fontId="12" fillId="0" borderId="1" xfId="0" applyFont="true" applyBorder="true" applyAlignment="true" applyProtection="false">
      <alignment horizontal="center" vertical="center" textRotation="0" wrapText="false" indent="0" shrinkToFit="false"/>
      <protection locked="true" hidden="false"/>
    </xf>
    <xf numFmtId="165" fontId="8" fillId="0" borderId="1" xfId="0" applyFont="true" applyBorder="true" applyAlignment="true" applyProtection="false">
      <alignment horizontal="center" vertical="center" textRotation="0" wrapText="false" indent="0" shrinkToFit="false"/>
      <protection locked="true" hidden="false"/>
    </xf>
    <xf numFmtId="165" fontId="13" fillId="0" borderId="1" xfId="0" applyFont="true" applyBorder="true" applyAlignment="true" applyProtection="false">
      <alignment horizontal="center" vertical="center" textRotation="0" wrapText="false" indent="0" shrinkToFit="false"/>
      <protection locked="true" hidden="false"/>
    </xf>
    <xf numFmtId="165" fontId="14" fillId="0" borderId="1" xfId="0" applyFont="true" applyBorder="true" applyAlignment="true" applyProtection="false">
      <alignment horizontal="center" vertical="center" textRotation="0" wrapText="false" indent="0" shrinkToFit="false"/>
      <protection locked="true" hidden="false"/>
    </xf>
    <xf numFmtId="174" fontId="10" fillId="0" borderId="0" xfId="0" applyFont="true" applyBorder="false" applyAlignment="true" applyProtection="false">
      <alignment horizontal="left" vertical="center" textRotation="0" wrapText="false" indent="0" shrinkToFit="false"/>
      <protection locked="true" hidden="false"/>
    </xf>
    <xf numFmtId="175" fontId="10" fillId="0" borderId="0" xfId="0" applyFont="true" applyBorder="false" applyAlignment="true" applyProtection="false">
      <alignment horizontal="left" vertical="center" textRotation="0" wrapText="false" indent="0" shrinkToFit="false"/>
      <protection locked="true" hidden="false"/>
    </xf>
    <xf numFmtId="165" fontId="18" fillId="6" borderId="1" xfId="0" applyFont="true" applyBorder="true" applyAlignment="true" applyProtection="false">
      <alignment horizontal="center" vertical="center" textRotation="0" wrapText="false" indent="0" shrinkToFit="false"/>
      <protection locked="true" hidden="false"/>
    </xf>
    <xf numFmtId="165" fontId="19" fillId="6" borderId="1" xfId="0" applyFont="true" applyBorder="true" applyAlignment="true" applyProtection="false">
      <alignment horizontal="center" vertical="center" textRotation="0" wrapText="false" indent="0" shrinkToFit="false"/>
      <protection locked="true" hidden="false"/>
    </xf>
    <xf numFmtId="165" fontId="20" fillId="6" borderId="1" xfId="0" applyFont="true" applyBorder="true" applyAlignment="true" applyProtection="false">
      <alignment horizontal="center" vertical="center" textRotation="0" wrapText="false" indent="0" shrinkToFit="false"/>
      <protection locked="true" hidden="false"/>
    </xf>
    <xf numFmtId="165" fontId="10" fillId="6" borderId="1" xfId="0" applyFont="true" applyBorder="true" applyAlignment="true" applyProtection="false">
      <alignment horizontal="center" vertical="center" textRotation="0" wrapText="false" indent="0" shrinkToFit="false"/>
      <protection locked="true" hidden="false"/>
    </xf>
    <xf numFmtId="165" fontId="21" fillId="6" borderId="1" xfId="0" applyFont="true" applyBorder="true" applyAlignment="true" applyProtection="false">
      <alignment horizontal="center" vertical="center" textRotation="0" wrapText="false" indent="0" shrinkToFit="false"/>
      <protection locked="true" hidden="false"/>
    </xf>
    <xf numFmtId="165" fontId="22" fillId="6" borderId="1" xfId="0" applyFont="true" applyBorder="true" applyAlignment="true" applyProtection="false">
      <alignment horizontal="center" vertical="center" textRotation="0" wrapText="false" indent="0" shrinkToFit="false"/>
      <protection locked="true" hidden="false"/>
    </xf>
    <xf numFmtId="165" fontId="9" fillId="6" borderId="1" xfId="0" applyFont="true" applyBorder="true" applyAlignment="true" applyProtection="false">
      <alignment horizontal="center" vertical="center" textRotation="0" wrapText="false" indent="0" shrinkToFit="false"/>
      <protection locked="true" hidden="false"/>
    </xf>
    <xf numFmtId="165" fontId="11" fillId="6" borderId="1" xfId="0" applyFont="true" applyBorder="true" applyAlignment="true" applyProtection="false">
      <alignment horizontal="center" vertical="center" textRotation="0" wrapText="false" indent="0" shrinkToFit="false"/>
      <protection locked="true" hidden="false"/>
    </xf>
    <xf numFmtId="165" fontId="12" fillId="6" borderId="1" xfId="0" applyFont="true" applyBorder="true" applyAlignment="true" applyProtection="false">
      <alignment horizontal="center" vertical="center" textRotation="0" wrapText="false" indent="0" shrinkToFit="false"/>
      <protection locked="true" hidden="false"/>
    </xf>
    <xf numFmtId="165" fontId="8" fillId="6" borderId="1" xfId="0" applyFont="true" applyBorder="true" applyAlignment="true" applyProtection="false">
      <alignment horizontal="center" vertical="center" textRotation="0" wrapText="false" indent="0" shrinkToFit="false"/>
      <protection locked="true" hidden="false"/>
    </xf>
    <xf numFmtId="165" fontId="13" fillId="6" borderId="1" xfId="0" applyFont="true" applyBorder="true" applyAlignment="true" applyProtection="false">
      <alignment horizontal="center" vertical="center" textRotation="0" wrapText="false" indent="0" shrinkToFit="false"/>
      <protection locked="true" hidden="false"/>
    </xf>
    <xf numFmtId="165" fontId="14" fillId="6" borderId="1" xfId="0" applyFont="true" applyBorder="true" applyAlignment="true" applyProtection="false">
      <alignment horizontal="center" vertical="center" textRotation="0" wrapText="false" indent="0" shrinkToFit="false"/>
      <protection locked="true" hidden="false"/>
    </xf>
    <xf numFmtId="164" fontId="32" fillId="0" borderId="0" xfId="0" applyFont="true" applyBorder="false" applyAlignment="true" applyProtection="false">
      <alignment horizontal="left" vertical="center" textRotation="0" wrapText="false" indent="0" shrinkToFit="false"/>
      <protection locked="true" hidden="false"/>
    </xf>
    <xf numFmtId="164" fontId="23" fillId="0" borderId="0" xfId="0" applyFont="true" applyBorder="false" applyAlignment="true" applyProtection="false">
      <alignment horizontal="left" vertical="center" textRotation="0" wrapText="false" indent="0" shrinkToFit="false"/>
      <protection locked="true" hidden="false"/>
    </xf>
    <xf numFmtId="176" fontId="33" fillId="0" borderId="0" xfId="0" applyFont="true" applyBorder="false" applyAlignment="false" applyProtection="false">
      <alignment horizontal="general" vertical="bottom" textRotation="0" wrapText="false" indent="0" shrinkToFit="false"/>
      <protection locked="true" hidden="false"/>
    </xf>
    <xf numFmtId="171" fontId="30" fillId="0" borderId="0" xfId="0" applyFont="true" applyBorder="false" applyAlignment="false" applyProtection="false">
      <alignment horizontal="general" vertical="bottom" textRotation="0" wrapText="false" indent="0" shrinkToFit="false"/>
      <protection locked="true" hidden="false"/>
    </xf>
    <xf numFmtId="164" fontId="9" fillId="4" borderId="1" xfId="0" applyFont="true" applyBorder="true" applyAlignment="true" applyProtection="false">
      <alignment horizontal="center" vertical="center" textRotation="0" wrapText="false" indent="0" shrinkToFit="false"/>
      <protection locked="true" hidden="false"/>
    </xf>
    <xf numFmtId="164" fontId="9" fillId="7" borderId="1" xfId="0" applyFont="true" applyBorder="true" applyAlignment="true" applyProtection="false">
      <alignment horizontal="left" vertical="center" textRotation="0" wrapText="false" indent="0" shrinkToFit="false"/>
      <protection locked="true" hidden="false"/>
    </xf>
    <xf numFmtId="164" fontId="11" fillId="8" borderId="1" xfId="0" applyFont="true" applyBorder="true" applyAlignment="true" applyProtection="false">
      <alignment horizontal="left" vertical="center" textRotation="0" wrapText="false" indent="0" shrinkToFit="false"/>
      <protection locked="true" hidden="false"/>
    </xf>
    <xf numFmtId="164" fontId="12" fillId="9" borderId="1" xfId="0" applyFont="true" applyBorder="true" applyAlignment="true" applyProtection="false">
      <alignment horizontal="left" vertical="center" textRotation="0" wrapText="false" indent="0" shrinkToFit="false"/>
      <protection locked="true" hidden="false"/>
    </xf>
    <xf numFmtId="164" fontId="8" fillId="10" borderId="1" xfId="0" applyFont="true" applyBorder="true" applyAlignment="true" applyProtection="false">
      <alignment horizontal="left" vertical="center" textRotation="0" wrapText="false" indent="0" shrinkToFit="false"/>
      <protection locked="true" hidden="false"/>
    </xf>
    <xf numFmtId="164" fontId="13" fillId="11" borderId="1" xfId="0" applyFont="true" applyBorder="true" applyAlignment="true" applyProtection="false">
      <alignment horizontal="left" vertical="center" textRotation="0" wrapText="false" indent="0" shrinkToFit="false"/>
      <protection locked="true" hidden="false"/>
    </xf>
    <xf numFmtId="164" fontId="14" fillId="12" borderId="1" xfId="0" applyFont="true" applyBorder="true" applyAlignment="true" applyProtection="false">
      <alignment horizontal="left" vertical="center" textRotation="0" wrapText="false" indent="0" shrinkToFit="false"/>
      <protection locked="true" hidden="false"/>
    </xf>
    <xf numFmtId="164" fontId="34" fillId="0" borderId="1" xfId="0" applyFont="true" applyBorder="true" applyAlignment="true" applyProtection="false">
      <alignment horizontal="left" vertical="center" textRotation="0" wrapText="false" indent="0" shrinkToFit="false"/>
      <protection locked="true" hidden="false"/>
    </xf>
    <xf numFmtId="164" fontId="35" fillId="2" borderId="0" xfId="0" applyFont="true" applyBorder="false" applyAlignment="true" applyProtection="false">
      <alignment horizontal="left" vertical="center" textRotation="0" wrapText="false" indent="0" shrinkToFit="false"/>
      <protection locked="true" hidden="false"/>
    </xf>
    <xf numFmtId="164" fontId="6" fillId="3" borderId="0" xfId="0" applyFont="true" applyBorder="false" applyAlignment="true" applyProtection="false">
      <alignment horizontal="left" vertical="center" textRotation="0" wrapText="false" indent="0" shrinkToFit="false"/>
      <protection locked="true" hidden="false"/>
    </xf>
    <xf numFmtId="164" fontId="10" fillId="0" borderId="0" xfId="0" applyFont="true" applyBorder="false" applyAlignment="true" applyProtection="false">
      <alignment horizontal="left" vertical="top" textRotation="0" wrapText="true" indent="0" shrinkToFit="false"/>
      <protection locked="true" hidden="false"/>
    </xf>
    <xf numFmtId="164" fontId="36" fillId="0" borderId="0" xfId="0" applyFont="true" applyBorder="false" applyAlignment="true" applyProtection="false">
      <alignment horizontal="left" vertical="top"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8">
    <dxf>
      <font>
        <name val="Arial"/>
        <charset val="1"/>
        <family val="0"/>
        <b val="1"/>
        <color rgb="FF006100"/>
      </font>
      <fill>
        <patternFill>
          <bgColor rgb="FFC6EFCE"/>
        </patternFill>
      </fill>
    </dxf>
    <dxf>
      <font>
        <name val="Arial"/>
        <charset val="1"/>
        <family val="0"/>
        <b val="1"/>
        <color rgb="FFC0392B"/>
      </font>
      <fill>
        <patternFill>
          <bgColor rgb="FFFBD9D5"/>
        </patternFill>
      </fill>
    </dxf>
    <dxf>
      <font>
        <name val="Arial"/>
        <charset val="1"/>
        <family val="0"/>
        <b val="1"/>
        <color rgb="FF1F4E79"/>
      </font>
      <fill>
        <patternFill>
          <bgColor rgb="FFD6E4FF"/>
        </patternFill>
      </fill>
    </dxf>
    <dxf>
      <font>
        <name val="Arial"/>
        <charset val="1"/>
        <family val="0"/>
        <b val="1"/>
        <color rgb="FF9C6500"/>
      </font>
      <fill>
        <patternFill>
          <bgColor rgb="FFFFE699"/>
        </patternFill>
      </fill>
    </dxf>
    <dxf>
      <font>
        <name val="Arial"/>
        <charset val="1"/>
        <family val="0"/>
        <b val="1"/>
        <color rgb="FF000000"/>
      </font>
      <fill>
        <patternFill>
          <bgColor rgb="FFD0CECE"/>
        </patternFill>
      </fill>
    </dxf>
    <dxf>
      <font>
        <name val="Arial"/>
        <charset val="1"/>
        <family val="0"/>
        <b val="1"/>
        <color rgb="FF6A1B9A"/>
      </font>
      <fill>
        <patternFill>
          <bgColor rgb="FFE7D6F2"/>
        </patternFill>
      </fill>
    </dxf>
    <dxf>
      <font>
        <name val="Arial"/>
        <charset val="1"/>
        <family val="0"/>
        <b val="1"/>
        <color rgb="FF0E6E6E"/>
      </font>
      <fill>
        <patternFill>
          <bgColor rgb="FFCDE9E9"/>
        </patternFill>
      </fill>
    </dxf>
    <dxf>
      <font>
        <name val="Arial"/>
        <charset val="1"/>
        <family val="0"/>
        <b val="1"/>
        <color rgb="FF9C6500"/>
      </font>
      <fill>
        <patternFill>
          <bgColor rgb="FFFFF2CC"/>
        </patternFill>
      </fill>
    </dxf>
  </dxfs>
  <colors>
    <indexedColors>
      <rgbColor rgb="FF000000"/>
      <rgbColor rgb="FFFFFFFF"/>
      <rgbColor rgb="FFFF0000"/>
      <rgbColor rgb="FF00FF00"/>
      <rgbColor rgb="FF0000FF"/>
      <rgbColor rgb="FFFFFF00"/>
      <rgbColor rgb="FFFF00FF"/>
      <rgbColor rgb="FF00FFFF"/>
      <rgbColor rgb="FF800000"/>
      <rgbColor rgb="FF006100"/>
      <rgbColor rgb="FF000080"/>
      <rgbColor rgb="FF9C6500"/>
      <rgbColor rgb="FF6A1B9A"/>
      <rgbColor rgb="FF0E6E6E"/>
      <rgbColor rgb="FFBFBFBF"/>
      <rgbColor rgb="FF808080"/>
      <rgbColor rgb="FF9999FF"/>
      <rgbColor rgb="FF993366"/>
      <rgbColor rgb="FFFFF2CC"/>
      <rgbColor rgb="FFCDE9E9"/>
      <rgbColor rgb="FF660066"/>
      <rgbColor rgb="FFFF8080"/>
      <rgbColor rgb="FF1F4E79"/>
      <rgbColor rgb="FFD0CECE"/>
      <rgbColor rgb="FF000080"/>
      <rgbColor rgb="FFFF00FF"/>
      <rgbColor rgb="FFFFFF00"/>
      <rgbColor rgb="FF00FFFF"/>
      <rgbColor rgb="FF800080"/>
      <rgbColor rgb="FF800000"/>
      <rgbColor rgb="FF008080"/>
      <rgbColor rgb="FF0000FF"/>
      <rgbColor rgb="FF00CCFF"/>
      <rgbColor rgb="FFEEF3FA"/>
      <rgbColor rgb="FFC6EFCE"/>
      <rgbColor rgb="FFFFE699"/>
      <rgbColor rgb="FFD6E4FF"/>
      <rgbColor rgb="FFF2F2F2"/>
      <rgbColor rgb="FFE7D6F2"/>
      <rgbColor rgb="FFFBD9D5"/>
      <rgbColor rgb="FF3366FF"/>
      <rgbColor rgb="FF33CCCC"/>
      <rgbColor rgb="FF99CC00"/>
      <rgbColor rgb="FFFFCC00"/>
      <rgbColor rgb="FFFF9900"/>
      <rgbColor rgb="FFFF6600"/>
      <rgbColor rgb="FF666699"/>
      <rgbColor rgb="FF969696"/>
      <rgbColor rgb="FF1F3864"/>
      <rgbColor rgb="FF339966"/>
      <rgbColor rgb="FF003300"/>
      <rgbColor rgb="FF333300"/>
      <rgbColor rgb="FFC0392B"/>
      <rgbColor rgb="FF993366"/>
      <rgbColor rgb="FF305496"/>
      <rgbColor rgb="FF1F1F1F"/>
    </indexedColors>
  </colors>
</styleSheet>
</file>

<file path=xl/_rels/workbook.xml.rels><?xml version="1.0" encoding="UTF-8"?>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sharedStrings" Target="sharedStrings.xml"/>
</Relationships>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AC47"/>
  <sheetViews>
    <sheetView showFormulas="false" showGridLines="false" showRowColHeaders="true" showZeros="true" rightToLeft="false" tabSelected="true" showOutlineSymbols="true" defaultGridColor="true" view="normal" topLeftCell="A1" colorId="64" zoomScale="100" zoomScaleNormal="100" zoomScalePageLayoutView="100" workbookViewId="0">
      <pane xSplit="6" ySplit="4" topLeftCell="G5" activePane="bottomRight" state="frozen"/>
      <selection pane="topLeft" activeCell="A1" activeCellId="0" sqref="A1"/>
      <selection pane="topRight" activeCell="G1" activeCellId="0" sqref="G1"/>
      <selection pane="bottomLeft" activeCell="A5" activeCellId="0" sqref="A5"/>
      <selection pane="bottomRight" activeCell="A1" activeCellId="0" sqref="A1"/>
    </sheetView>
  </sheetViews>
  <sheetFormatPr defaultColWidth="8.6796875" defaultRowHeight="15" zeroHeight="false" outlineLevelRow="0" outlineLevelCol="0"/>
  <cols>
    <col collapsed="false" customWidth="true" hidden="false" outlineLevel="0" max="1" min="1" style="0" width="2"/>
    <col collapsed="false" customWidth="true" hidden="false" outlineLevel="0" max="2" min="2" style="0" width="24"/>
    <col collapsed="false" customWidth="true" hidden="false" outlineLevel="0" max="3" min="3" style="0" width="17"/>
    <col collapsed="false" customWidth="true" hidden="false" outlineLevel="0" max="4" min="4" style="0" width="8"/>
    <col collapsed="false" customWidth="true" hidden="false" outlineLevel="0" max="5" min="5" style="0" width="16"/>
    <col collapsed="false" customWidth="true" hidden="false" outlineLevel="0" max="6" min="6" style="0" width="11"/>
    <col collapsed="false" customWidth="true" hidden="false" outlineLevel="0" max="7" min="7" style="0" width="12"/>
    <col collapsed="false" customWidth="true" hidden="false" outlineLevel="0" max="8" min="8" style="0" width="7"/>
    <col collapsed="false" customWidth="true" hidden="false" outlineLevel="0" max="9" min="9" style="0" width="11"/>
    <col collapsed="false" customWidth="true" hidden="false" outlineLevel="0" max="10" min="10" style="0" width="6"/>
    <col collapsed="false" customWidth="true" hidden="false" outlineLevel="0" max="22" min="11" style="0" width="5"/>
    <col collapsed="false" customWidth="true" hidden="false" outlineLevel="0" max="23" min="23" style="0" width="14"/>
    <col collapsed="false" customWidth="true" hidden="false" outlineLevel="0" max="29" min="24" style="0" width="11"/>
  </cols>
  <sheetData>
    <row r="1" customFormat="false" ht="33.75" hidden="false" customHeight="true" outlineLevel="0" collapsed="false">
      <c r="B1" s="1" t="s">
        <v>0</v>
      </c>
      <c r="C1" s="1"/>
      <c r="D1" s="1"/>
      <c r="E1" s="1"/>
      <c r="F1" s="1"/>
      <c r="G1" s="1"/>
      <c r="H1" s="1"/>
      <c r="I1" s="1"/>
      <c r="J1" s="1"/>
      <c r="K1" s="1"/>
      <c r="L1" s="1"/>
      <c r="M1" s="1"/>
      <c r="N1" s="1"/>
      <c r="O1" s="1"/>
      <c r="P1" s="1"/>
      <c r="Q1" s="1"/>
      <c r="R1" s="1"/>
      <c r="S1" s="1"/>
      <c r="T1" s="1"/>
      <c r="U1" s="1"/>
      <c r="V1" s="1"/>
      <c r="W1" s="1"/>
      <c r="X1" s="1"/>
      <c r="Y1" s="1"/>
      <c r="Z1" s="1"/>
      <c r="AA1" s="1"/>
      <c r="AB1" s="1"/>
      <c r="AC1" s="1"/>
    </row>
    <row r="2" customFormat="false" ht="18" hidden="false" customHeight="true" outlineLevel="0" collapsed="false">
      <c r="B2" s="2" t="s">
        <v>1</v>
      </c>
      <c r="C2" s="2"/>
      <c r="D2" s="2"/>
      <c r="E2" s="2"/>
      <c r="F2" s="2"/>
      <c r="G2" s="2"/>
      <c r="H2" s="2"/>
      <c r="I2" s="2"/>
      <c r="J2" s="2"/>
      <c r="K2" s="2"/>
      <c r="L2" s="2"/>
      <c r="M2" s="2"/>
      <c r="N2" s="2"/>
      <c r="O2" s="2"/>
      <c r="P2" s="2"/>
      <c r="Q2" s="2"/>
      <c r="R2" s="2"/>
      <c r="S2" s="2"/>
      <c r="T2" s="2"/>
      <c r="U2" s="2"/>
      <c r="V2" s="2"/>
      <c r="W2" s="2"/>
      <c r="X2" s="2"/>
      <c r="Y2" s="2"/>
      <c r="Z2" s="2"/>
      <c r="AA2" s="2"/>
      <c r="AB2" s="2"/>
      <c r="AC2" s="2"/>
    </row>
    <row r="4" customFormat="false" ht="30" hidden="false" customHeight="true" outlineLevel="0" collapsed="false">
      <c r="B4" s="3" t="s">
        <v>2</v>
      </c>
      <c r="C4" s="3"/>
      <c r="D4" s="4" t="s">
        <v>3</v>
      </c>
      <c r="E4" s="5" t="s">
        <v>4</v>
      </c>
      <c r="F4" s="5" t="s">
        <v>5</v>
      </c>
      <c r="G4" s="5" t="s">
        <v>6</v>
      </c>
      <c r="H4" s="5" t="s">
        <v>7</v>
      </c>
      <c r="I4" s="5" t="s">
        <v>8</v>
      </c>
      <c r="J4" s="5" t="s">
        <v>9</v>
      </c>
      <c r="K4" s="5" t="s">
        <v>10</v>
      </c>
      <c r="L4" s="5" t="s">
        <v>11</v>
      </c>
      <c r="M4" s="5" t="s">
        <v>12</v>
      </c>
      <c r="N4" s="5" t="s">
        <v>13</v>
      </c>
      <c r="O4" s="5" t="s">
        <v>14</v>
      </c>
      <c r="P4" s="5" t="s">
        <v>15</v>
      </c>
      <c r="Q4" s="5" t="s">
        <v>16</v>
      </c>
      <c r="R4" s="5" t="s">
        <v>17</v>
      </c>
      <c r="S4" s="5" t="s">
        <v>18</v>
      </c>
      <c r="T4" s="5" t="s">
        <v>19</v>
      </c>
      <c r="U4" s="5" t="s">
        <v>20</v>
      </c>
      <c r="V4" s="5" t="s">
        <v>21</v>
      </c>
      <c r="W4" s="5" t="s">
        <v>22</v>
      </c>
      <c r="X4" s="5" t="s">
        <v>23</v>
      </c>
      <c r="Y4" s="5" t="s">
        <v>24</v>
      </c>
      <c r="Z4" s="5" t="s">
        <v>25</v>
      </c>
      <c r="AA4" s="5" t="s">
        <v>26</v>
      </c>
      <c r="AB4" s="5" t="s">
        <v>27</v>
      </c>
      <c r="AC4" s="5" t="s">
        <v>28</v>
      </c>
    </row>
    <row r="5" customFormat="false" ht="15" hidden="false" customHeight="false" outlineLevel="0" collapsed="false">
      <c r="B5" s="6" t="s">
        <v>29</v>
      </c>
      <c r="C5" s="7" t="s">
        <v>30</v>
      </c>
      <c r="D5" s="8" t="n">
        <v>1</v>
      </c>
      <c r="E5" s="9" t="s">
        <v>31</v>
      </c>
      <c r="F5" s="10" t="n">
        <v>0.791666666666667</v>
      </c>
      <c r="G5" s="11" t="n">
        <v>35282524</v>
      </c>
      <c r="H5" s="12" t="n">
        <f aca="false">Model!AA5</f>
        <v>0.631650140394646</v>
      </c>
      <c r="I5" s="11" t="n">
        <f aca="false">ROUND(G5*H5,0)</f>
        <v>22286211</v>
      </c>
      <c r="J5" s="13" t="n">
        <v>76</v>
      </c>
      <c r="K5" s="14" t="n">
        <f aca="false">Model!BX5</f>
        <v>0.232834879449893</v>
      </c>
      <c r="L5" s="15" t="n">
        <f aca="false">Model!BY5</f>
        <v>0.343673759142835</v>
      </c>
      <c r="M5" s="16" t="n">
        <f aca="false">Model!BZ5</f>
        <v>0.190489527688933</v>
      </c>
      <c r="N5" s="17" t="n">
        <f aca="false">Model!CA5</f>
        <v>0.149734524381633</v>
      </c>
      <c r="O5" s="18" t="n">
        <f aca="false">Model!CB5</f>
        <v>0.0832673093367065</v>
      </c>
      <c r="P5" s="19" t="n">
        <f aca="false">Model!CC5</f>
        <v>0</v>
      </c>
      <c r="Q5" s="13" t="n">
        <f aca="false">SUMPRODUCT((Engine!$B2:$BY2&lt;Engine!$CA2)*(Engine!$B$1:$BY$1&lt;=$J5))</f>
        <v>28</v>
      </c>
      <c r="R5" s="13" t="n">
        <f aca="false">SUMPRODUCT((Engine!$B2:$BY2&gt;=Engine!$CA2)*(Engine!$B2:$BY2&lt;Engine!$CB2)*(Engine!$B$1:$BY$1&lt;=$J5))</f>
        <v>38</v>
      </c>
      <c r="S5" s="13" t="n">
        <f aca="false">SUMPRODUCT((Engine!$B2:$BY2&gt;=Engine!$CB2)*(Engine!$B2:$BY2&lt;Engine!$CC2)*(Engine!$B$1:$BY$1&lt;=$J5))</f>
        <v>8</v>
      </c>
      <c r="T5" s="13" t="n">
        <f aca="false">SUMPRODUCT((Engine!$B2:$BY2&gt;=Engine!$CC2)*(Engine!$B2:$BY2&lt;Engine!$CD2)*(Engine!$B$1:$BY$1&lt;=$J5))</f>
        <v>2</v>
      </c>
      <c r="U5" s="13" t="n">
        <f aca="false">SUMPRODUCT((Engine!$B2:$BY2&gt;=Engine!$CD2)*(Engine!$B2:$BY2&lt;Engine!$CE2)*(Engine!$B$1:$BY$1&lt;=$J5))</f>
        <v>0</v>
      </c>
      <c r="V5" s="13" t="n">
        <f aca="false">SUMPRODUCT((Engine!$B2:$BY2&gt;=Engine!$CE2)*(Engine!$B$1:$BY$1&lt;=$J5))</f>
        <v>0</v>
      </c>
      <c r="W5" s="13" t="str">
        <f aca="false">IF(COUNTIF(Q5:V5,MAX(Q5:V5))&gt;1,"Tie",INDEX($C$5:$C$10,MATCH(MAX(Q5:V5),Q5:V5,0)))</f>
        <v>Social-Democrats</v>
      </c>
      <c r="X5" s="11" t="n">
        <f aca="false">ROUND($I5*K5,0)</f>
        <v>5189007</v>
      </c>
      <c r="Y5" s="11" t="n">
        <f aca="false">ROUND($I5*L5,0)</f>
        <v>7659186</v>
      </c>
      <c r="Z5" s="11" t="n">
        <f aca="false">ROUND($I5*M5,0)</f>
        <v>4245290</v>
      </c>
      <c r="AA5" s="11" t="n">
        <f aca="false">ROUND($I5*N5,0)</f>
        <v>3337015</v>
      </c>
      <c r="AB5" s="11" t="n">
        <f aca="false">ROUND($I5*O5,0)</f>
        <v>1855713</v>
      </c>
      <c r="AC5" s="11" t="n">
        <f aca="false">ROUND($I5*P5,0)</f>
        <v>0</v>
      </c>
    </row>
    <row r="6" customFormat="false" ht="15" hidden="false" customHeight="false" outlineLevel="0" collapsed="false">
      <c r="B6" s="6" t="s">
        <v>32</v>
      </c>
      <c r="C6" s="20" t="s">
        <v>33</v>
      </c>
      <c r="D6" s="21" t="n">
        <v>1</v>
      </c>
      <c r="E6" s="22" t="s">
        <v>34</v>
      </c>
      <c r="F6" s="23" t="n">
        <v>0.875</v>
      </c>
      <c r="G6" s="24" t="n">
        <v>24099464</v>
      </c>
      <c r="H6" s="12" t="n">
        <f aca="false">Model!AA6</f>
        <v>0.622874869681613</v>
      </c>
      <c r="I6" s="24" t="n">
        <f aca="false">ROUND(G6*H6,0)</f>
        <v>15010950</v>
      </c>
      <c r="J6" s="25" t="n">
        <v>53</v>
      </c>
      <c r="K6" s="14" t="n">
        <f aca="false">Model!BX6</f>
        <v>0.216782093888243</v>
      </c>
      <c r="L6" s="15" t="n">
        <f aca="false">Model!BY6</f>
        <v>0.349726854764732</v>
      </c>
      <c r="M6" s="16" t="n">
        <f aca="false">Model!BZ6</f>
        <v>0.210864541852531</v>
      </c>
      <c r="N6" s="17" t="n">
        <f aca="false">Model!CA6</f>
        <v>0.12473583406901</v>
      </c>
      <c r="O6" s="18" t="n">
        <f aca="false">Model!CB6</f>
        <v>0.0978906754254837</v>
      </c>
      <c r="P6" s="19" t="n">
        <f aca="false">Model!CC6</f>
        <v>0</v>
      </c>
      <c r="Q6" s="25" t="n">
        <f aca="false">SUMPRODUCT((Engine!$B3:$BY3&lt;Engine!$CA3)*(Engine!$B$1:$BY$1&lt;=$J6))</f>
        <v>16</v>
      </c>
      <c r="R6" s="25" t="n">
        <f aca="false">SUMPRODUCT((Engine!$B3:$BY3&gt;=Engine!$CA3)*(Engine!$B3:$BY3&lt;Engine!$CB3)*(Engine!$B$1:$BY$1&lt;=$J6))</f>
        <v>32</v>
      </c>
      <c r="S6" s="25" t="n">
        <f aca="false">SUMPRODUCT((Engine!$B3:$BY3&gt;=Engine!$CB3)*(Engine!$B3:$BY3&lt;Engine!$CC3)*(Engine!$B$1:$BY$1&lt;=$J6))</f>
        <v>1</v>
      </c>
      <c r="T6" s="25" t="n">
        <f aca="false">SUMPRODUCT((Engine!$B3:$BY3&gt;=Engine!$CC3)*(Engine!$B3:$BY3&lt;Engine!$CD3)*(Engine!$B$1:$BY$1&lt;=$J6))</f>
        <v>3</v>
      </c>
      <c r="U6" s="25" t="n">
        <f aca="false">SUMPRODUCT((Engine!$B3:$BY3&gt;=Engine!$CD3)*(Engine!$B3:$BY3&lt;Engine!$CE3)*(Engine!$B$1:$BY$1&lt;=$J6))</f>
        <v>1</v>
      </c>
      <c r="V6" s="25" t="n">
        <f aca="false">SUMPRODUCT((Engine!$B3:$BY3&gt;=Engine!$CE3)*(Engine!$B$1:$BY$1&lt;=$J6))</f>
        <v>0</v>
      </c>
      <c r="W6" s="25" t="str">
        <f aca="false">IF(COUNTIF(Q6:V6,MAX(Q6:V6))&gt;1,"Tie",INDEX($C$5:$C$10,MATCH(MAX(Q6:V6),Q6:V6,0)))</f>
        <v>Social-Democrats</v>
      </c>
      <c r="X6" s="24" t="n">
        <f aca="false">ROUND($I6*K6,0)</f>
        <v>3254105</v>
      </c>
      <c r="Y6" s="24" t="n">
        <f aca="false">ROUND($I6*L6,0)</f>
        <v>5249732</v>
      </c>
      <c r="Z6" s="24" t="n">
        <f aca="false">ROUND($I6*M6,0)</f>
        <v>3165277</v>
      </c>
      <c r="AA6" s="24" t="n">
        <f aca="false">ROUND($I6*N6,0)</f>
        <v>1872403</v>
      </c>
      <c r="AB6" s="24" t="n">
        <f aca="false">ROUND($I6*O6,0)</f>
        <v>1469432</v>
      </c>
      <c r="AC6" s="24" t="n">
        <f aca="false">ROUND($I6*P6,0)</f>
        <v>0</v>
      </c>
    </row>
    <row r="7" customFormat="false" ht="15" hidden="false" customHeight="false" outlineLevel="0" collapsed="false">
      <c r="B7" s="6" t="s">
        <v>35</v>
      </c>
      <c r="C7" s="26" t="s">
        <v>36</v>
      </c>
      <c r="D7" s="27" t="n">
        <v>0.22</v>
      </c>
      <c r="E7" s="9" t="s">
        <v>37</v>
      </c>
      <c r="F7" s="10" t="n">
        <v>0.791666666666667</v>
      </c>
      <c r="G7" s="11" t="n">
        <v>18030508</v>
      </c>
      <c r="H7" s="12" t="n">
        <f aca="false">Model!AA7</f>
        <v>0.627180228620882</v>
      </c>
      <c r="I7" s="11" t="n">
        <f aca="false">ROUND(G7*H7,0)</f>
        <v>11308378</v>
      </c>
      <c r="J7" s="13" t="n">
        <v>40</v>
      </c>
      <c r="K7" s="14" t="n">
        <f aca="false">Model!BX7</f>
        <v>0.251370451544508</v>
      </c>
      <c r="L7" s="15" t="n">
        <f aca="false">Model!BY7</f>
        <v>0.346650778080414</v>
      </c>
      <c r="M7" s="16" t="n">
        <f aca="false">Model!BZ7</f>
        <v>0.173876740702353</v>
      </c>
      <c r="N7" s="17" t="n">
        <f aca="false">Model!CA7</f>
        <v>0.15180781934707</v>
      </c>
      <c r="O7" s="18" t="n">
        <f aca="false">Model!CB7</f>
        <v>0.0762942103256546</v>
      </c>
      <c r="P7" s="19" t="n">
        <f aca="false">Model!CC7</f>
        <v>0</v>
      </c>
      <c r="Q7" s="13" t="n">
        <f aca="false">SUMPRODUCT((Engine!$B4:$BY4&lt;Engine!$CA4)*(Engine!$B$1:$BY$1&lt;=$J7))</f>
        <v>10</v>
      </c>
      <c r="R7" s="13" t="n">
        <f aca="false">SUMPRODUCT((Engine!$B4:$BY4&gt;=Engine!$CA4)*(Engine!$B4:$BY4&lt;Engine!$CB4)*(Engine!$B$1:$BY$1&lt;=$J7))</f>
        <v>28</v>
      </c>
      <c r="S7" s="13" t="n">
        <f aca="false">SUMPRODUCT((Engine!$B4:$BY4&gt;=Engine!$CB4)*(Engine!$B4:$BY4&lt;Engine!$CC4)*(Engine!$B$1:$BY$1&lt;=$J7))</f>
        <v>1</v>
      </c>
      <c r="T7" s="13" t="n">
        <f aca="false">SUMPRODUCT((Engine!$B4:$BY4&gt;=Engine!$CC4)*(Engine!$B4:$BY4&lt;Engine!$CD4)*(Engine!$B$1:$BY$1&lt;=$J7))</f>
        <v>1</v>
      </c>
      <c r="U7" s="13" t="n">
        <f aca="false">SUMPRODUCT((Engine!$B4:$BY4&gt;=Engine!$CD4)*(Engine!$B4:$BY4&lt;Engine!$CE4)*(Engine!$B$1:$BY$1&lt;=$J7))</f>
        <v>0</v>
      </c>
      <c r="V7" s="13" t="n">
        <f aca="false">SUMPRODUCT((Engine!$B4:$BY4&gt;=Engine!$CE4)*(Engine!$B$1:$BY$1&lt;=$J7))</f>
        <v>0</v>
      </c>
      <c r="W7" s="13" t="str">
        <f aca="false">IF(COUNTIF(Q7:V7,MAX(Q7:V7))&gt;1,"Tie",INDEX($C$5:$C$10,MATCH(MAX(Q7:V7),Q7:V7,0)))</f>
        <v>Social-Democrats</v>
      </c>
      <c r="X7" s="11" t="n">
        <f aca="false">ROUND($I7*K7,0)</f>
        <v>2842592</v>
      </c>
      <c r="Y7" s="11" t="n">
        <f aca="false">ROUND($I7*L7,0)</f>
        <v>3920058</v>
      </c>
      <c r="Z7" s="11" t="n">
        <f aca="false">ROUND($I7*M7,0)</f>
        <v>1966264</v>
      </c>
      <c r="AA7" s="11" t="n">
        <f aca="false">ROUND($I7*N7,0)</f>
        <v>1716700</v>
      </c>
      <c r="AB7" s="11" t="n">
        <f aca="false">ROUND($I7*O7,0)</f>
        <v>862764</v>
      </c>
      <c r="AC7" s="11" t="n">
        <f aca="false">ROUND($I7*P7,0)</f>
        <v>0</v>
      </c>
    </row>
    <row r="8" customFormat="false" ht="15" hidden="false" customHeight="false" outlineLevel="0" collapsed="false">
      <c r="B8" s="6" t="s">
        <v>38</v>
      </c>
      <c r="C8" s="28" t="s">
        <v>39</v>
      </c>
      <c r="D8" s="29" t="n">
        <v>0.22</v>
      </c>
      <c r="E8" s="22" t="s">
        <v>40</v>
      </c>
      <c r="F8" s="23" t="n">
        <v>0.791666666666667</v>
      </c>
      <c r="G8" s="24" t="n">
        <v>14700243</v>
      </c>
      <c r="H8" s="12" t="n">
        <f aca="false">Model!AA8</f>
        <v>0.630967267470641</v>
      </c>
      <c r="I8" s="24" t="n">
        <f aca="false">ROUND(G8*H8,0)</f>
        <v>9275372</v>
      </c>
      <c r="J8" s="25" t="n">
        <v>33</v>
      </c>
      <c r="K8" s="14" t="n">
        <f aca="false">Model!BX8</f>
        <v>0.218020776629883</v>
      </c>
      <c r="L8" s="15" t="n">
        <f aca="false">Model!BY8</f>
        <v>0.36967957604955</v>
      </c>
      <c r="M8" s="16" t="n">
        <f aca="false">Model!BZ8</f>
        <v>0.190780925525829</v>
      </c>
      <c r="N8" s="17" t="n">
        <f aca="false">Model!CA8</f>
        <v>0.143791004049347</v>
      </c>
      <c r="O8" s="18" t="n">
        <f aca="false">Model!CB8</f>
        <v>0.0777277177453921</v>
      </c>
      <c r="P8" s="19" t="n">
        <f aca="false">Model!CC8</f>
        <v>0</v>
      </c>
      <c r="Q8" s="25" t="n">
        <f aca="false">SUMPRODUCT((Engine!$B5:$BY5&lt;Engine!$CA5)*(Engine!$B$1:$BY$1&lt;=$J8))</f>
        <v>7</v>
      </c>
      <c r="R8" s="25" t="n">
        <f aca="false">SUMPRODUCT((Engine!$B5:$BY5&gt;=Engine!$CA5)*(Engine!$B5:$BY5&lt;Engine!$CB5)*(Engine!$B$1:$BY$1&lt;=$J8))</f>
        <v>17</v>
      </c>
      <c r="S8" s="25" t="n">
        <f aca="false">SUMPRODUCT((Engine!$B5:$BY5&gt;=Engine!$CB5)*(Engine!$B5:$BY5&lt;Engine!$CC5)*(Engine!$B$1:$BY$1&lt;=$J8))</f>
        <v>8</v>
      </c>
      <c r="T8" s="25" t="n">
        <f aca="false">SUMPRODUCT((Engine!$B5:$BY5&gt;=Engine!$CC5)*(Engine!$B5:$BY5&lt;Engine!$CD5)*(Engine!$B$1:$BY$1&lt;=$J8))</f>
        <v>1</v>
      </c>
      <c r="U8" s="25" t="n">
        <f aca="false">SUMPRODUCT((Engine!$B5:$BY5&gt;=Engine!$CD5)*(Engine!$B5:$BY5&lt;Engine!$CE5)*(Engine!$B$1:$BY$1&lt;=$J8))</f>
        <v>0</v>
      </c>
      <c r="V8" s="25" t="n">
        <f aca="false">SUMPRODUCT((Engine!$B5:$BY5&gt;=Engine!$CE5)*(Engine!$B$1:$BY$1&lt;=$J8))</f>
        <v>0</v>
      </c>
      <c r="W8" s="25" t="str">
        <f aca="false">IF(COUNTIF(Q8:V8,MAX(Q8:V8))&gt;1,"Tie",INDEX($C$5:$C$10,MATCH(MAX(Q8:V8),Q8:V8,0)))</f>
        <v>Social-Democrats</v>
      </c>
      <c r="X8" s="24" t="n">
        <f aca="false">ROUND($I8*K8,0)</f>
        <v>2022224</v>
      </c>
      <c r="Y8" s="24" t="n">
        <f aca="false">ROUND($I8*L8,0)</f>
        <v>3428916</v>
      </c>
      <c r="Z8" s="24" t="n">
        <f aca="false">ROUND($I8*M8,0)</f>
        <v>1769564</v>
      </c>
      <c r="AA8" s="24" t="n">
        <f aca="false">ROUND($I8*N8,0)</f>
        <v>1333715</v>
      </c>
      <c r="AB8" s="24" t="n">
        <f aca="false">ROUND($I8*O8,0)</f>
        <v>720953</v>
      </c>
      <c r="AC8" s="24" t="n">
        <f aca="false">ROUND($I8*P8,0)</f>
        <v>0</v>
      </c>
    </row>
    <row r="9" customFormat="false" ht="15" hidden="false" customHeight="false" outlineLevel="0" collapsed="false">
      <c r="B9" s="6" t="s">
        <v>41</v>
      </c>
      <c r="C9" s="30" t="s">
        <v>42</v>
      </c>
      <c r="D9" s="31" t="n">
        <v>0.045</v>
      </c>
      <c r="E9" s="9" t="s">
        <v>43</v>
      </c>
      <c r="F9" s="10" t="n">
        <v>0.791666666666667</v>
      </c>
      <c r="G9" s="11" t="n">
        <v>11879447</v>
      </c>
      <c r="H9" s="12" t="n">
        <f aca="false">Model!AA9</f>
        <v>0.619718743186112</v>
      </c>
      <c r="I9" s="11" t="n">
        <f aca="false">ROUND(G9*H9,0)</f>
        <v>7361916</v>
      </c>
      <c r="J9" s="13" t="n">
        <v>27</v>
      </c>
      <c r="K9" s="14" t="n">
        <f aca="false">Model!BX9</f>
        <v>0.328664606532462</v>
      </c>
      <c r="L9" s="15" t="n">
        <f aca="false">Model!BY9</f>
        <v>0.221869131906553</v>
      </c>
      <c r="M9" s="16" t="n">
        <f aca="false">Model!BZ9</f>
        <v>0.111301838603046</v>
      </c>
      <c r="N9" s="17" t="n">
        <f aca="false">Model!CA9</f>
        <v>0.251181501815914</v>
      </c>
      <c r="O9" s="18" t="n">
        <f aca="false">Model!CB9</f>
        <v>0.0869829211420252</v>
      </c>
      <c r="P9" s="19" t="n">
        <f aca="false">Model!CC9</f>
        <v>0</v>
      </c>
      <c r="Q9" s="13" t="n">
        <f aca="false">SUMPRODUCT((Engine!$B6:$BY6&lt;Engine!$CA6)*(Engine!$B$1:$BY$1&lt;=$J9))</f>
        <v>15</v>
      </c>
      <c r="R9" s="13" t="n">
        <f aca="false">SUMPRODUCT((Engine!$B6:$BY6&gt;=Engine!$CA6)*(Engine!$B6:$BY6&lt;Engine!$CB6)*(Engine!$B$1:$BY$1&lt;=$J9))</f>
        <v>9</v>
      </c>
      <c r="S9" s="13" t="n">
        <f aca="false">SUMPRODUCT((Engine!$B6:$BY6&gt;=Engine!$CB6)*(Engine!$B6:$BY6&lt;Engine!$CC6)*(Engine!$B$1:$BY$1&lt;=$J9))</f>
        <v>0</v>
      </c>
      <c r="T9" s="13" t="n">
        <f aca="false">SUMPRODUCT((Engine!$B6:$BY6&gt;=Engine!$CC6)*(Engine!$B6:$BY6&lt;Engine!$CD6)*(Engine!$B$1:$BY$1&lt;=$J9))</f>
        <v>3</v>
      </c>
      <c r="U9" s="13" t="n">
        <f aca="false">SUMPRODUCT((Engine!$B6:$BY6&gt;=Engine!$CD6)*(Engine!$B6:$BY6&lt;Engine!$CE6)*(Engine!$B$1:$BY$1&lt;=$J9))</f>
        <v>0</v>
      </c>
      <c r="V9" s="13" t="n">
        <f aca="false">SUMPRODUCT((Engine!$B6:$BY6&gt;=Engine!$CE6)*(Engine!$B$1:$BY$1&lt;=$J9))</f>
        <v>0</v>
      </c>
      <c r="W9" s="13" t="str">
        <f aca="false">IF(COUNTIF(Q9:V9,MAX(Q9:V9))&gt;1,"Tie",INDEX($C$5:$C$10,MATCH(MAX(Q9:V9),Q9:V9,0)))</f>
        <v>Conservatives</v>
      </c>
      <c r="X9" s="11" t="n">
        <f aca="false">ROUND($I9*K9,0)</f>
        <v>2419601</v>
      </c>
      <c r="Y9" s="11" t="n">
        <f aca="false">ROUND($I9*L9,0)</f>
        <v>1633382</v>
      </c>
      <c r="Z9" s="11" t="n">
        <f aca="false">ROUND($I9*M9,0)</f>
        <v>819395</v>
      </c>
      <c r="AA9" s="11" t="n">
        <f aca="false">ROUND($I9*N9,0)</f>
        <v>1849177</v>
      </c>
      <c r="AB9" s="11" t="n">
        <f aca="false">ROUND($I9*O9,0)</f>
        <v>640361</v>
      </c>
      <c r="AC9" s="11" t="n">
        <f aca="false">ROUND($I9*P9,0)</f>
        <v>0</v>
      </c>
    </row>
    <row r="10" customFormat="false" ht="15" hidden="false" customHeight="false" outlineLevel="0" collapsed="false">
      <c r="B10" s="6" t="s">
        <v>44</v>
      </c>
      <c r="C10" s="32" t="s">
        <v>45</v>
      </c>
      <c r="D10" s="33" t="n">
        <v>1</v>
      </c>
      <c r="E10" s="22" t="s">
        <v>46</v>
      </c>
      <c r="F10" s="23" t="n">
        <v>0.833333333333333</v>
      </c>
      <c r="G10" s="24" t="n">
        <v>11895832</v>
      </c>
      <c r="H10" s="12" t="n">
        <f aca="false">Model!AA10</f>
        <v>0.625599993093486</v>
      </c>
      <c r="I10" s="24" t="n">
        <f aca="false">ROUND(G10*H10,0)</f>
        <v>7442032</v>
      </c>
      <c r="J10" s="25" t="n">
        <v>27</v>
      </c>
      <c r="K10" s="14" t="n">
        <f aca="false">Model!BX10</f>
        <v>0.289883282756551</v>
      </c>
      <c r="L10" s="15" t="n">
        <f aca="false">Model!BY10</f>
        <v>0.263351980929687</v>
      </c>
      <c r="M10" s="16" t="n">
        <f aca="false">Model!BZ10</f>
        <v>0.131453717270411</v>
      </c>
      <c r="N10" s="17" t="n">
        <f aca="false">Model!CA10</f>
        <v>0.232202121007301</v>
      </c>
      <c r="O10" s="18" t="n">
        <f aca="false">Model!CB10</f>
        <v>0.0831088980360508</v>
      </c>
      <c r="P10" s="19" t="n">
        <f aca="false">Model!CC10</f>
        <v>0</v>
      </c>
      <c r="Q10" s="25" t="n">
        <f aca="false">SUMPRODUCT((Engine!$B7:$BY7&lt;Engine!$CA7)*(Engine!$B$1:$BY$1&lt;=$J10))</f>
        <v>8</v>
      </c>
      <c r="R10" s="25" t="n">
        <f aca="false">SUMPRODUCT((Engine!$B7:$BY7&gt;=Engine!$CA7)*(Engine!$B7:$BY7&lt;Engine!$CB7)*(Engine!$B$1:$BY$1&lt;=$J10))</f>
        <v>15</v>
      </c>
      <c r="S10" s="25" t="n">
        <f aca="false">SUMPRODUCT((Engine!$B7:$BY7&gt;=Engine!$CB7)*(Engine!$B7:$BY7&lt;Engine!$CC7)*(Engine!$B$1:$BY$1&lt;=$J10))</f>
        <v>2</v>
      </c>
      <c r="T10" s="25" t="n">
        <f aca="false">SUMPRODUCT((Engine!$B7:$BY7&gt;=Engine!$CC7)*(Engine!$B7:$BY7&lt;Engine!$CD7)*(Engine!$B$1:$BY$1&lt;=$J10))</f>
        <v>1</v>
      </c>
      <c r="U10" s="25" t="n">
        <f aca="false">SUMPRODUCT((Engine!$B7:$BY7&gt;=Engine!$CD7)*(Engine!$B7:$BY7&lt;Engine!$CE7)*(Engine!$B$1:$BY$1&lt;=$J10))</f>
        <v>1</v>
      </c>
      <c r="V10" s="25" t="n">
        <f aca="false">SUMPRODUCT((Engine!$B7:$BY7&gt;=Engine!$CE7)*(Engine!$B$1:$BY$1&lt;=$J10))</f>
        <v>0</v>
      </c>
      <c r="W10" s="25" t="str">
        <f aca="false">IF(COUNTIF(Q10:V10,MAX(Q10:V10))&gt;1,"Tie",INDEX($C$5:$C$10,MATCH(MAX(Q10:V10),Q10:V10,0)))</f>
        <v>Social-Democrats</v>
      </c>
      <c r="X10" s="24" t="n">
        <f aca="false">ROUND($I10*K10,0)</f>
        <v>2157321</v>
      </c>
      <c r="Y10" s="24" t="n">
        <f aca="false">ROUND($I10*L10,0)</f>
        <v>1959874</v>
      </c>
      <c r="Z10" s="24" t="n">
        <f aca="false">ROUND($I10*M10,0)</f>
        <v>978283</v>
      </c>
      <c r="AA10" s="24" t="n">
        <f aca="false">ROUND($I10*N10,0)</f>
        <v>1728056</v>
      </c>
      <c r="AB10" s="24" t="n">
        <f aca="false">ROUND($I10*O10,0)</f>
        <v>618499</v>
      </c>
      <c r="AC10" s="24" t="n">
        <f aca="false">ROUND($I10*P10,0)</f>
        <v>0</v>
      </c>
    </row>
    <row r="11" customFormat="false" ht="15" hidden="false" customHeight="false" outlineLevel="0" collapsed="false">
      <c r="E11" s="9" t="s">
        <v>47</v>
      </c>
      <c r="F11" s="10" t="n">
        <v>0.875</v>
      </c>
      <c r="G11" s="11" t="n">
        <v>10788990</v>
      </c>
      <c r="H11" s="12" t="n">
        <f aca="false">Model!AA11</f>
        <v>0.598069390921743</v>
      </c>
      <c r="I11" s="11" t="n">
        <f aca="false">ROUND(G11*H11,0)</f>
        <v>6452565</v>
      </c>
      <c r="J11" s="13" t="n">
        <v>25</v>
      </c>
      <c r="K11" s="14" t="n">
        <f aca="false">Model!BX11</f>
        <v>0.257726555045364</v>
      </c>
      <c r="L11" s="15" t="n">
        <f aca="false">Model!BY11</f>
        <v>0.307075242812969</v>
      </c>
      <c r="M11" s="16" t="n">
        <f aca="false">Model!BZ11</f>
        <v>0.154729480217839</v>
      </c>
      <c r="N11" s="17" t="n">
        <f aca="false">Model!CA11</f>
        <v>0.198760139235686</v>
      </c>
      <c r="O11" s="18" t="n">
        <f aca="false">Model!CB11</f>
        <v>0.0817085826881415</v>
      </c>
      <c r="P11" s="19" t="n">
        <f aca="false">Model!CC11</f>
        <v>0</v>
      </c>
      <c r="Q11" s="13" t="n">
        <f aca="false">SUMPRODUCT((Engine!$B8:$BY8&lt;Engine!$CA8)*(Engine!$B$1:$BY$1&lt;=$J11))</f>
        <v>11</v>
      </c>
      <c r="R11" s="13" t="n">
        <f aca="false">SUMPRODUCT((Engine!$B8:$BY8&gt;=Engine!$CA8)*(Engine!$B8:$BY8&lt;Engine!$CB8)*(Engine!$B$1:$BY$1&lt;=$J11))</f>
        <v>12</v>
      </c>
      <c r="S11" s="13" t="n">
        <f aca="false">SUMPRODUCT((Engine!$B8:$BY8&gt;=Engine!$CB8)*(Engine!$B8:$BY8&lt;Engine!$CC8)*(Engine!$B$1:$BY$1&lt;=$J11))</f>
        <v>0</v>
      </c>
      <c r="T11" s="13" t="n">
        <f aca="false">SUMPRODUCT((Engine!$B8:$BY8&gt;=Engine!$CC8)*(Engine!$B8:$BY8&lt;Engine!$CD8)*(Engine!$B$1:$BY$1&lt;=$J11))</f>
        <v>2</v>
      </c>
      <c r="U11" s="13" t="n">
        <f aca="false">SUMPRODUCT((Engine!$B8:$BY8&gt;=Engine!$CD8)*(Engine!$B8:$BY8&lt;Engine!$CE8)*(Engine!$B$1:$BY$1&lt;=$J11))</f>
        <v>0</v>
      </c>
      <c r="V11" s="13" t="n">
        <f aca="false">SUMPRODUCT((Engine!$B8:$BY8&gt;=Engine!$CE8)*(Engine!$B$1:$BY$1&lt;=$J11))</f>
        <v>0</v>
      </c>
      <c r="W11" s="13" t="str">
        <f aca="false">IF(COUNTIF(Q11:V11,MAX(Q11:V11))&gt;1,"Tie",INDEX($C$5:$C$10,MATCH(MAX(Q11:V11),Q11:V11,0)))</f>
        <v>Social-Democrats</v>
      </c>
      <c r="X11" s="11" t="n">
        <f aca="false">ROUND($I11*K11,0)</f>
        <v>1662997</v>
      </c>
      <c r="Y11" s="11" t="n">
        <f aca="false">ROUND($I11*L11,0)</f>
        <v>1981423</v>
      </c>
      <c r="Z11" s="11" t="n">
        <f aca="false">ROUND($I11*M11,0)</f>
        <v>998402</v>
      </c>
      <c r="AA11" s="11" t="n">
        <f aca="false">ROUND($I11*N11,0)</f>
        <v>1282513</v>
      </c>
      <c r="AB11" s="11" t="n">
        <f aca="false">ROUND($I11*O11,0)</f>
        <v>527230</v>
      </c>
      <c r="AC11" s="11" t="n">
        <f aca="false">ROUND($I11*P11,0)</f>
        <v>0</v>
      </c>
    </row>
    <row r="12" customFormat="false" ht="15" hidden="false" customHeight="false" outlineLevel="0" collapsed="false">
      <c r="B12" s="3" t="s">
        <v>48</v>
      </c>
      <c r="C12" s="3"/>
      <c r="E12" s="22" t="s">
        <v>49</v>
      </c>
      <c r="F12" s="23" t="n">
        <v>0.875</v>
      </c>
      <c r="G12" s="24" t="n">
        <v>9698552</v>
      </c>
      <c r="H12" s="12" t="n">
        <f aca="false">Model!AA12</f>
        <v>0.616210735919829</v>
      </c>
      <c r="I12" s="24" t="n">
        <f aca="false">ROUND(G12*H12,0)</f>
        <v>5976352</v>
      </c>
      <c r="J12" s="25" t="n">
        <v>22</v>
      </c>
      <c r="K12" s="14" t="n">
        <f aca="false">Model!BX12</f>
        <v>0.259276945816638</v>
      </c>
      <c r="L12" s="15" t="n">
        <f aca="false">Model!BY12</f>
        <v>0.321125302081088</v>
      </c>
      <c r="M12" s="16" t="n">
        <f aca="false">Model!BZ12</f>
        <v>0.143893882637343</v>
      </c>
      <c r="N12" s="17" t="n">
        <f aca="false">Model!CA12</f>
        <v>0.192147821218175</v>
      </c>
      <c r="O12" s="18" t="n">
        <f aca="false">Model!CB12</f>
        <v>0.083556048246756</v>
      </c>
      <c r="P12" s="19" t="n">
        <f aca="false">Model!CC12</f>
        <v>0</v>
      </c>
      <c r="Q12" s="25" t="n">
        <f aca="false">SUMPRODUCT((Engine!$B9:$BY9&lt;Engine!$CA9)*(Engine!$B$1:$BY$1&lt;=$J12))</f>
        <v>8</v>
      </c>
      <c r="R12" s="25" t="n">
        <f aca="false">SUMPRODUCT((Engine!$B9:$BY9&gt;=Engine!$CA9)*(Engine!$B9:$BY9&lt;Engine!$CB9)*(Engine!$B$1:$BY$1&lt;=$J12))</f>
        <v>12</v>
      </c>
      <c r="S12" s="25" t="n">
        <f aca="false">SUMPRODUCT((Engine!$B9:$BY9&gt;=Engine!$CB9)*(Engine!$B9:$BY9&lt;Engine!$CC9)*(Engine!$B$1:$BY$1&lt;=$J12))</f>
        <v>0</v>
      </c>
      <c r="T12" s="25" t="n">
        <f aca="false">SUMPRODUCT((Engine!$B9:$BY9&gt;=Engine!$CC9)*(Engine!$B9:$BY9&lt;Engine!$CD9)*(Engine!$B$1:$BY$1&lt;=$J12))</f>
        <v>2</v>
      </c>
      <c r="U12" s="25" t="n">
        <f aca="false">SUMPRODUCT((Engine!$B9:$BY9&gt;=Engine!$CD9)*(Engine!$B9:$BY9&lt;Engine!$CE9)*(Engine!$B$1:$BY$1&lt;=$J12))</f>
        <v>0</v>
      </c>
      <c r="V12" s="25" t="n">
        <f aca="false">SUMPRODUCT((Engine!$B9:$BY9&gt;=Engine!$CE9)*(Engine!$B$1:$BY$1&lt;=$J12))</f>
        <v>0</v>
      </c>
      <c r="W12" s="25" t="str">
        <f aca="false">IF(COUNTIF(Q12:V12,MAX(Q12:V12))&gt;1,"Tie",INDEX($C$5:$C$10,MATCH(MAX(Q12:V12),Q12:V12,0)))</f>
        <v>Social-Democrats</v>
      </c>
      <c r="X12" s="24" t="n">
        <f aca="false">ROUND($I12*K12,0)</f>
        <v>1549530</v>
      </c>
      <c r="Y12" s="24" t="n">
        <f aca="false">ROUND($I12*L12,0)</f>
        <v>1919158</v>
      </c>
      <c r="Z12" s="24" t="n">
        <f aca="false">ROUND($I12*M12,0)</f>
        <v>859960</v>
      </c>
      <c r="AA12" s="24" t="n">
        <f aca="false">ROUND($I12*N12,0)</f>
        <v>1148343</v>
      </c>
      <c r="AB12" s="24" t="n">
        <f aca="false">ROUND($I12*O12,0)</f>
        <v>499360</v>
      </c>
      <c r="AC12" s="24" t="n">
        <f aca="false">ROUND($I12*P12,0)</f>
        <v>0</v>
      </c>
    </row>
    <row r="13" customFormat="false" ht="15" hidden="false" customHeight="false" outlineLevel="0" collapsed="false">
      <c r="B13" s="34" t="s">
        <v>50</v>
      </c>
      <c r="C13" s="13" t="n">
        <f aca="false">J41</f>
        <v>602</v>
      </c>
      <c r="E13" s="9" t="s">
        <v>51</v>
      </c>
      <c r="F13" s="10" t="n">
        <v>0.791666666666667</v>
      </c>
      <c r="G13" s="11" t="n">
        <v>9347323</v>
      </c>
      <c r="H13" s="12" t="n">
        <f aca="false">Model!AA13</f>
        <v>0.622189766335453</v>
      </c>
      <c r="I13" s="11" t="n">
        <f aca="false">ROUND(G13*H13,0)</f>
        <v>5815809</v>
      </c>
      <c r="J13" s="13" t="n">
        <v>22</v>
      </c>
      <c r="K13" s="14" t="n">
        <f aca="false">Model!BX13</f>
        <v>0.280480268797652</v>
      </c>
      <c r="L13" s="15" t="n">
        <f aca="false">Model!BY13</f>
        <v>0.240471019834407</v>
      </c>
      <c r="M13" s="16" t="n">
        <f aca="false">Model!BZ13</f>
        <v>0.116239273218195</v>
      </c>
      <c r="N13" s="17" t="n">
        <f aca="false">Model!CA13</f>
        <v>0.271047269236183</v>
      </c>
      <c r="O13" s="18" t="n">
        <f aca="false">Model!CB13</f>
        <v>0.0917621689135643</v>
      </c>
      <c r="P13" s="19" t="n">
        <f aca="false">Model!CC13</f>
        <v>0</v>
      </c>
      <c r="Q13" s="13" t="n">
        <f aca="false">SUMPRODUCT((Engine!$B10:$BY10&lt;Engine!$CA10)*(Engine!$B$1:$BY$1&lt;=$J13))</f>
        <v>8</v>
      </c>
      <c r="R13" s="13" t="n">
        <f aca="false">SUMPRODUCT((Engine!$B10:$BY10&gt;=Engine!$CA10)*(Engine!$B10:$BY10&lt;Engine!$CB10)*(Engine!$B$1:$BY$1&lt;=$J13))</f>
        <v>13</v>
      </c>
      <c r="S13" s="13" t="n">
        <f aca="false">SUMPRODUCT((Engine!$B10:$BY10&gt;=Engine!$CB10)*(Engine!$B10:$BY10&lt;Engine!$CC10)*(Engine!$B$1:$BY$1&lt;=$J13))</f>
        <v>0</v>
      </c>
      <c r="T13" s="13" t="n">
        <f aca="false">SUMPRODUCT((Engine!$B10:$BY10&gt;=Engine!$CC10)*(Engine!$B10:$BY10&lt;Engine!$CD10)*(Engine!$B$1:$BY$1&lt;=$J13))</f>
        <v>1</v>
      </c>
      <c r="U13" s="13" t="n">
        <f aca="false">SUMPRODUCT((Engine!$B10:$BY10&gt;=Engine!$CD10)*(Engine!$B10:$BY10&lt;Engine!$CE10)*(Engine!$B$1:$BY$1&lt;=$J13))</f>
        <v>0</v>
      </c>
      <c r="V13" s="13" t="n">
        <f aca="false">SUMPRODUCT((Engine!$B10:$BY10&gt;=Engine!$CE10)*(Engine!$B$1:$BY$1&lt;=$J13))</f>
        <v>0</v>
      </c>
      <c r="W13" s="13" t="str">
        <f aca="false">IF(COUNTIF(Q13:V13,MAX(Q13:V13))&gt;1,"Tie",INDEX($C$5:$C$10,MATCH(MAX(Q13:V13),Q13:V13,0)))</f>
        <v>Social-Democrats</v>
      </c>
      <c r="X13" s="11" t="n">
        <f aca="false">ROUND($I13*K13,0)</f>
        <v>1631220</v>
      </c>
      <c r="Y13" s="11" t="n">
        <f aca="false">ROUND($I13*L13,0)</f>
        <v>1398534</v>
      </c>
      <c r="Z13" s="11" t="n">
        <f aca="false">ROUND($I13*M13,0)</f>
        <v>676025</v>
      </c>
      <c r="AA13" s="11" t="n">
        <f aca="false">ROUND($I13*N13,0)</f>
        <v>1576359</v>
      </c>
      <c r="AB13" s="11" t="n">
        <f aca="false">ROUND($I13*O13,0)</f>
        <v>533671</v>
      </c>
      <c r="AC13" s="11" t="n">
        <f aca="false">ROUND($I13*P13,0)</f>
        <v>0</v>
      </c>
    </row>
    <row r="14" customFormat="false" ht="15" hidden="false" customHeight="false" outlineLevel="0" collapsed="false">
      <c r="B14" s="34" t="s">
        <v>52</v>
      </c>
      <c r="C14" s="35" t="n">
        <f aca="false">INT(C13/2)+1</f>
        <v>302</v>
      </c>
      <c r="E14" s="22" t="s">
        <v>53</v>
      </c>
      <c r="F14" s="23" t="n">
        <v>0.791666666666667</v>
      </c>
      <c r="G14" s="24" t="n">
        <v>9049790</v>
      </c>
      <c r="H14" s="12" t="n">
        <f aca="false">Model!AA14</f>
        <v>0.631946048354913</v>
      </c>
      <c r="I14" s="24" t="n">
        <f aca="false">ROUND(G14*H14,0)</f>
        <v>5718979</v>
      </c>
      <c r="J14" s="25" t="n">
        <v>21</v>
      </c>
      <c r="K14" s="14" t="n">
        <f aca="false">Model!BX14</f>
        <v>0.236778257021157</v>
      </c>
      <c r="L14" s="15" t="n">
        <f aca="false">Model!BY14</f>
        <v>0.364945823902905</v>
      </c>
      <c r="M14" s="16" t="n">
        <f aca="false">Model!BZ14</f>
        <v>0.168945489994826</v>
      </c>
      <c r="N14" s="17" t="n">
        <f aca="false">Model!CA14</f>
        <v>0.155777841803286</v>
      </c>
      <c r="O14" s="18" t="n">
        <f aca="false">Model!CB14</f>
        <v>0.0735525872778262</v>
      </c>
      <c r="P14" s="19" t="n">
        <f aca="false">Model!CC14</f>
        <v>0</v>
      </c>
      <c r="Q14" s="25" t="n">
        <f aca="false">SUMPRODUCT((Engine!$B11:$BY11&lt;Engine!$CA11)*(Engine!$B$1:$BY$1&lt;=$J14))</f>
        <v>7</v>
      </c>
      <c r="R14" s="25" t="n">
        <f aca="false">SUMPRODUCT((Engine!$B11:$BY11&gt;=Engine!$CA11)*(Engine!$B11:$BY11&lt;Engine!$CB11)*(Engine!$B$1:$BY$1&lt;=$J14))</f>
        <v>11</v>
      </c>
      <c r="S14" s="25" t="n">
        <f aca="false">SUMPRODUCT((Engine!$B11:$BY11&gt;=Engine!$CB11)*(Engine!$B11:$BY11&lt;Engine!$CC11)*(Engine!$B$1:$BY$1&lt;=$J14))</f>
        <v>0</v>
      </c>
      <c r="T14" s="25" t="n">
        <f aca="false">SUMPRODUCT((Engine!$B11:$BY11&gt;=Engine!$CC11)*(Engine!$B11:$BY11&lt;Engine!$CD11)*(Engine!$B$1:$BY$1&lt;=$J14))</f>
        <v>3</v>
      </c>
      <c r="U14" s="25" t="n">
        <f aca="false">SUMPRODUCT((Engine!$B11:$BY11&gt;=Engine!$CD11)*(Engine!$B11:$BY11&lt;Engine!$CE11)*(Engine!$B$1:$BY$1&lt;=$J14))</f>
        <v>0</v>
      </c>
      <c r="V14" s="25" t="n">
        <f aca="false">SUMPRODUCT((Engine!$B11:$BY11&gt;=Engine!$CE11)*(Engine!$B$1:$BY$1&lt;=$J14))</f>
        <v>0</v>
      </c>
      <c r="W14" s="25" t="str">
        <f aca="false">IF(COUNTIF(Q14:V14,MAX(Q14:V14))&gt;1,"Tie",INDEX($C$5:$C$10,MATCH(MAX(Q14:V14),Q14:V14,0)))</f>
        <v>Social-Democrats</v>
      </c>
      <c r="X14" s="24" t="n">
        <f aca="false">ROUND($I14*K14,0)</f>
        <v>1354130</v>
      </c>
      <c r="Y14" s="24" t="n">
        <f aca="false">ROUND($I14*L14,0)</f>
        <v>2087118</v>
      </c>
      <c r="Z14" s="24" t="n">
        <f aca="false">ROUND($I14*M14,0)</f>
        <v>966196</v>
      </c>
      <c r="AA14" s="24" t="n">
        <f aca="false">ROUND($I14*N14,0)</f>
        <v>890890</v>
      </c>
      <c r="AB14" s="24" t="n">
        <f aca="false">ROUND($I14*O14,0)</f>
        <v>420646</v>
      </c>
      <c r="AC14" s="24" t="n">
        <f aca="false">ROUND($I14*P14,0)</f>
        <v>0</v>
      </c>
    </row>
    <row r="15" customFormat="false" ht="15" hidden="false" customHeight="false" outlineLevel="0" collapsed="false">
      <c r="E15" s="9" t="s">
        <v>54</v>
      </c>
      <c r="F15" s="10" t="n">
        <v>0.791666666666667</v>
      </c>
      <c r="G15" s="11" t="n">
        <v>8593492</v>
      </c>
      <c r="H15" s="12" t="n">
        <f aca="false">Model!AA15</f>
        <v>0.643774820788182</v>
      </c>
      <c r="I15" s="11" t="n">
        <f aca="false">ROUND(G15*H15,0)</f>
        <v>5532274</v>
      </c>
      <c r="J15" s="13" t="n">
        <v>20</v>
      </c>
      <c r="K15" s="14" t="n">
        <f aca="false">Model!BX15</f>
        <v>0.303869127481124</v>
      </c>
      <c r="L15" s="15" t="n">
        <f aca="false">Model!BY15</f>
        <v>0.32091873725782</v>
      </c>
      <c r="M15" s="16" t="n">
        <f aca="false">Model!BZ15</f>
        <v>0.158354550494508</v>
      </c>
      <c r="N15" s="17" t="n">
        <f aca="false">Model!CA15</f>
        <v>0.142520166654169</v>
      </c>
      <c r="O15" s="18" t="n">
        <f aca="false">Model!CB15</f>
        <v>0.074337418112379</v>
      </c>
      <c r="P15" s="19" t="n">
        <f aca="false">Model!CC15</f>
        <v>0</v>
      </c>
      <c r="Q15" s="13" t="n">
        <f aca="false">SUMPRODUCT((Engine!$B12:$BY12&lt;Engine!$CA12)*(Engine!$B$1:$BY$1&lt;=$J15))</f>
        <v>6</v>
      </c>
      <c r="R15" s="13" t="n">
        <f aca="false">SUMPRODUCT((Engine!$B12:$BY12&gt;=Engine!$CA12)*(Engine!$B12:$BY12&lt;Engine!$CB12)*(Engine!$B$1:$BY$1&lt;=$J15))</f>
        <v>14</v>
      </c>
      <c r="S15" s="13" t="n">
        <f aca="false">SUMPRODUCT((Engine!$B12:$BY12&gt;=Engine!$CB12)*(Engine!$B12:$BY12&lt;Engine!$CC12)*(Engine!$B$1:$BY$1&lt;=$J15))</f>
        <v>0</v>
      </c>
      <c r="T15" s="13" t="n">
        <f aca="false">SUMPRODUCT((Engine!$B12:$BY12&gt;=Engine!$CC12)*(Engine!$B12:$BY12&lt;Engine!$CD12)*(Engine!$B$1:$BY$1&lt;=$J15))</f>
        <v>0</v>
      </c>
      <c r="U15" s="13" t="n">
        <f aca="false">SUMPRODUCT((Engine!$B12:$BY12&gt;=Engine!$CD12)*(Engine!$B12:$BY12&lt;Engine!$CE12)*(Engine!$B$1:$BY$1&lt;=$J15))</f>
        <v>0</v>
      </c>
      <c r="V15" s="13" t="n">
        <f aca="false">SUMPRODUCT((Engine!$B12:$BY12&gt;=Engine!$CE12)*(Engine!$B$1:$BY$1&lt;=$J15))</f>
        <v>0</v>
      </c>
      <c r="W15" s="13" t="str">
        <f aca="false">IF(COUNTIF(Q15:V15,MAX(Q15:V15))&gt;1,"Tie",INDEX($C$5:$C$10,MATCH(MAX(Q15:V15),Q15:V15,0)))</f>
        <v>Social-Democrats</v>
      </c>
      <c r="X15" s="11" t="n">
        <f aca="false">ROUND($I15*K15,0)</f>
        <v>1681087</v>
      </c>
      <c r="Y15" s="11" t="n">
        <f aca="false">ROUND($I15*L15,0)</f>
        <v>1775410</v>
      </c>
      <c r="Z15" s="11" t="n">
        <f aca="false">ROUND($I15*M15,0)</f>
        <v>876061</v>
      </c>
      <c r="AA15" s="11" t="n">
        <f aca="false">ROUND($I15*N15,0)</f>
        <v>788461</v>
      </c>
      <c r="AB15" s="11" t="n">
        <f aca="false">ROUND($I15*O15,0)</f>
        <v>411255</v>
      </c>
      <c r="AC15" s="11" t="n">
        <f aca="false">ROUND($I15*P15,0)</f>
        <v>0</v>
      </c>
    </row>
    <row r="16" customFormat="false" ht="15" hidden="false" customHeight="false" outlineLevel="0" collapsed="false">
      <c r="B16" s="36" t="str">
        <f aca="false">C5</f>
        <v>Conservatives</v>
      </c>
      <c r="C16" s="37" t="n">
        <f aca="false">Q41</f>
        <v>228</v>
      </c>
      <c r="E16" s="22" t="s">
        <v>55</v>
      </c>
      <c r="F16" s="23" t="n">
        <v>0.791666666666667</v>
      </c>
      <c r="G16" s="24" t="n">
        <v>8043922</v>
      </c>
      <c r="H16" s="12" t="n">
        <f aca="false">Model!AA16</f>
        <v>0.651062247883145</v>
      </c>
      <c r="I16" s="24" t="n">
        <f aca="false">ROUND(G16*H16,0)</f>
        <v>5237094</v>
      </c>
      <c r="J16" s="25" t="n">
        <v>19</v>
      </c>
      <c r="K16" s="14" t="n">
        <f aca="false">Model!BX16</f>
        <v>0.261098370449147</v>
      </c>
      <c r="L16" s="15" t="n">
        <f aca="false">Model!BY16</f>
        <v>0.34347029407887</v>
      </c>
      <c r="M16" s="16" t="n">
        <f aca="false">Model!BZ16</f>
        <v>0.187692364095351</v>
      </c>
      <c r="N16" s="17" t="n">
        <f aca="false">Model!CA16</f>
        <v>0.136634589888492</v>
      </c>
      <c r="O16" s="18" t="n">
        <f aca="false">Model!CB16</f>
        <v>0.0711043814881413</v>
      </c>
      <c r="P16" s="19" t="n">
        <f aca="false">Model!CC16</f>
        <v>0</v>
      </c>
      <c r="Q16" s="25" t="n">
        <f aca="false">SUMPRODUCT((Engine!$B13:$BY13&lt;Engine!$CA13)*(Engine!$B$1:$BY$1&lt;=$J16))</f>
        <v>5</v>
      </c>
      <c r="R16" s="25" t="n">
        <f aca="false">SUMPRODUCT((Engine!$B13:$BY13&gt;=Engine!$CA13)*(Engine!$B13:$BY13&lt;Engine!$CB13)*(Engine!$B$1:$BY$1&lt;=$J16))</f>
        <v>12</v>
      </c>
      <c r="S16" s="25" t="n">
        <f aca="false">SUMPRODUCT((Engine!$B13:$BY13&gt;=Engine!$CB13)*(Engine!$B13:$BY13&lt;Engine!$CC13)*(Engine!$B$1:$BY$1&lt;=$J16))</f>
        <v>2</v>
      </c>
      <c r="T16" s="25" t="n">
        <f aca="false">SUMPRODUCT((Engine!$B13:$BY13&gt;=Engine!$CC13)*(Engine!$B13:$BY13&lt;Engine!$CD13)*(Engine!$B$1:$BY$1&lt;=$J16))</f>
        <v>0</v>
      </c>
      <c r="U16" s="25" t="n">
        <f aca="false">SUMPRODUCT((Engine!$B13:$BY13&gt;=Engine!$CD13)*(Engine!$B13:$BY13&lt;Engine!$CE13)*(Engine!$B$1:$BY$1&lt;=$J16))</f>
        <v>0</v>
      </c>
      <c r="V16" s="25" t="n">
        <f aca="false">SUMPRODUCT((Engine!$B13:$BY13&gt;=Engine!$CE13)*(Engine!$B$1:$BY$1&lt;=$J16))</f>
        <v>0</v>
      </c>
      <c r="W16" s="25" t="str">
        <f aca="false">IF(COUNTIF(Q16:V16,MAX(Q16:V16))&gt;1,"Tie",INDEX($C$5:$C$10,MATCH(MAX(Q16:V16),Q16:V16,0)))</f>
        <v>Social-Democrats</v>
      </c>
      <c r="X16" s="24" t="n">
        <f aca="false">ROUND($I16*K16,0)</f>
        <v>1367397</v>
      </c>
      <c r="Y16" s="24" t="n">
        <f aca="false">ROUND($I16*L16,0)</f>
        <v>1798786</v>
      </c>
      <c r="Z16" s="24" t="n">
        <f aca="false">ROUND($I16*M16,0)</f>
        <v>982963</v>
      </c>
      <c r="AA16" s="24" t="n">
        <f aca="false">ROUND($I16*N16,0)</f>
        <v>715568</v>
      </c>
      <c r="AB16" s="24" t="n">
        <f aca="false">ROUND($I16*O16,0)</f>
        <v>372380</v>
      </c>
      <c r="AC16" s="24" t="n">
        <f aca="false">ROUND($I16*P16,0)</f>
        <v>0</v>
      </c>
    </row>
    <row r="17" customFormat="false" ht="15" hidden="false" customHeight="false" outlineLevel="0" collapsed="false">
      <c r="B17" s="38" t="str">
        <f aca="false">C6</f>
        <v>Social-Democrats</v>
      </c>
      <c r="C17" s="39" t="n">
        <f aca="false">R41</f>
        <v>307</v>
      </c>
      <c r="E17" s="9" t="s">
        <v>56</v>
      </c>
      <c r="F17" s="10" t="n">
        <v>0.833333333333333</v>
      </c>
      <c r="G17" s="11" t="n">
        <v>7142793</v>
      </c>
      <c r="H17" s="12" t="n">
        <f aca="false">Model!AA17</f>
        <v>0.632804436362764</v>
      </c>
      <c r="I17" s="11" t="n">
        <f aca="false">ROUND(G17*H17,0)</f>
        <v>4519991</v>
      </c>
      <c r="J17" s="13" t="n">
        <v>17</v>
      </c>
      <c r="K17" s="14" t="n">
        <f aca="false">Model!BX17</f>
        <v>0.295253983158247</v>
      </c>
      <c r="L17" s="15" t="n">
        <f aca="false">Model!BY17</f>
        <v>0.327326690667695</v>
      </c>
      <c r="M17" s="16" t="n">
        <f aca="false">Model!BZ17</f>
        <v>0.15819203048297</v>
      </c>
      <c r="N17" s="17" t="n">
        <f aca="false">Model!CA17</f>
        <v>0.144542217975049</v>
      </c>
      <c r="O17" s="18" t="n">
        <f aca="false">Model!CB17</f>
        <v>0.0746850777160388</v>
      </c>
      <c r="P17" s="19" t="n">
        <f aca="false">Model!CC17</f>
        <v>0</v>
      </c>
      <c r="Q17" s="13" t="n">
        <f aca="false">SUMPRODUCT((Engine!$B14:$BY14&lt;Engine!$CA14)*(Engine!$B$1:$BY$1&lt;=$J17))</f>
        <v>5</v>
      </c>
      <c r="R17" s="13" t="n">
        <f aca="false">SUMPRODUCT((Engine!$B14:$BY14&gt;=Engine!$CA14)*(Engine!$B14:$BY14&lt;Engine!$CB14)*(Engine!$B$1:$BY$1&lt;=$J17))</f>
        <v>11</v>
      </c>
      <c r="S17" s="13" t="n">
        <f aca="false">SUMPRODUCT((Engine!$B14:$BY14&gt;=Engine!$CB14)*(Engine!$B14:$BY14&lt;Engine!$CC14)*(Engine!$B$1:$BY$1&lt;=$J17))</f>
        <v>1</v>
      </c>
      <c r="T17" s="13" t="n">
        <f aca="false">SUMPRODUCT((Engine!$B14:$BY14&gt;=Engine!$CC14)*(Engine!$B14:$BY14&lt;Engine!$CD14)*(Engine!$B$1:$BY$1&lt;=$J17))</f>
        <v>0</v>
      </c>
      <c r="U17" s="13" t="n">
        <f aca="false">SUMPRODUCT((Engine!$B14:$BY14&gt;=Engine!$CD14)*(Engine!$B14:$BY14&lt;Engine!$CE14)*(Engine!$B$1:$BY$1&lt;=$J17))</f>
        <v>0</v>
      </c>
      <c r="V17" s="13" t="n">
        <f aca="false">SUMPRODUCT((Engine!$B14:$BY14&gt;=Engine!$CE14)*(Engine!$B$1:$BY$1&lt;=$J17))</f>
        <v>0</v>
      </c>
      <c r="W17" s="13" t="str">
        <f aca="false">IF(COUNTIF(Q17:V17,MAX(Q17:V17))&gt;1,"Tie",INDEX($C$5:$C$10,MATCH(MAX(Q17:V17),Q17:V17,0)))</f>
        <v>Social-Democrats</v>
      </c>
      <c r="X17" s="11" t="n">
        <f aca="false">ROUND($I17*K17,0)</f>
        <v>1334545</v>
      </c>
      <c r="Y17" s="11" t="n">
        <f aca="false">ROUND($I17*L17,0)</f>
        <v>1479514</v>
      </c>
      <c r="Z17" s="11" t="n">
        <f aca="false">ROUND($I17*M17,0)</f>
        <v>715027</v>
      </c>
      <c r="AA17" s="11" t="n">
        <f aca="false">ROUND($I17*N17,0)</f>
        <v>653330</v>
      </c>
      <c r="AB17" s="11" t="n">
        <f aca="false">ROUND($I17*O17,0)</f>
        <v>337576</v>
      </c>
      <c r="AC17" s="11" t="n">
        <f aca="false">ROUND($I17*P17,0)</f>
        <v>0</v>
      </c>
    </row>
    <row r="18" customFormat="false" ht="15" hidden="false" customHeight="false" outlineLevel="0" collapsed="false">
      <c r="B18" s="40" t="str">
        <f aca="false">C7</f>
        <v>Liberals</v>
      </c>
      <c r="C18" s="41" t="n">
        <f aca="false">S41</f>
        <v>31</v>
      </c>
      <c r="E18" s="22" t="s">
        <v>57</v>
      </c>
      <c r="F18" s="23" t="n">
        <v>0.875</v>
      </c>
      <c r="G18" s="24" t="n">
        <v>6332296</v>
      </c>
      <c r="H18" s="12" t="n">
        <f aca="false">Model!AA18</f>
        <v>0.614405115034948</v>
      </c>
      <c r="I18" s="24" t="n">
        <f aca="false">ROUND(G18*H18,0)</f>
        <v>3890595</v>
      </c>
      <c r="J18" s="25" t="n">
        <v>15</v>
      </c>
      <c r="K18" s="14" t="n">
        <f aca="false">Model!BX18</f>
        <v>0.239314937701762</v>
      </c>
      <c r="L18" s="15" t="n">
        <f aca="false">Model!BY18</f>
        <v>0.333337231195337</v>
      </c>
      <c r="M18" s="16" t="n">
        <f aca="false">Model!BZ18</f>
        <v>0.164457876187411</v>
      </c>
      <c r="N18" s="17" t="n">
        <f aca="false">Model!CA18</f>
        <v>0.18314958561859</v>
      </c>
      <c r="O18" s="18" t="n">
        <f aca="false">Model!CB18</f>
        <v>0.0797403692968992</v>
      </c>
      <c r="P18" s="19" t="n">
        <f aca="false">Model!CC18</f>
        <v>0</v>
      </c>
      <c r="Q18" s="25" t="n">
        <f aca="false">SUMPRODUCT((Engine!$B15:$BY15&lt;Engine!$CA15)*(Engine!$B$1:$BY$1&lt;=$J18))</f>
        <v>6</v>
      </c>
      <c r="R18" s="25" t="n">
        <f aca="false">SUMPRODUCT((Engine!$B15:$BY15&gt;=Engine!$CA15)*(Engine!$B15:$BY15&lt;Engine!$CB15)*(Engine!$B$1:$BY$1&lt;=$J18))</f>
        <v>6</v>
      </c>
      <c r="S18" s="25" t="n">
        <f aca="false">SUMPRODUCT((Engine!$B15:$BY15&gt;=Engine!$CB15)*(Engine!$B15:$BY15&lt;Engine!$CC15)*(Engine!$B$1:$BY$1&lt;=$J18))</f>
        <v>1</v>
      </c>
      <c r="T18" s="25" t="n">
        <f aca="false">SUMPRODUCT((Engine!$B15:$BY15&gt;=Engine!$CC15)*(Engine!$B15:$BY15&lt;Engine!$CD15)*(Engine!$B$1:$BY$1&lt;=$J18))</f>
        <v>2</v>
      </c>
      <c r="U18" s="25" t="n">
        <f aca="false">SUMPRODUCT((Engine!$B15:$BY15&gt;=Engine!$CD15)*(Engine!$B15:$BY15&lt;Engine!$CE15)*(Engine!$B$1:$BY$1&lt;=$J18))</f>
        <v>0</v>
      </c>
      <c r="V18" s="25" t="n">
        <f aca="false">SUMPRODUCT((Engine!$B15:$BY15&gt;=Engine!$CE15)*(Engine!$B$1:$BY$1&lt;=$J18))</f>
        <v>0</v>
      </c>
      <c r="W18" s="25" t="str">
        <f aca="false">IF(COUNTIF(Q18:V18,MAX(Q18:V18))&gt;1,"Tie",INDEX($C$5:$C$10,MATCH(MAX(Q18:V18),Q18:V18,0)))</f>
        <v>Tie</v>
      </c>
      <c r="X18" s="24" t="n">
        <f aca="false">ROUND($I18*K18,0)</f>
        <v>931078</v>
      </c>
      <c r="Y18" s="24" t="n">
        <f aca="false">ROUND($I18*L18,0)</f>
        <v>1296880</v>
      </c>
      <c r="Z18" s="24" t="n">
        <f aca="false">ROUND($I18*M18,0)</f>
        <v>639839</v>
      </c>
      <c r="AA18" s="24" t="n">
        <f aca="false">ROUND($I18*N18,0)</f>
        <v>712561</v>
      </c>
      <c r="AB18" s="24" t="n">
        <f aca="false">ROUND($I18*O18,0)</f>
        <v>310237</v>
      </c>
      <c r="AC18" s="24" t="n">
        <f aca="false">ROUND($I18*P18,0)</f>
        <v>0</v>
      </c>
    </row>
    <row r="19" customFormat="false" ht="15" hidden="false" customHeight="false" outlineLevel="0" collapsed="false">
      <c r="B19" s="6" t="str">
        <f aca="false">C8</f>
        <v>Nationalist</v>
      </c>
      <c r="C19" s="42" t="n">
        <f aca="false">T41</f>
        <v>32</v>
      </c>
      <c r="E19" s="9" t="s">
        <v>58</v>
      </c>
      <c r="F19" s="10" t="n">
        <v>0.791666666666667</v>
      </c>
      <c r="G19" s="11" t="n">
        <v>6052347</v>
      </c>
      <c r="H19" s="12" t="n">
        <f aca="false">Model!AA19</f>
        <v>0.634364018771927</v>
      </c>
      <c r="I19" s="11" t="n">
        <f aca="false">ROUND(G19*H19,0)</f>
        <v>3839391</v>
      </c>
      <c r="J19" s="13" t="n">
        <v>15</v>
      </c>
      <c r="K19" s="14" t="n">
        <f aca="false">Model!BX19</f>
        <v>0.238154828909965</v>
      </c>
      <c r="L19" s="15" t="n">
        <f aca="false">Model!BY19</f>
        <v>0.375249111402716</v>
      </c>
      <c r="M19" s="16" t="n">
        <f aca="false">Model!BZ19</f>
        <v>0.174537250284113</v>
      </c>
      <c r="N19" s="17" t="n">
        <f aca="false">Model!CA19</f>
        <v>0.136199703976082</v>
      </c>
      <c r="O19" s="18" t="n">
        <f aca="false">Model!CB19</f>
        <v>0.0758591054271237</v>
      </c>
      <c r="P19" s="19" t="n">
        <f aca="false">Model!CC19</f>
        <v>0</v>
      </c>
      <c r="Q19" s="13" t="n">
        <f aca="false">SUMPRODUCT((Engine!$B16:$BY16&lt;Engine!$CA16)*(Engine!$B$1:$BY$1&lt;=$J19))</f>
        <v>7</v>
      </c>
      <c r="R19" s="13" t="n">
        <f aca="false">SUMPRODUCT((Engine!$B16:$BY16&gt;=Engine!$CA16)*(Engine!$B16:$BY16&lt;Engine!$CB16)*(Engine!$B$1:$BY$1&lt;=$J19))</f>
        <v>6</v>
      </c>
      <c r="S19" s="13" t="n">
        <f aca="false">SUMPRODUCT((Engine!$B16:$BY16&gt;=Engine!$CB16)*(Engine!$B16:$BY16&lt;Engine!$CC16)*(Engine!$B$1:$BY$1&lt;=$J19))</f>
        <v>2</v>
      </c>
      <c r="T19" s="13" t="n">
        <f aca="false">SUMPRODUCT((Engine!$B16:$BY16&gt;=Engine!$CC16)*(Engine!$B16:$BY16&lt;Engine!$CD16)*(Engine!$B$1:$BY$1&lt;=$J19))</f>
        <v>0</v>
      </c>
      <c r="U19" s="13" t="n">
        <f aca="false">SUMPRODUCT((Engine!$B16:$BY16&gt;=Engine!$CD16)*(Engine!$B16:$BY16&lt;Engine!$CE16)*(Engine!$B$1:$BY$1&lt;=$J19))</f>
        <v>0</v>
      </c>
      <c r="V19" s="13" t="n">
        <f aca="false">SUMPRODUCT((Engine!$B16:$BY16&gt;=Engine!$CE16)*(Engine!$B$1:$BY$1&lt;=$J19))</f>
        <v>0</v>
      </c>
      <c r="W19" s="13" t="str">
        <f aca="false">IF(COUNTIF(Q19:V19,MAX(Q19:V19))&gt;1,"Tie",INDEX($C$5:$C$10,MATCH(MAX(Q19:V19),Q19:V19,0)))</f>
        <v>Conservatives</v>
      </c>
      <c r="X19" s="11" t="n">
        <f aca="false">ROUND($I19*K19,0)</f>
        <v>914370</v>
      </c>
      <c r="Y19" s="11" t="n">
        <f aca="false">ROUND($I19*L19,0)</f>
        <v>1440728</v>
      </c>
      <c r="Z19" s="11" t="n">
        <f aca="false">ROUND($I19*M19,0)</f>
        <v>670117</v>
      </c>
      <c r="AA19" s="11" t="n">
        <f aca="false">ROUND($I19*N19,0)</f>
        <v>522924</v>
      </c>
      <c r="AB19" s="11" t="n">
        <f aca="false">ROUND($I19*O19,0)</f>
        <v>291253</v>
      </c>
      <c r="AC19" s="11" t="n">
        <f aca="false">ROUND($I19*P19,0)</f>
        <v>0</v>
      </c>
    </row>
    <row r="20" customFormat="false" ht="15" hidden="false" customHeight="false" outlineLevel="0" collapsed="false">
      <c r="B20" s="43" t="str">
        <f aca="false">C9</f>
        <v>Independent</v>
      </c>
      <c r="C20" s="44" t="n">
        <f aca="false">U41</f>
        <v>2</v>
      </c>
      <c r="E20" s="22" t="s">
        <v>59</v>
      </c>
      <c r="F20" s="23" t="n">
        <v>0.833333333333333</v>
      </c>
      <c r="G20" s="24" t="n">
        <v>5924067</v>
      </c>
      <c r="H20" s="12" t="n">
        <f aca="false">Model!AA20</f>
        <v>0.618973052353343</v>
      </c>
      <c r="I20" s="24" t="n">
        <f aca="false">ROUND(G20*H20,0)</f>
        <v>3666838</v>
      </c>
      <c r="J20" s="25" t="n">
        <v>14</v>
      </c>
      <c r="K20" s="14" t="n">
        <f aca="false">Model!BX20</f>
        <v>0.278621738616746</v>
      </c>
      <c r="L20" s="15" t="n">
        <f aca="false">Model!BY20</f>
        <v>0.312701874069136</v>
      </c>
      <c r="M20" s="16" t="n">
        <f aca="false">Model!BZ20</f>
        <v>0.11352860432237</v>
      </c>
      <c r="N20" s="17" t="n">
        <f aca="false">Model!CA20</f>
        <v>0.219488282858786</v>
      </c>
      <c r="O20" s="18" t="n">
        <f aca="false">Model!CB20</f>
        <v>0.0756595001329615</v>
      </c>
      <c r="P20" s="19" t="n">
        <f aca="false">Model!CC20</f>
        <v>0</v>
      </c>
      <c r="Q20" s="25" t="n">
        <f aca="false">SUMPRODUCT((Engine!$B17:$BY17&lt;Engine!$CA17)*(Engine!$B$1:$BY$1&lt;=$J20))</f>
        <v>7</v>
      </c>
      <c r="R20" s="25" t="n">
        <f aca="false">SUMPRODUCT((Engine!$B17:$BY17&gt;=Engine!$CA17)*(Engine!$B17:$BY17&lt;Engine!$CB17)*(Engine!$B$1:$BY$1&lt;=$J20))</f>
        <v>5</v>
      </c>
      <c r="S20" s="25" t="n">
        <f aca="false">SUMPRODUCT((Engine!$B17:$BY17&gt;=Engine!$CB17)*(Engine!$B17:$BY17&lt;Engine!$CC17)*(Engine!$B$1:$BY$1&lt;=$J20))</f>
        <v>1</v>
      </c>
      <c r="T20" s="25" t="n">
        <f aca="false">SUMPRODUCT((Engine!$B17:$BY17&gt;=Engine!$CC17)*(Engine!$B17:$BY17&lt;Engine!$CD17)*(Engine!$B$1:$BY$1&lt;=$J20))</f>
        <v>1</v>
      </c>
      <c r="U20" s="25" t="n">
        <f aca="false">SUMPRODUCT((Engine!$B17:$BY17&gt;=Engine!$CD17)*(Engine!$B17:$BY17&lt;Engine!$CE17)*(Engine!$B$1:$BY$1&lt;=$J20))</f>
        <v>0</v>
      </c>
      <c r="V20" s="25" t="n">
        <f aca="false">SUMPRODUCT((Engine!$B17:$BY17&gt;=Engine!$CE17)*(Engine!$B$1:$BY$1&lt;=$J20))</f>
        <v>0</v>
      </c>
      <c r="W20" s="25" t="str">
        <f aca="false">IF(COUNTIF(Q20:V20,MAX(Q20:V20))&gt;1,"Tie",INDEX($C$5:$C$10,MATCH(MAX(Q20:V20),Q20:V20,0)))</f>
        <v>Conservatives</v>
      </c>
      <c r="X20" s="24" t="n">
        <f aca="false">ROUND($I20*K20,0)</f>
        <v>1021661</v>
      </c>
      <c r="Y20" s="24" t="n">
        <f aca="false">ROUND($I20*L20,0)</f>
        <v>1146627</v>
      </c>
      <c r="Z20" s="24" t="n">
        <f aca="false">ROUND($I20*M20,0)</f>
        <v>416291</v>
      </c>
      <c r="AA20" s="24" t="n">
        <f aca="false">ROUND($I20*N20,0)</f>
        <v>804828</v>
      </c>
      <c r="AB20" s="24" t="n">
        <f aca="false">ROUND($I20*O20,0)</f>
        <v>277431</v>
      </c>
      <c r="AC20" s="24" t="n">
        <f aca="false">ROUND($I20*P20,0)</f>
        <v>0</v>
      </c>
    </row>
    <row r="21" customFormat="false" ht="15" hidden="false" customHeight="false" outlineLevel="0" collapsed="false">
      <c r="B21" s="45" t="str">
        <f aca="false">C10</f>
        <v>BP First</v>
      </c>
      <c r="C21" s="46" t="n">
        <f aca="false">V41</f>
        <v>2</v>
      </c>
      <c r="E21" s="9" t="s">
        <v>60</v>
      </c>
      <c r="F21" s="10" t="n">
        <v>0.791666666666667</v>
      </c>
      <c r="G21" s="11" t="n">
        <v>5641560</v>
      </c>
      <c r="H21" s="12" t="n">
        <f aca="false">Model!AA21</f>
        <v>0.635850479284169</v>
      </c>
      <c r="I21" s="11" t="n">
        <f aca="false">ROUND(G21*H21,0)</f>
        <v>3587189</v>
      </c>
      <c r="J21" s="13" t="n">
        <v>14</v>
      </c>
      <c r="K21" s="14" t="n">
        <f aca="false">Model!BX21</f>
        <v>0.250906823856627</v>
      </c>
      <c r="L21" s="15" t="n">
        <f aca="false">Model!BY21</f>
        <v>0.327094253445901</v>
      </c>
      <c r="M21" s="16" t="n">
        <f aca="false">Model!BZ21</f>
        <v>0.171356367801484</v>
      </c>
      <c r="N21" s="17" t="n">
        <f aca="false">Model!CA21</f>
        <v>0.173075361642585</v>
      </c>
      <c r="O21" s="18" t="n">
        <f aca="false">Model!CB21</f>
        <v>0.0775671932534029</v>
      </c>
      <c r="P21" s="19" t="n">
        <f aca="false">Model!CC21</f>
        <v>0</v>
      </c>
      <c r="Q21" s="13" t="n">
        <f aca="false">SUMPRODUCT((Engine!$B18:$BY18&lt;Engine!$CA18)*(Engine!$B$1:$BY$1&lt;=$J21))</f>
        <v>8</v>
      </c>
      <c r="R21" s="13" t="n">
        <f aca="false">SUMPRODUCT((Engine!$B18:$BY18&gt;=Engine!$CA18)*(Engine!$B18:$BY18&lt;Engine!$CB18)*(Engine!$B$1:$BY$1&lt;=$J21))</f>
        <v>5</v>
      </c>
      <c r="S21" s="13" t="n">
        <f aca="false">SUMPRODUCT((Engine!$B18:$BY18&gt;=Engine!$CB18)*(Engine!$B18:$BY18&lt;Engine!$CC18)*(Engine!$B$1:$BY$1&lt;=$J21))</f>
        <v>0</v>
      </c>
      <c r="T21" s="13" t="n">
        <f aca="false">SUMPRODUCT((Engine!$B18:$BY18&gt;=Engine!$CC18)*(Engine!$B18:$BY18&lt;Engine!$CD18)*(Engine!$B$1:$BY$1&lt;=$J21))</f>
        <v>1</v>
      </c>
      <c r="U21" s="13" t="n">
        <f aca="false">SUMPRODUCT((Engine!$B18:$BY18&gt;=Engine!$CD18)*(Engine!$B18:$BY18&lt;Engine!$CE18)*(Engine!$B$1:$BY$1&lt;=$J21))</f>
        <v>0</v>
      </c>
      <c r="V21" s="13" t="n">
        <f aca="false">SUMPRODUCT((Engine!$B18:$BY18&gt;=Engine!$CE18)*(Engine!$B$1:$BY$1&lt;=$J21))</f>
        <v>0</v>
      </c>
      <c r="W21" s="13" t="str">
        <f aca="false">IF(COUNTIF(Q21:V21,MAX(Q21:V21))&gt;1,"Tie",INDEX($C$5:$C$10,MATCH(MAX(Q21:V21),Q21:V21,0)))</f>
        <v>Conservatives</v>
      </c>
      <c r="X21" s="11" t="n">
        <f aca="false">ROUND($I21*K21,0)</f>
        <v>900050</v>
      </c>
      <c r="Y21" s="11" t="n">
        <f aca="false">ROUND($I21*L21,0)</f>
        <v>1173349</v>
      </c>
      <c r="Z21" s="11" t="n">
        <f aca="false">ROUND($I21*M21,0)</f>
        <v>614688</v>
      </c>
      <c r="AA21" s="11" t="n">
        <f aca="false">ROUND($I21*N21,0)</f>
        <v>620854</v>
      </c>
      <c r="AB21" s="11" t="n">
        <f aca="false">ROUND($I21*O21,0)</f>
        <v>278248</v>
      </c>
      <c r="AC21" s="11" t="n">
        <f aca="false">ROUND($I21*P21,0)</f>
        <v>0</v>
      </c>
    </row>
    <row r="22" customFormat="false" ht="15" hidden="false" customHeight="false" outlineLevel="0" collapsed="false">
      <c r="E22" s="22" t="s">
        <v>61</v>
      </c>
      <c r="F22" s="23" t="n">
        <v>0.770833333333333</v>
      </c>
      <c r="G22" s="24" t="n">
        <v>5267271</v>
      </c>
      <c r="H22" s="12" t="n">
        <f aca="false">Model!AA22</f>
        <v>0.621211041522398</v>
      </c>
      <c r="I22" s="24" t="n">
        <f aca="false">ROUND(G22*H22,0)</f>
        <v>3272087</v>
      </c>
      <c r="J22" s="25" t="n">
        <v>13</v>
      </c>
      <c r="K22" s="14" t="n">
        <f aca="false">Model!BX22</f>
        <v>0.308368491034341</v>
      </c>
      <c r="L22" s="15" t="n">
        <f aca="false">Model!BY22</f>
        <v>0.21022917282966</v>
      </c>
      <c r="M22" s="16" t="n">
        <f aca="false">Model!BZ22</f>
        <v>0.110784001592627</v>
      </c>
      <c r="N22" s="17" t="n">
        <f aca="false">Model!CA22</f>
        <v>0.280782072524394</v>
      </c>
      <c r="O22" s="18" t="n">
        <f aca="false">Model!CB22</f>
        <v>0.089836262018978</v>
      </c>
      <c r="P22" s="19" t="n">
        <f aca="false">Model!CC22</f>
        <v>0</v>
      </c>
      <c r="Q22" s="25" t="n">
        <f aca="false">SUMPRODUCT((Engine!$B19:$BY19&lt;Engine!$CA19)*(Engine!$B$1:$BY$1&lt;=$J22))</f>
        <v>8</v>
      </c>
      <c r="R22" s="25" t="n">
        <f aca="false">SUMPRODUCT((Engine!$B19:$BY19&gt;=Engine!$CA19)*(Engine!$B19:$BY19&lt;Engine!$CB19)*(Engine!$B$1:$BY$1&lt;=$J22))</f>
        <v>4</v>
      </c>
      <c r="S22" s="25" t="n">
        <f aca="false">SUMPRODUCT((Engine!$B19:$BY19&gt;=Engine!$CB19)*(Engine!$B19:$BY19&lt;Engine!$CC19)*(Engine!$B$1:$BY$1&lt;=$J22))</f>
        <v>0</v>
      </c>
      <c r="T22" s="25" t="n">
        <f aca="false">SUMPRODUCT((Engine!$B19:$BY19&gt;=Engine!$CC19)*(Engine!$B19:$BY19&lt;Engine!$CD19)*(Engine!$B$1:$BY$1&lt;=$J22))</f>
        <v>1</v>
      </c>
      <c r="U22" s="25" t="n">
        <f aca="false">SUMPRODUCT((Engine!$B19:$BY19&gt;=Engine!$CD19)*(Engine!$B19:$BY19&lt;Engine!$CE19)*(Engine!$B$1:$BY$1&lt;=$J22))</f>
        <v>0</v>
      </c>
      <c r="V22" s="25" t="n">
        <f aca="false">SUMPRODUCT((Engine!$B19:$BY19&gt;=Engine!$CE19)*(Engine!$B$1:$BY$1&lt;=$J22))</f>
        <v>0</v>
      </c>
      <c r="W22" s="25" t="str">
        <f aca="false">IF(COUNTIF(Q22:V22,MAX(Q22:V22))&gt;1,"Tie",INDEX($C$5:$C$10,MATCH(MAX(Q22:V22),Q22:V22,0)))</f>
        <v>Conservatives</v>
      </c>
      <c r="X22" s="24" t="n">
        <f aca="false">ROUND($I22*K22,0)</f>
        <v>1009009</v>
      </c>
      <c r="Y22" s="24" t="n">
        <f aca="false">ROUND($I22*L22,0)</f>
        <v>687888</v>
      </c>
      <c r="Z22" s="24" t="n">
        <f aca="false">ROUND($I22*M22,0)</f>
        <v>362495</v>
      </c>
      <c r="AA22" s="24" t="n">
        <f aca="false">ROUND($I22*N22,0)</f>
        <v>918743</v>
      </c>
      <c r="AB22" s="24" t="n">
        <f aca="false">ROUND($I22*O22,0)</f>
        <v>293952</v>
      </c>
      <c r="AC22" s="24" t="n">
        <f aca="false">ROUND($I22*P22,0)</f>
        <v>0</v>
      </c>
    </row>
    <row r="23" customFormat="false" ht="15" hidden="false" customHeight="false" outlineLevel="0" collapsed="false">
      <c r="B23" s="6" t="s">
        <v>62</v>
      </c>
      <c r="C23" s="35" t="str">
        <f aca="false">IF(COUNTIF(C16:C21,MAX(C16:C21))&gt;1,"Tie",INDEX(C5:C10,MATCH(MAX(C16:C21),C16:C21,0)))</f>
        <v>Social-Democrats</v>
      </c>
      <c r="E23" s="9" t="s">
        <v>63</v>
      </c>
      <c r="F23" s="10" t="n">
        <v>0.833333333333333</v>
      </c>
      <c r="G23" s="11" t="n">
        <v>4872525</v>
      </c>
      <c r="H23" s="12" t="n">
        <f aca="false">Model!AA23</f>
        <v>0.618146982672401</v>
      </c>
      <c r="I23" s="11" t="n">
        <f aca="false">ROUND(G23*H23,0)</f>
        <v>3011937</v>
      </c>
      <c r="J23" s="13" t="n">
        <v>12</v>
      </c>
      <c r="K23" s="14" t="n">
        <f aca="false">Model!BX23</f>
        <v>0.225739429375588</v>
      </c>
      <c r="L23" s="15" t="n">
        <f aca="false">Model!BY23</f>
        <v>0.341968094722836</v>
      </c>
      <c r="M23" s="16" t="n">
        <f aca="false">Model!BZ23</f>
        <v>0.140439221755112</v>
      </c>
      <c r="N23" s="17" t="n">
        <f aca="false">Model!CA23</f>
        <v>0.1980963681423</v>
      </c>
      <c r="O23" s="18" t="n">
        <f aca="false">Model!CB23</f>
        <v>0.0937568860041648</v>
      </c>
      <c r="P23" s="19" t="n">
        <f aca="false">Model!CC23</f>
        <v>0</v>
      </c>
      <c r="Q23" s="13" t="n">
        <f aca="false">SUMPRODUCT((Engine!$B20:$BY20&lt;Engine!$CA20)*(Engine!$B$1:$BY$1&lt;=$J23))</f>
        <v>3</v>
      </c>
      <c r="R23" s="13" t="n">
        <f aca="false">SUMPRODUCT((Engine!$B20:$BY20&gt;=Engine!$CA20)*(Engine!$B20:$BY20&lt;Engine!$CB20)*(Engine!$B$1:$BY$1&lt;=$J23))</f>
        <v>7</v>
      </c>
      <c r="S23" s="13" t="n">
        <f aca="false">SUMPRODUCT((Engine!$B20:$BY20&gt;=Engine!$CB20)*(Engine!$B20:$BY20&lt;Engine!$CC20)*(Engine!$B$1:$BY$1&lt;=$J23))</f>
        <v>2</v>
      </c>
      <c r="T23" s="13" t="n">
        <f aca="false">SUMPRODUCT((Engine!$B20:$BY20&gt;=Engine!$CC20)*(Engine!$B20:$BY20&lt;Engine!$CD20)*(Engine!$B$1:$BY$1&lt;=$J23))</f>
        <v>0</v>
      </c>
      <c r="U23" s="13" t="n">
        <f aca="false">SUMPRODUCT((Engine!$B20:$BY20&gt;=Engine!$CD20)*(Engine!$B20:$BY20&lt;Engine!$CE20)*(Engine!$B$1:$BY$1&lt;=$J23))</f>
        <v>0</v>
      </c>
      <c r="V23" s="13" t="n">
        <f aca="false">SUMPRODUCT((Engine!$B20:$BY20&gt;=Engine!$CE20)*(Engine!$B$1:$BY$1&lt;=$J23))</f>
        <v>0</v>
      </c>
      <c r="W23" s="13" t="str">
        <f aca="false">IF(COUNTIF(Q23:V23,MAX(Q23:V23))&gt;1,"Tie",INDEX($C$5:$C$10,MATCH(MAX(Q23:V23),Q23:V23,0)))</f>
        <v>Social-Democrats</v>
      </c>
      <c r="X23" s="11" t="n">
        <f aca="false">ROUND($I23*K23,0)</f>
        <v>679913</v>
      </c>
      <c r="Y23" s="11" t="n">
        <f aca="false">ROUND($I23*L23,0)</f>
        <v>1029986</v>
      </c>
      <c r="Z23" s="11" t="n">
        <f aca="false">ROUND($I23*M23,0)</f>
        <v>422994</v>
      </c>
      <c r="AA23" s="11" t="n">
        <f aca="false">ROUND($I23*N23,0)</f>
        <v>596654</v>
      </c>
      <c r="AB23" s="11" t="n">
        <f aca="false">ROUND($I23*O23,0)</f>
        <v>282390</v>
      </c>
      <c r="AC23" s="11" t="n">
        <f aca="false">ROUND($I23*P23,0)</f>
        <v>0</v>
      </c>
    </row>
    <row r="24" customFormat="false" ht="15" hidden="false" customHeight="false" outlineLevel="0" collapsed="false">
      <c r="B24" s="6" t="s">
        <v>64</v>
      </c>
      <c r="C24" s="47" t="str">
        <f aca="false">IF(MAX(C16:C21)&gt;=C14,INDEX(C5:C10,MATCH(MAX(C16:C21),C16:C21,0)),"No overall majority")</f>
        <v>Social-Democrats</v>
      </c>
      <c r="E24" s="22" t="s">
        <v>65</v>
      </c>
      <c r="F24" s="23" t="n">
        <v>0.791666666666667</v>
      </c>
      <c r="G24" s="24" t="n">
        <v>4571742</v>
      </c>
      <c r="H24" s="12" t="n">
        <f aca="false">Model!AA24</f>
        <v>0.635761095542182</v>
      </c>
      <c r="I24" s="24" t="n">
        <f aca="false">ROUND(G24*H24,0)</f>
        <v>2906536</v>
      </c>
      <c r="J24" s="25" t="n">
        <v>12</v>
      </c>
      <c r="K24" s="14" t="n">
        <f aca="false">Model!BX24</f>
        <v>0.254101081113411</v>
      </c>
      <c r="L24" s="15" t="n">
        <f aca="false">Model!BY24</f>
        <v>0.351557439588106</v>
      </c>
      <c r="M24" s="16" t="n">
        <f aca="false">Model!BZ24</f>
        <v>0.17912436896882</v>
      </c>
      <c r="N24" s="17" t="n">
        <f aca="false">Model!CA24</f>
        <v>0.144076437395159</v>
      </c>
      <c r="O24" s="18" t="n">
        <f aca="false">Model!CB24</f>
        <v>0.0711406729345044</v>
      </c>
      <c r="P24" s="19" t="n">
        <f aca="false">Model!CC24</f>
        <v>0</v>
      </c>
      <c r="Q24" s="25" t="n">
        <f aca="false">SUMPRODUCT((Engine!$B21:$BY21&lt;Engine!$CA21)*(Engine!$B$1:$BY$1&lt;=$J24))</f>
        <v>6</v>
      </c>
      <c r="R24" s="25" t="n">
        <f aca="false">SUMPRODUCT((Engine!$B21:$BY21&gt;=Engine!$CA21)*(Engine!$B21:$BY21&lt;Engine!$CB21)*(Engine!$B$1:$BY$1&lt;=$J24))</f>
        <v>5</v>
      </c>
      <c r="S24" s="25" t="n">
        <f aca="false">SUMPRODUCT((Engine!$B21:$BY21&gt;=Engine!$CB21)*(Engine!$B21:$BY21&lt;Engine!$CC21)*(Engine!$B$1:$BY$1&lt;=$J24))</f>
        <v>1</v>
      </c>
      <c r="T24" s="25" t="n">
        <f aca="false">SUMPRODUCT((Engine!$B21:$BY21&gt;=Engine!$CC21)*(Engine!$B21:$BY21&lt;Engine!$CD21)*(Engine!$B$1:$BY$1&lt;=$J24))</f>
        <v>0</v>
      </c>
      <c r="U24" s="25" t="n">
        <f aca="false">SUMPRODUCT((Engine!$B21:$BY21&gt;=Engine!$CD21)*(Engine!$B21:$BY21&lt;Engine!$CE21)*(Engine!$B$1:$BY$1&lt;=$J24))</f>
        <v>0</v>
      </c>
      <c r="V24" s="25" t="n">
        <f aca="false">SUMPRODUCT((Engine!$B21:$BY21&gt;=Engine!$CE21)*(Engine!$B$1:$BY$1&lt;=$J24))</f>
        <v>0</v>
      </c>
      <c r="W24" s="25" t="str">
        <f aca="false">IF(COUNTIF(Q24:V24,MAX(Q24:V24))&gt;1,"Tie",INDEX($C$5:$C$10,MATCH(MAX(Q24:V24),Q24:V24,0)))</f>
        <v>Conservatives</v>
      </c>
      <c r="X24" s="24" t="n">
        <f aca="false">ROUND($I24*K24,0)</f>
        <v>738554</v>
      </c>
      <c r="Y24" s="24" t="n">
        <f aca="false">ROUND($I24*L24,0)</f>
        <v>1021814</v>
      </c>
      <c r="Z24" s="24" t="n">
        <f aca="false">ROUND($I24*M24,0)</f>
        <v>520631</v>
      </c>
      <c r="AA24" s="24" t="n">
        <f aca="false">ROUND($I24*N24,0)</f>
        <v>418763</v>
      </c>
      <c r="AB24" s="24" t="n">
        <f aca="false">ROUND($I24*O24,0)</f>
        <v>206773</v>
      </c>
      <c r="AC24" s="24" t="n">
        <f aca="false">ROUND($I24*P24,0)</f>
        <v>0</v>
      </c>
    </row>
    <row r="25" customFormat="false" ht="15" hidden="false" customHeight="false" outlineLevel="0" collapsed="false">
      <c r="E25" s="9" t="s">
        <v>66</v>
      </c>
      <c r="F25" s="10" t="n">
        <v>0.833333333333333</v>
      </c>
      <c r="G25" s="11" t="n">
        <v>4570070</v>
      </c>
      <c r="H25" s="12" t="n">
        <f aca="false">Model!AA25</f>
        <v>0.608895828511053</v>
      </c>
      <c r="I25" s="11" t="n">
        <f aca="false">ROUND(G25*H25,0)</f>
        <v>2782697</v>
      </c>
      <c r="J25" s="13" t="n">
        <v>12</v>
      </c>
      <c r="K25" s="14" t="n">
        <f aca="false">Model!BX25</f>
        <v>0.254298902577192</v>
      </c>
      <c r="L25" s="15" t="n">
        <f aca="false">Model!BY25</f>
        <v>0.320053642889023</v>
      </c>
      <c r="M25" s="16" t="n">
        <f aca="false">Model!BZ25</f>
        <v>0.142294571099976</v>
      </c>
      <c r="N25" s="17" t="n">
        <f aca="false">Model!CA25</f>
        <v>0.196596769176766</v>
      </c>
      <c r="O25" s="18" t="n">
        <f aca="false">Model!CB25</f>
        <v>0.0867561142570428</v>
      </c>
      <c r="P25" s="19" t="n">
        <f aca="false">Model!CC25</f>
        <v>0</v>
      </c>
      <c r="Q25" s="13" t="n">
        <f aca="false">SUMPRODUCT((Engine!$B22:$BY22&lt;Engine!$CA22)*(Engine!$B$1:$BY$1&lt;=$J25))</f>
        <v>5</v>
      </c>
      <c r="R25" s="13" t="n">
        <f aca="false">SUMPRODUCT((Engine!$B22:$BY22&gt;=Engine!$CA22)*(Engine!$B22:$BY22&lt;Engine!$CB22)*(Engine!$B$1:$BY$1&lt;=$J25))</f>
        <v>6</v>
      </c>
      <c r="S25" s="13" t="n">
        <f aca="false">SUMPRODUCT((Engine!$B22:$BY22&gt;=Engine!$CB22)*(Engine!$B22:$BY22&lt;Engine!$CC22)*(Engine!$B$1:$BY$1&lt;=$J25))</f>
        <v>0</v>
      </c>
      <c r="T25" s="13" t="n">
        <f aca="false">SUMPRODUCT((Engine!$B22:$BY22&gt;=Engine!$CC22)*(Engine!$B22:$BY22&lt;Engine!$CD22)*(Engine!$B$1:$BY$1&lt;=$J25))</f>
        <v>1</v>
      </c>
      <c r="U25" s="13" t="n">
        <f aca="false">SUMPRODUCT((Engine!$B22:$BY22&gt;=Engine!$CD22)*(Engine!$B22:$BY22&lt;Engine!$CE22)*(Engine!$B$1:$BY$1&lt;=$J25))</f>
        <v>0</v>
      </c>
      <c r="V25" s="13" t="n">
        <f aca="false">SUMPRODUCT((Engine!$B22:$BY22&gt;=Engine!$CE22)*(Engine!$B$1:$BY$1&lt;=$J25))</f>
        <v>0</v>
      </c>
      <c r="W25" s="13" t="str">
        <f aca="false">IF(COUNTIF(Q25:V25,MAX(Q25:V25))&gt;1,"Tie",INDEX($C$5:$C$10,MATCH(MAX(Q25:V25),Q25:V25,0)))</f>
        <v>Social-Democrats</v>
      </c>
      <c r="X25" s="11" t="n">
        <f aca="false">ROUND($I25*K25,0)</f>
        <v>707637</v>
      </c>
      <c r="Y25" s="11" t="n">
        <f aca="false">ROUND($I25*L25,0)</f>
        <v>890612</v>
      </c>
      <c r="Z25" s="11" t="n">
        <f aca="false">ROUND($I25*M25,0)</f>
        <v>395963</v>
      </c>
      <c r="AA25" s="11" t="n">
        <f aca="false">ROUND($I25*N25,0)</f>
        <v>547069</v>
      </c>
      <c r="AB25" s="11" t="n">
        <f aca="false">ROUND($I25*O25,0)</f>
        <v>241416</v>
      </c>
      <c r="AC25" s="11" t="n">
        <f aca="false">ROUND($I25*P25,0)</f>
        <v>0</v>
      </c>
    </row>
    <row r="26" customFormat="false" ht="15" hidden="false" customHeight="false" outlineLevel="0" collapsed="false">
      <c r="B26" s="3" t="s">
        <v>67</v>
      </c>
      <c r="C26" s="3"/>
      <c r="E26" s="22" t="s">
        <v>68</v>
      </c>
      <c r="F26" s="23" t="n">
        <v>0.833333333333333</v>
      </c>
      <c r="G26" s="24" t="n">
        <v>4173604</v>
      </c>
      <c r="H26" s="12" t="n">
        <f aca="false">Model!AA26</f>
        <v>0.627602853526237</v>
      </c>
      <c r="I26" s="24" t="n">
        <f aca="false">ROUND(G26*H26,0)</f>
        <v>2619366</v>
      </c>
      <c r="J26" s="25" t="n">
        <v>11</v>
      </c>
      <c r="K26" s="14" t="n">
        <f aca="false">Model!BX26</f>
        <v>0.295634772541458</v>
      </c>
      <c r="L26" s="15" t="n">
        <f aca="false">Model!BY26</f>
        <v>0.293224058720972</v>
      </c>
      <c r="M26" s="16" t="n">
        <f aca="false">Model!BZ26</f>
        <v>0.115448193314579</v>
      </c>
      <c r="N26" s="17" t="n">
        <f aca="false">Model!CA26</f>
        <v>0.213623394617805</v>
      </c>
      <c r="O26" s="18" t="n">
        <f aca="false">Model!CB26</f>
        <v>0.0820695808051861</v>
      </c>
      <c r="P26" s="19" t="n">
        <f aca="false">Model!CC26</f>
        <v>0</v>
      </c>
      <c r="Q26" s="25" t="n">
        <f aca="false">SUMPRODUCT((Engine!$B23:$BY23&lt;Engine!$CA23)*(Engine!$B$1:$BY$1&lt;=$J26))</f>
        <v>4</v>
      </c>
      <c r="R26" s="25" t="n">
        <f aca="false">SUMPRODUCT((Engine!$B23:$BY23&gt;=Engine!$CA23)*(Engine!$B23:$BY23&lt;Engine!$CB23)*(Engine!$B$1:$BY$1&lt;=$J26))</f>
        <v>5</v>
      </c>
      <c r="S26" s="25" t="n">
        <f aca="false">SUMPRODUCT((Engine!$B23:$BY23&gt;=Engine!$CB23)*(Engine!$B23:$BY23&lt;Engine!$CC23)*(Engine!$B$1:$BY$1&lt;=$J26))</f>
        <v>0</v>
      </c>
      <c r="T26" s="25" t="n">
        <f aca="false">SUMPRODUCT((Engine!$B23:$BY23&gt;=Engine!$CC23)*(Engine!$B23:$BY23&lt;Engine!$CD23)*(Engine!$B$1:$BY$1&lt;=$J26))</f>
        <v>2</v>
      </c>
      <c r="U26" s="25" t="n">
        <f aca="false">SUMPRODUCT((Engine!$B23:$BY23&gt;=Engine!$CD23)*(Engine!$B23:$BY23&lt;Engine!$CE23)*(Engine!$B$1:$BY$1&lt;=$J26))</f>
        <v>0</v>
      </c>
      <c r="V26" s="25" t="n">
        <f aca="false">SUMPRODUCT((Engine!$B23:$BY23&gt;=Engine!$CE23)*(Engine!$B$1:$BY$1&lt;=$J26))</f>
        <v>0</v>
      </c>
      <c r="W26" s="25" t="str">
        <f aca="false">IF(COUNTIF(Q26:V26,MAX(Q26:V26))&gt;1,"Tie",INDEX($C$5:$C$10,MATCH(MAX(Q26:V26),Q26:V26,0)))</f>
        <v>Social-Democrats</v>
      </c>
      <c r="X26" s="24" t="n">
        <f aca="false">ROUND($I26*K26,0)</f>
        <v>774376</v>
      </c>
      <c r="Y26" s="24" t="n">
        <f aca="false">ROUND($I26*L26,0)</f>
        <v>768061</v>
      </c>
      <c r="Z26" s="24" t="n">
        <f aca="false">ROUND($I26*M26,0)</f>
        <v>302401</v>
      </c>
      <c r="AA26" s="24" t="n">
        <f aca="false">ROUND($I26*N26,0)</f>
        <v>559558</v>
      </c>
      <c r="AB26" s="24" t="n">
        <f aca="false">ROUND($I26*O26,0)</f>
        <v>214970</v>
      </c>
      <c r="AC26" s="24" t="n">
        <f aca="false">ROUND($I26*P26,0)</f>
        <v>0</v>
      </c>
    </row>
    <row r="27" customFormat="false" ht="15" hidden="false" customHeight="false" outlineLevel="0" collapsed="false">
      <c r="B27" s="36" t="str">
        <f aca="false">C5</f>
        <v>Conservatives</v>
      </c>
      <c r="C27" s="48" t="n">
        <f aca="false">X41</f>
        <v>40555190</v>
      </c>
      <c r="E27" s="9" t="s">
        <v>69</v>
      </c>
      <c r="F27" s="10" t="n">
        <v>0.833333333333333</v>
      </c>
      <c r="G27" s="11" t="n">
        <v>3960605</v>
      </c>
      <c r="H27" s="12" t="n">
        <f aca="false">Model!AA27</f>
        <v>0.625193400682226</v>
      </c>
      <c r="I27" s="11" t="n">
        <f aca="false">ROUND(G27*H27,0)</f>
        <v>2476144</v>
      </c>
      <c r="J27" s="13" t="n">
        <v>10</v>
      </c>
      <c r="K27" s="14" t="n">
        <f aca="false">Model!BX27</f>
        <v>0.291042233054289</v>
      </c>
      <c r="L27" s="15" t="n">
        <f aca="false">Model!BY27</f>
        <v>0.308298503264434</v>
      </c>
      <c r="M27" s="16" t="n">
        <f aca="false">Model!BZ27</f>
        <v>0.11705402361423</v>
      </c>
      <c r="N27" s="17" t="n">
        <f aca="false">Model!CA27</f>
        <v>0.207908517161874</v>
      </c>
      <c r="O27" s="18" t="n">
        <f aca="false">Model!CB27</f>
        <v>0.0756967229051727</v>
      </c>
      <c r="P27" s="19" t="n">
        <f aca="false">Model!CC27</f>
        <v>0</v>
      </c>
      <c r="Q27" s="13" t="n">
        <f aca="false">SUMPRODUCT((Engine!$B24:$BY24&lt;Engine!$CA24)*(Engine!$B$1:$BY$1&lt;=$J27))</f>
        <v>5</v>
      </c>
      <c r="R27" s="13" t="n">
        <f aca="false">SUMPRODUCT((Engine!$B24:$BY24&gt;=Engine!$CA24)*(Engine!$B24:$BY24&lt;Engine!$CB24)*(Engine!$B$1:$BY$1&lt;=$J27))</f>
        <v>5</v>
      </c>
      <c r="S27" s="13" t="n">
        <f aca="false">SUMPRODUCT((Engine!$B24:$BY24&gt;=Engine!$CB24)*(Engine!$B24:$BY24&lt;Engine!$CC24)*(Engine!$B$1:$BY$1&lt;=$J27))</f>
        <v>0</v>
      </c>
      <c r="T27" s="13" t="n">
        <f aca="false">SUMPRODUCT((Engine!$B24:$BY24&gt;=Engine!$CC24)*(Engine!$B24:$BY24&lt;Engine!$CD24)*(Engine!$B$1:$BY$1&lt;=$J27))</f>
        <v>0</v>
      </c>
      <c r="U27" s="13" t="n">
        <f aca="false">SUMPRODUCT((Engine!$B24:$BY24&gt;=Engine!$CD24)*(Engine!$B24:$BY24&lt;Engine!$CE24)*(Engine!$B$1:$BY$1&lt;=$J27))</f>
        <v>0</v>
      </c>
      <c r="V27" s="13" t="n">
        <f aca="false">SUMPRODUCT((Engine!$B24:$BY24&gt;=Engine!$CE24)*(Engine!$B$1:$BY$1&lt;=$J27))</f>
        <v>0</v>
      </c>
      <c r="W27" s="13" t="str">
        <f aca="false">IF(COUNTIF(Q27:V27,MAX(Q27:V27))&gt;1,"Tie",INDEX($C$5:$C$10,MATCH(MAX(Q27:V27),Q27:V27,0)))</f>
        <v>Tie</v>
      </c>
      <c r="X27" s="11" t="n">
        <f aca="false">ROUND($I27*K27,0)</f>
        <v>720662</v>
      </c>
      <c r="Y27" s="11" t="n">
        <f aca="false">ROUND($I27*L27,0)</f>
        <v>763391</v>
      </c>
      <c r="Z27" s="11" t="n">
        <f aca="false">ROUND($I27*M27,0)</f>
        <v>289843</v>
      </c>
      <c r="AA27" s="11" t="n">
        <f aca="false">ROUND($I27*N27,0)</f>
        <v>514811</v>
      </c>
      <c r="AB27" s="11" t="n">
        <f aca="false">ROUND($I27*O27,0)</f>
        <v>187436</v>
      </c>
      <c r="AC27" s="11" t="n">
        <f aca="false">ROUND($I27*P27,0)</f>
        <v>0</v>
      </c>
    </row>
    <row r="28" customFormat="false" ht="15" hidden="false" customHeight="false" outlineLevel="0" collapsed="false">
      <c r="B28" s="38" t="str">
        <f aca="false">C6</f>
        <v>Social-Democrats</v>
      </c>
      <c r="C28" s="49" t="n">
        <f aca="false">Y41</f>
        <v>50924512</v>
      </c>
      <c r="E28" s="22" t="s">
        <v>70</v>
      </c>
      <c r="F28" s="23" t="n">
        <v>0.833333333333333</v>
      </c>
      <c r="G28" s="24" t="n">
        <v>3687269</v>
      </c>
      <c r="H28" s="12" t="n">
        <f aca="false">Model!AA28</f>
        <v>0.638979821689476</v>
      </c>
      <c r="I28" s="24" t="n">
        <f aca="false">ROUND(G28*H28,0)</f>
        <v>2356090</v>
      </c>
      <c r="J28" s="25" t="n">
        <v>10</v>
      </c>
      <c r="K28" s="14" t="n">
        <f aca="false">Model!BX28</f>
        <v>0.315572055158953</v>
      </c>
      <c r="L28" s="15" t="n">
        <f aca="false">Model!BY28</f>
        <v>0.301098994902658</v>
      </c>
      <c r="M28" s="16" t="n">
        <f aca="false">Model!BZ28</f>
        <v>0.156570860323448</v>
      </c>
      <c r="N28" s="17" t="n">
        <f aca="false">Model!CA28</f>
        <v>0.157216353439313</v>
      </c>
      <c r="O28" s="18" t="n">
        <f aca="false">Model!CB28</f>
        <v>0.0695417361756273</v>
      </c>
      <c r="P28" s="19" t="n">
        <f aca="false">Model!CC28</f>
        <v>0</v>
      </c>
      <c r="Q28" s="25" t="n">
        <f aca="false">SUMPRODUCT((Engine!$B25:$BY25&lt;Engine!$CA25)*(Engine!$B$1:$BY$1&lt;=$J28))</f>
        <v>4</v>
      </c>
      <c r="R28" s="25" t="n">
        <f aca="false">SUMPRODUCT((Engine!$B25:$BY25&gt;=Engine!$CA25)*(Engine!$B25:$BY25&lt;Engine!$CB25)*(Engine!$B$1:$BY$1&lt;=$J28))</f>
        <v>4</v>
      </c>
      <c r="S28" s="25" t="n">
        <f aca="false">SUMPRODUCT((Engine!$B25:$BY25&gt;=Engine!$CB25)*(Engine!$B25:$BY25&lt;Engine!$CC25)*(Engine!$B$1:$BY$1&lt;=$J28))</f>
        <v>0</v>
      </c>
      <c r="T28" s="25" t="n">
        <f aca="false">SUMPRODUCT((Engine!$B25:$BY25&gt;=Engine!$CC25)*(Engine!$B25:$BY25&lt;Engine!$CD25)*(Engine!$B$1:$BY$1&lt;=$J28))</f>
        <v>2</v>
      </c>
      <c r="U28" s="25" t="n">
        <f aca="false">SUMPRODUCT((Engine!$B25:$BY25&gt;=Engine!$CD25)*(Engine!$B25:$BY25&lt;Engine!$CE25)*(Engine!$B$1:$BY$1&lt;=$J28))</f>
        <v>0</v>
      </c>
      <c r="V28" s="25" t="n">
        <f aca="false">SUMPRODUCT((Engine!$B25:$BY25&gt;=Engine!$CE25)*(Engine!$B$1:$BY$1&lt;=$J28))</f>
        <v>0</v>
      </c>
      <c r="W28" s="25" t="str">
        <f aca="false">IF(COUNTIF(Q28:V28,MAX(Q28:V28))&gt;1,"Tie",INDEX($C$5:$C$10,MATCH(MAX(Q28:V28),Q28:V28,0)))</f>
        <v>Tie</v>
      </c>
      <c r="X28" s="24" t="n">
        <f aca="false">ROUND($I28*K28,0)</f>
        <v>743516</v>
      </c>
      <c r="Y28" s="24" t="n">
        <f aca="false">ROUND($I28*L28,0)</f>
        <v>709416</v>
      </c>
      <c r="Z28" s="24" t="n">
        <f aca="false">ROUND($I28*M28,0)</f>
        <v>368895</v>
      </c>
      <c r="AA28" s="24" t="n">
        <f aca="false">ROUND($I28*N28,0)</f>
        <v>370416</v>
      </c>
      <c r="AB28" s="24" t="n">
        <f aca="false">ROUND($I28*O28,0)</f>
        <v>163847</v>
      </c>
      <c r="AC28" s="24" t="n">
        <f aca="false">ROUND($I28*P28,0)</f>
        <v>0</v>
      </c>
    </row>
    <row r="29" customFormat="false" ht="15" hidden="false" customHeight="false" outlineLevel="0" collapsed="false">
      <c r="B29" s="40" t="str">
        <f aca="false">C7</f>
        <v>Liberals</v>
      </c>
      <c r="C29" s="50" t="n">
        <f aca="false">Z41</f>
        <v>25955118</v>
      </c>
      <c r="E29" s="9" t="s">
        <v>71</v>
      </c>
      <c r="F29" s="10" t="n">
        <v>0.833333333333333</v>
      </c>
      <c r="G29" s="11" t="n">
        <v>3404578</v>
      </c>
      <c r="H29" s="12" t="n">
        <f aca="false">Model!AA29</f>
        <v>0.6201950401239</v>
      </c>
      <c r="I29" s="11" t="n">
        <f aca="false">ROUND(G29*H29,0)</f>
        <v>2111502</v>
      </c>
      <c r="J29" s="13" t="n">
        <v>9</v>
      </c>
      <c r="K29" s="14" t="n">
        <f aca="false">Model!BX29</f>
        <v>0.252952276905323</v>
      </c>
      <c r="L29" s="15" t="n">
        <f aca="false">Model!BY29</f>
        <v>0.317364388371675</v>
      </c>
      <c r="M29" s="16" t="n">
        <f aca="false">Model!BZ29</f>
        <v>0.146997904411818</v>
      </c>
      <c r="N29" s="17" t="n">
        <f aca="false">Model!CA29</f>
        <v>0.205091687969945</v>
      </c>
      <c r="O29" s="18" t="n">
        <f aca="false">Model!CB29</f>
        <v>0.0775937423412395</v>
      </c>
      <c r="P29" s="19" t="n">
        <f aca="false">Model!CC29</f>
        <v>0</v>
      </c>
      <c r="Q29" s="13" t="n">
        <f aca="false">SUMPRODUCT((Engine!$B26:$BY26&lt;Engine!$CA26)*(Engine!$B$1:$BY$1&lt;=$J29))</f>
        <v>6</v>
      </c>
      <c r="R29" s="13" t="n">
        <f aca="false">SUMPRODUCT((Engine!$B26:$BY26&gt;=Engine!$CA26)*(Engine!$B26:$BY26&lt;Engine!$CB26)*(Engine!$B$1:$BY$1&lt;=$J29))</f>
        <v>2</v>
      </c>
      <c r="S29" s="13" t="n">
        <f aca="false">SUMPRODUCT((Engine!$B26:$BY26&gt;=Engine!$CB26)*(Engine!$B26:$BY26&lt;Engine!$CC26)*(Engine!$B$1:$BY$1&lt;=$J29))</f>
        <v>1</v>
      </c>
      <c r="T29" s="13" t="n">
        <f aca="false">SUMPRODUCT((Engine!$B26:$BY26&gt;=Engine!$CC26)*(Engine!$B26:$BY26&lt;Engine!$CD26)*(Engine!$B$1:$BY$1&lt;=$J29))</f>
        <v>0</v>
      </c>
      <c r="U29" s="13" t="n">
        <f aca="false">SUMPRODUCT((Engine!$B26:$BY26&gt;=Engine!$CD26)*(Engine!$B26:$BY26&lt;Engine!$CE26)*(Engine!$B$1:$BY$1&lt;=$J29))</f>
        <v>0</v>
      </c>
      <c r="V29" s="13" t="n">
        <f aca="false">SUMPRODUCT((Engine!$B26:$BY26&gt;=Engine!$CE26)*(Engine!$B$1:$BY$1&lt;=$J29))</f>
        <v>0</v>
      </c>
      <c r="W29" s="13" t="str">
        <f aca="false">IF(COUNTIF(Q29:V29,MAX(Q29:V29))&gt;1,"Tie",INDEX($C$5:$C$10,MATCH(MAX(Q29:V29),Q29:V29,0)))</f>
        <v>Conservatives</v>
      </c>
      <c r="X29" s="11" t="n">
        <f aca="false">ROUND($I29*K29,0)</f>
        <v>534109</v>
      </c>
      <c r="Y29" s="11" t="n">
        <f aca="false">ROUND($I29*L29,0)</f>
        <v>670116</v>
      </c>
      <c r="Z29" s="11" t="n">
        <f aca="false">ROUND($I29*M29,0)</f>
        <v>310386</v>
      </c>
      <c r="AA29" s="11" t="n">
        <f aca="false">ROUND($I29*N29,0)</f>
        <v>433052</v>
      </c>
      <c r="AB29" s="11" t="n">
        <f aca="false">ROUND($I29*O29,0)</f>
        <v>163839</v>
      </c>
      <c r="AC29" s="11" t="n">
        <f aca="false">ROUND($I29*P29,0)</f>
        <v>0</v>
      </c>
    </row>
    <row r="30" customFormat="false" ht="15" hidden="false" customHeight="false" outlineLevel="0" collapsed="false">
      <c r="B30" s="6" t="str">
        <f aca="false">C8</f>
        <v>Nationalist</v>
      </c>
      <c r="C30" s="51" t="n">
        <f aca="false">AA41</f>
        <v>27421611</v>
      </c>
      <c r="E30" s="22" t="s">
        <v>72</v>
      </c>
      <c r="F30" s="23" t="n">
        <v>0.833333333333333</v>
      </c>
      <c r="G30" s="24" t="n">
        <v>2932849</v>
      </c>
      <c r="H30" s="12" t="n">
        <f aca="false">Model!AA30</f>
        <v>0.634249200681392</v>
      </c>
      <c r="I30" s="24" t="n">
        <f aca="false">ROUND(G30*H30,0)</f>
        <v>1860157</v>
      </c>
      <c r="J30" s="25" t="n">
        <v>8</v>
      </c>
      <c r="K30" s="14" t="n">
        <f aca="false">Model!BX30</f>
        <v>0.272610326018375</v>
      </c>
      <c r="L30" s="15" t="n">
        <f aca="false">Model!BY30</f>
        <v>0.348517048612717</v>
      </c>
      <c r="M30" s="16" t="n">
        <f aca="false">Model!BZ30</f>
        <v>0.164335405552916</v>
      </c>
      <c r="N30" s="17" t="n">
        <f aca="false">Model!CA30</f>
        <v>0.139447717570164</v>
      </c>
      <c r="O30" s="18" t="n">
        <f aca="false">Model!CB30</f>
        <v>0.0750895022458272</v>
      </c>
      <c r="P30" s="19" t="n">
        <f aca="false">Model!CC30</f>
        <v>0</v>
      </c>
      <c r="Q30" s="25" t="n">
        <f aca="false">SUMPRODUCT((Engine!$B27:$BY27&lt;Engine!$CA27)*(Engine!$B$1:$BY$1&lt;=$J30))</f>
        <v>5</v>
      </c>
      <c r="R30" s="25" t="n">
        <f aca="false">SUMPRODUCT((Engine!$B27:$BY27&gt;=Engine!$CA27)*(Engine!$B27:$BY27&lt;Engine!$CB27)*(Engine!$B$1:$BY$1&lt;=$J30))</f>
        <v>3</v>
      </c>
      <c r="S30" s="25" t="n">
        <f aca="false">SUMPRODUCT((Engine!$B27:$BY27&gt;=Engine!$CB27)*(Engine!$B27:$BY27&lt;Engine!$CC27)*(Engine!$B$1:$BY$1&lt;=$J30))</f>
        <v>0</v>
      </c>
      <c r="T30" s="25" t="n">
        <f aca="false">SUMPRODUCT((Engine!$B27:$BY27&gt;=Engine!$CC27)*(Engine!$B27:$BY27&lt;Engine!$CD27)*(Engine!$B$1:$BY$1&lt;=$J30))</f>
        <v>0</v>
      </c>
      <c r="U30" s="25" t="n">
        <f aca="false">SUMPRODUCT((Engine!$B27:$BY27&gt;=Engine!$CD27)*(Engine!$B27:$BY27&lt;Engine!$CE27)*(Engine!$B$1:$BY$1&lt;=$J30))</f>
        <v>0</v>
      </c>
      <c r="V30" s="25" t="n">
        <f aca="false">SUMPRODUCT((Engine!$B27:$BY27&gt;=Engine!$CE27)*(Engine!$B$1:$BY$1&lt;=$J30))</f>
        <v>0</v>
      </c>
      <c r="W30" s="25" t="str">
        <f aca="false">IF(COUNTIF(Q30:V30,MAX(Q30:V30))&gt;1,"Tie",INDEX($C$5:$C$10,MATCH(MAX(Q30:V30),Q30:V30,0)))</f>
        <v>Conservatives</v>
      </c>
      <c r="X30" s="24" t="n">
        <f aca="false">ROUND($I30*K30,0)</f>
        <v>507098</v>
      </c>
      <c r="Y30" s="24" t="n">
        <f aca="false">ROUND($I30*L30,0)</f>
        <v>648296</v>
      </c>
      <c r="Z30" s="24" t="n">
        <f aca="false">ROUND($I30*M30,0)</f>
        <v>305690</v>
      </c>
      <c r="AA30" s="24" t="n">
        <f aca="false">ROUND($I30*N30,0)</f>
        <v>259395</v>
      </c>
      <c r="AB30" s="24" t="n">
        <f aca="false">ROUND($I30*O30,0)</f>
        <v>139678</v>
      </c>
      <c r="AC30" s="24" t="n">
        <f aca="false">ROUND($I30*P30,0)</f>
        <v>0</v>
      </c>
    </row>
    <row r="31" customFormat="false" ht="15" hidden="false" customHeight="false" outlineLevel="0" collapsed="false">
      <c r="B31" s="43" t="str">
        <f aca="false">C9</f>
        <v>Independent</v>
      </c>
      <c r="C31" s="52" t="n">
        <f aca="false">AB41</f>
        <v>12933549</v>
      </c>
      <c r="E31" s="9" t="s">
        <v>73</v>
      </c>
      <c r="F31" s="10" t="n">
        <v>0.833333333333333</v>
      </c>
      <c r="G31" s="11" t="n">
        <v>2408155</v>
      </c>
      <c r="H31" s="12" t="n">
        <f aca="false">Model!AA31</f>
        <v>0.624664825666292</v>
      </c>
      <c r="I31" s="11" t="n">
        <f aca="false">ROUND(G31*H31,0)</f>
        <v>1504290</v>
      </c>
      <c r="J31" s="13" t="n">
        <v>7</v>
      </c>
      <c r="K31" s="14" t="n">
        <f aca="false">Model!BX31</f>
        <v>0.285337970175737</v>
      </c>
      <c r="L31" s="15" t="n">
        <f aca="false">Model!BY31</f>
        <v>0.266628247436651</v>
      </c>
      <c r="M31" s="16" t="n">
        <f aca="false">Model!BZ31</f>
        <v>0.126725437601658</v>
      </c>
      <c r="N31" s="17" t="n">
        <f aca="false">Model!CA31</f>
        <v>0.239313371381967</v>
      </c>
      <c r="O31" s="18" t="n">
        <f aca="false">Model!CB31</f>
        <v>0.081994973403986</v>
      </c>
      <c r="P31" s="19" t="n">
        <f aca="false">Model!CC31</f>
        <v>0</v>
      </c>
      <c r="Q31" s="13" t="n">
        <f aca="false">SUMPRODUCT((Engine!$B28:$BY28&lt;Engine!$CA28)*(Engine!$B$1:$BY$1&lt;=$J31))</f>
        <v>6</v>
      </c>
      <c r="R31" s="13" t="n">
        <f aca="false">SUMPRODUCT((Engine!$B28:$BY28&gt;=Engine!$CA28)*(Engine!$B28:$BY28&lt;Engine!$CB28)*(Engine!$B$1:$BY$1&lt;=$J31))</f>
        <v>1</v>
      </c>
      <c r="S31" s="13" t="n">
        <f aca="false">SUMPRODUCT((Engine!$B28:$BY28&gt;=Engine!$CB28)*(Engine!$B28:$BY28&lt;Engine!$CC28)*(Engine!$B$1:$BY$1&lt;=$J31))</f>
        <v>0</v>
      </c>
      <c r="T31" s="13" t="n">
        <f aca="false">SUMPRODUCT((Engine!$B28:$BY28&gt;=Engine!$CC28)*(Engine!$B28:$BY28&lt;Engine!$CD28)*(Engine!$B$1:$BY$1&lt;=$J31))</f>
        <v>0</v>
      </c>
      <c r="U31" s="13" t="n">
        <f aca="false">SUMPRODUCT((Engine!$B28:$BY28&gt;=Engine!$CD28)*(Engine!$B28:$BY28&lt;Engine!$CE28)*(Engine!$B$1:$BY$1&lt;=$J31))</f>
        <v>0</v>
      </c>
      <c r="V31" s="13" t="n">
        <f aca="false">SUMPRODUCT((Engine!$B28:$BY28&gt;=Engine!$CE28)*(Engine!$B$1:$BY$1&lt;=$J31))</f>
        <v>0</v>
      </c>
      <c r="W31" s="13" t="str">
        <f aca="false">IF(COUNTIF(Q31:V31,MAX(Q31:V31))&gt;1,"Tie",INDEX($C$5:$C$10,MATCH(MAX(Q31:V31),Q31:V31,0)))</f>
        <v>Conservatives</v>
      </c>
      <c r="X31" s="11" t="n">
        <f aca="false">ROUND($I31*K31,0)</f>
        <v>429231</v>
      </c>
      <c r="Y31" s="11" t="n">
        <f aca="false">ROUND($I31*L31,0)</f>
        <v>401086</v>
      </c>
      <c r="Z31" s="11" t="n">
        <f aca="false">ROUND($I31*M31,0)</f>
        <v>190632</v>
      </c>
      <c r="AA31" s="11" t="n">
        <f aca="false">ROUND($I31*N31,0)</f>
        <v>359997</v>
      </c>
      <c r="AB31" s="11" t="n">
        <f aca="false">ROUND($I31*O31,0)</f>
        <v>123344</v>
      </c>
      <c r="AC31" s="11" t="n">
        <f aca="false">ROUND($I31*P31,0)</f>
        <v>0</v>
      </c>
    </row>
    <row r="32" customFormat="false" ht="15" hidden="false" customHeight="false" outlineLevel="0" collapsed="false">
      <c r="B32" s="45" t="str">
        <f aca="false">C10</f>
        <v>BP First</v>
      </c>
      <c r="C32" s="53" t="n">
        <f aca="false">AC41</f>
        <v>28716</v>
      </c>
      <c r="E32" s="22" t="s">
        <v>74</v>
      </c>
      <c r="F32" s="23" t="n">
        <v>0.875</v>
      </c>
      <c r="G32" s="24" t="n">
        <v>2051253</v>
      </c>
      <c r="H32" s="12" t="n">
        <f aca="false">Model!AA32</f>
        <v>0.603233074092578</v>
      </c>
      <c r="I32" s="24" t="n">
        <f aca="false">ROUND(G32*H32,0)</f>
        <v>1237384</v>
      </c>
      <c r="J32" s="25" t="n">
        <v>6</v>
      </c>
      <c r="K32" s="14" t="n">
        <f aca="false">Model!BX32</f>
        <v>0.211396364882729</v>
      </c>
      <c r="L32" s="15" t="n">
        <f aca="false">Model!BY32</f>
        <v>0.351014604923523</v>
      </c>
      <c r="M32" s="16" t="n">
        <f aca="false">Model!BZ32</f>
        <v>0.221618601797368</v>
      </c>
      <c r="N32" s="17" t="n">
        <f aca="false">Model!CA32</f>
        <v>0.128068186020471</v>
      </c>
      <c r="O32" s="18" t="n">
        <f aca="false">Model!CB32</f>
        <v>0.0879022423759093</v>
      </c>
      <c r="P32" s="19" t="n">
        <f aca="false">Model!CC32</f>
        <v>0</v>
      </c>
      <c r="Q32" s="25" t="n">
        <f aca="false">SUMPRODUCT((Engine!$B29:$BY29&lt;Engine!$CA29)*(Engine!$B$1:$BY$1&lt;=$J32))</f>
        <v>3</v>
      </c>
      <c r="R32" s="25" t="n">
        <f aca="false">SUMPRODUCT((Engine!$B29:$BY29&gt;=Engine!$CA29)*(Engine!$B29:$BY29&lt;Engine!$CB29)*(Engine!$B$1:$BY$1&lt;=$J32))</f>
        <v>3</v>
      </c>
      <c r="S32" s="25" t="n">
        <f aca="false">SUMPRODUCT((Engine!$B29:$BY29&gt;=Engine!$CB29)*(Engine!$B29:$BY29&lt;Engine!$CC29)*(Engine!$B$1:$BY$1&lt;=$J32))</f>
        <v>0</v>
      </c>
      <c r="T32" s="25" t="n">
        <f aca="false">SUMPRODUCT((Engine!$B29:$BY29&gt;=Engine!$CC29)*(Engine!$B29:$BY29&lt;Engine!$CD29)*(Engine!$B$1:$BY$1&lt;=$J32))</f>
        <v>0</v>
      </c>
      <c r="U32" s="25" t="n">
        <f aca="false">SUMPRODUCT((Engine!$B29:$BY29&gt;=Engine!$CD29)*(Engine!$B29:$BY29&lt;Engine!$CE29)*(Engine!$B$1:$BY$1&lt;=$J32))</f>
        <v>0</v>
      </c>
      <c r="V32" s="25" t="n">
        <f aca="false">SUMPRODUCT((Engine!$B29:$BY29&gt;=Engine!$CE29)*(Engine!$B$1:$BY$1&lt;=$J32))</f>
        <v>0</v>
      </c>
      <c r="W32" s="25" t="str">
        <f aca="false">IF(COUNTIF(Q32:V32,MAX(Q32:V32))&gt;1,"Tie",INDEX($C$5:$C$10,MATCH(MAX(Q32:V32),Q32:V32,0)))</f>
        <v>Tie</v>
      </c>
      <c r="X32" s="24" t="n">
        <f aca="false">ROUND($I32*K32,0)</f>
        <v>261578</v>
      </c>
      <c r="Y32" s="24" t="n">
        <f aca="false">ROUND($I32*L32,0)</f>
        <v>434340</v>
      </c>
      <c r="Z32" s="24" t="n">
        <f aca="false">ROUND($I32*M32,0)</f>
        <v>274227</v>
      </c>
      <c r="AA32" s="24" t="n">
        <f aca="false">ROUND($I32*N32,0)</f>
        <v>158470</v>
      </c>
      <c r="AB32" s="24" t="n">
        <f aca="false">ROUND($I32*O32,0)</f>
        <v>108769</v>
      </c>
      <c r="AC32" s="24" t="n">
        <f aca="false">ROUND($I32*P32,0)</f>
        <v>0</v>
      </c>
    </row>
    <row r="33" customFormat="false" ht="15" hidden="false" customHeight="false" outlineLevel="0" collapsed="false">
      <c r="E33" s="9" t="s">
        <v>75</v>
      </c>
      <c r="F33" s="10" t="n">
        <v>0.875</v>
      </c>
      <c r="G33" s="11" t="n">
        <v>1660518</v>
      </c>
      <c r="H33" s="12" t="n">
        <f aca="false">Model!AA33</f>
        <v>0.608276801172938</v>
      </c>
      <c r="I33" s="11" t="n">
        <f aca="false">ROUND(G33*H33,0)</f>
        <v>1010055</v>
      </c>
      <c r="J33" s="13" t="n">
        <v>5</v>
      </c>
      <c r="K33" s="14" t="n">
        <f aca="false">Model!BX33</f>
        <v>0.207167597979128</v>
      </c>
      <c r="L33" s="15" t="n">
        <f aca="false">Model!BY33</f>
        <v>0.364263686450204</v>
      </c>
      <c r="M33" s="16" t="n">
        <f aca="false">Model!BZ33</f>
        <v>0.222142003456623</v>
      </c>
      <c r="N33" s="17" t="n">
        <f aca="false">Model!CA33</f>
        <v>0.129154158372641</v>
      </c>
      <c r="O33" s="18" t="n">
        <f aca="false">Model!CB33</f>
        <v>0.0772725537414052</v>
      </c>
      <c r="P33" s="19" t="n">
        <f aca="false">Model!CC33</f>
        <v>0</v>
      </c>
      <c r="Q33" s="13" t="n">
        <f aca="false">SUMPRODUCT((Engine!$B30:$BY30&lt;Engine!$CA30)*(Engine!$B$1:$BY$1&lt;=$J33))</f>
        <v>2</v>
      </c>
      <c r="R33" s="13" t="n">
        <f aca="false">SUMPRODUCT((Engine!$B30:$BY30&gt;=Engine!$CA30)*(Engine!$B30:$BY30&lt;Engine!$CB30)*(Engine!$B$1:$BY$1&lt;=$J33))</f>
        <v>2</v>
      </c>
      <c r="S33" s="13" t="n">
        <f aca="false">SUMPRODUCT((Engine!$B30:$BY30&gt;=Engine!$CB30)*(Engine!$B30:$BY30&lt;Engine!$CC30)*(Engine!$B$1:$BY$1&lt;=$J33))</f>
        <v>0</v>
      </c>
      <c r="T33" s="13" t="n">
        <f aca="false">SUMPRODUCT((Engine!$B30:$BY30&gt;=Engine!$CC30)*(Engine!$B30:$BY30&lt;Engine!$CD30)*(Engine!$B$1:$BY$1&lt;=$J33))</f>
        <v>1</v>
      </c>
      <c r="U33" s="13" t="n">
        <f aca="false">SUMPRODUCT((Engine!$B30:$BY30&gt;=Engine!$CD30)*(Engine!$B30:$BY30&lt;Engine!$CE30)*(Engine!$B$1:$BY$1&lt;=$J33))</f>
        <v>0</v>
      </c>
      <c r="V33" s="13" t="n">
        <f aca="false">SUMPRODUCT((Engine!$B30:$BY30&gt;=Engine!$CE30)*(Engine!$B$1:$BY$1&lt;=$J33))</f>
        <v>0</v>
      </c>
      <c r="W33" s="13" t="str">
        <f aca="false">IF(COUNTIF(Q33:V33,MAX(Q33:V33))&gt;1,"Tie",INDEX($C$5:$C$10,MATCH(MAX(Q33:V33),Q33:V33,0)))</f>
        <v>Tie</v>
      </c>
      <c r="X33" s="11" t="n">
        <f aca="false">ROUND($I33*K33,0)</f>
        <v>209251</v>
      </c>
      <c r="Y33" s="11" t="n">
        <f aca="false">ROUND($I33*L33,0)</f>
        <v>367926</v>
      </c>
      <c r="Z33" s="11" t="n">
        <f aca="false">ROUND($I33*M33,0)</f>
        <v>224376</v>
      </c>
      <c r="AA33" s="11" t="n">
        <f aca="false">ROUND($I33*N33,0)</f>
        <v>130453</v>
      </c>
      <c r="AB33" s="11" t="n">
        <f aca="false">ROUND($I33*O33,0)</f>
        <v>78050</v>
      </c>
      <c r="AC33" s="11" t="n">
        <f aca="false">ROUND($I33*P33,0)</f>
        <v>0</v>
      </c>
    </row>
    <row r="34" customFormat="false" ht="15" hidden="false" customHeight="false" outlineLevel="0" collapsed="false">
      <c r="B34" s="6" t="s">
        <v>76</v>
      </c>
      <c r="C34" s="35" t="str">
        <f aca="false">IF(COUNTIF(C27:C32,MAX(C27:C32))&gt;1,"Tie",INDEX(C5:C10,MATCH(MAX(C27:C32),C27:C32,0)))</f>
        <v>Social-Democrats</v>
      </c>
      <c r="E34" s="22" t="s">
        <v>77</v>
      </c>
      <c r="F34" s="23" t="n">
        <v>0.833333333333333</v>
      </c>
      <c r="G34" s="24" t="n">
        <v>1532243</v>
      </c>
      <c r="H34" s="12" t="n">
        <f aca="false">Model!AA34</f>
        <v>0.618989913480541</v>
      </c>
      <c r="I34" s="24" t="n">
        <f aca="false">ROUND(G34*H34,0)</f>
        <v>948443</v>
      </c>
      <c r="J34" s="25" t="n">
        <v>5</v>
      </c>
      <c r="K34" s="14" t="n">
        <f aca="false">Model!BX34</f>
        <v>0.299847334266319</v>
      </c>
      <c r="L34" s="15" t="n">
        <f aca="false">Model!BY34</f>
        <v>0.301656609574688</v>
      </c>
      <c r="M34" s="16" t="n">
        <f aca="false">Model!BZ34</f>
        <v>0.137280502129796</v>
      </c>
      <c r="N34" s="17" t="n">
        <f aca="false">Model!CA34</f>
        <v>0.188206616442405</v>
      </c>
      <c r="O34" s="18" t="n">
        <f aca="false">Model!CB34</f>
        <v>0.0730089375867927</v>
      </c>
      <c r="P34" s="19" t="n">
        <f aca="false">Model!CC34</f>
        <v>0</v>
      </c>
      <c r="Q34" s="25" t="n">
        <f aca="false">SUMPRODUCT((Engine!$B31:$BY31&lt;Engine!$CA31)*(Engine!$B$1:$BY$1&lt;=$J34))</f>
        <v>1</v>
      </c>
      <c r="R34" s="25" t="n">
        <f aca="false">SUMPRODUCT((Engine!$B31:$BY31&gt;=Engine!$CA31)*(Engine!$B31:$BY31&lt;Engine!$CB31)*(Engine!$B$1:$BY$1&lt;=$J34))</f>
        <v>3</v>
      </c>
      <c r="S34" s="25" t="n">
        <f aca="false">SUMPRODUCT((Engine!$B31:$BY31&gt;=Engine!$CB31)*(Engine!$B31:$BY31&lt;Engine!$CC31)*(Engine!$B$1:$BY$1&lt;=$J34))</f>
        <v>0</v>
      </c>
      <c r="T34" s="25" t="n">
        <f aca="false">SUMPRODUCT((Engine!$B31:$BY31&gt;=Engine!$CC31)*(Engine!$B31:$BY31&lt;Engine!$CD31)*(Engine!$B$1:$BY$1&lt;=$J34))</f>
        <v>1</v>
      </c>
      <c r="U34" s="25" t="n">
        <f aca="false">SUMPRODUCT((Engine!$B31:$BY31&gt;=Engine!$CD31)*(Engine!$B31:$BY31&lt;Engine!$CE31)*(Engine!$B$1:$BY$1&lt;=$J34))</f>
        <v>0</v>
      </c>
      <c r="V34" s="25" t="n">
        <f aca="false">SUMPRODUCT((Engine!$B31:$BY31&gt;=Engine!$CE31)*(Engine!$B$1:$BY$1&lt;=$J34))</f>
        <v>0</v>
      </c>
      <c r="W34" s="25" t="str">
        <f aca="false">IF(COUNTIF(Q34:V34,MAX(Q34:V34))&gt;1,"Tie",INDEX($C$5:$C$10,MATCH(MAX(Q34:V34),Q34:V34,0)))</f>
        <v>Social-Democrats</v>
      </c>
      <c r="X34" s="24" t="n">
        <f aca="false">ROUND($I34*K34,0)</f>
        <v>284388</v>
      </c>
      <c r="Y34" s="24" t="n">
        <f aca="false">ROUND($I34*L34,0)</f>
        <v>286104</v>
      </c>
      <c r="Z34" s="24" t="n">
        <f aca="false">ROUND($I34*M34,0)</f>
        <v>130203</v>
      </c>
      <c r="AA34" s="24" t="n">
        <f aca="false">ROUND($I34*N34,0)</f>
        <v>178503</v>
      </c>
      <c r="AB34" s="24" t="n">
        <f aca="false">ROUND($I34*O34,0)</f>
        <v>69245</v>
      </c>
      <c r="AC34" s="24" t="n">
        <f aca="false">ROUND($I34*P34,0)</f>
        <v>0</v>
      </c>
    </row>
    <row r="35" customFormat="false" ht="15" hidden="false" customHeight="false" outlineLevel="0" collapsed="false">
      <c r="B35" s="6" t="s">
        <v>78</v>
      </c>
      <c r="C35" s="13" t="str">
        <f aca="false">IF(C34=C23,"Yes","No - split result")</f>
        <v>Yes</v>
      </c>
      <c r="E35" s="9" t="s">
        <v>79</v>
      </c>
      <c r="F35" s="10" t="n">
        <v>0.875</v>
      </c>
      <c r="G35" s="11" t="n">
        <v>1329163</v>
      </c>
      <c r="H35" s="12" t="n">
        <f aca="false">Model!AA35</f>
        <v>0.607309263630757</v>
      </c>
      <c r="I35" s="11" t="n">
        <f aca="false">ROUND(G35*H35,0)</f>
        <v>807213</v>
      </c>
      <c r="J35" s="13" t="n">
        <v>5</v>
      </c>
      <c r="K35" s="14" t="n">
        <f aca="false">Model!BX35</f>
        <v>0.211888317915281</v>
      </c>
      <c r="L35" s="15" t="n">
        <f aca="false">Model!BY35</f>
        <v>0.360915191311783</v>
      </c>
      <c r="M35" s="16" t="n">
        <f aca="false">Model!BZ35</f>
        <v>0.212912791166183</v>
      </c>
      <c r="N35" s="17" t="n">
        <f aca="false">Model!CA35</f>
        <v>0.120443847054118</v>
      </c>
      <c r="O35" s="18" t="n">
        <f aca="false">Model!CB35</f>
        <v>0.0938398525526353</v>
      </c>
      <c r="P35" s="19" t="n">
        <f aca="false">Model!CC35</f>
        <v>0</v>
      </c>
      <c r="Q35" s="13" t="n">
        <f aca="false">SUMPRODUCT((Engine!$B32:$BY32&lt;Engine!$CA32)*(Engine!$B$1:$BY$1&lt;=$J35))</f>
        <v>2</v>
      </c>
      <c r="R35" s="13" t="n">
        <f aca="false">SUMPRODUCT((Engine!$B32:$BY32&gt;=Engine!$CA32)*(Engine!$B32:$BY32&lt;Engine!$CB32)*(Engine!$B$1:$BY$1&lt;=$J35))</f>
        <v>2</v>
      </c>
      <c r="S35" s="13" t="n">
        <f aca="false">SUMPRODUCT((Engine!$B32:$BY32&gt;=Engine!$CB32)*(Engine!$B32:$BY32&lt;Engine!$CC32)*(Engine!$B$1:$BY$1&lt;=$J35))</f>
        <v>0</v>
      </c>
      <c r="T35" s="13" t="n">
        <f aca="false">SUMPRODUCT((Engine!$B32:$BY32&gt;=Engine!$CC32)*(Engine!$B32:$BY32&lt;Engine!$CD32)*(Engine!$B$1:$BY$1&lt;=$J35))</f>
        <v>1</v>
      </c>
      <c r="U35" s="13" t="n">
        <f aca="false">SUMPRODUCT((Engine!$B32:$BY32&gt;=Engine!$CD32)*(Engine!$B32:$BY32&lt;Engine!$CE32)*(Engine!$B$1:$BY$1&lt;=$J35))</f>
        <v>0</v>
      </c>
      <c r="V35" s="13" t="n">
        <f aca="false">SUMPRODUCT((Engine!$B32:$BY32&gt;=Engine!$CE32)*(Engine!$B$1:$BY$1&lt;=$J35))</f>
        <v>0</v>
      </c>
      <c r="W35" s="13" t="str">
        <f aca="false">IF(COUNTIF(Q35:V35,MAX(Q35:V35))&gt;1,"Tie",INDEX($C$5:$C$10,MATCH(MAX(Q35:V35),Q35:V35,0)))</f>
        <v>Tie</v>
      </c>
      <c r="X35" s="11" t="n">
        <f aca="false">ROUND($I35*K35,0)</f>
        <v>171039</v>
      </c>
      <c r="Y35" s="11" t="n">
        <f aca="false">ROUND($I35*L35,0)</f>
        <v>291335</v>
      </c>
      <c r="Z35" s="11" t="n">
        <f aca="false">ROUND($I35*M35,0)</f>
        <v>171866</v>
      </c>
      <c r="AA35" s="11" t="n">
        <f aca="false">ROUND($I35*N35,0)</f>
        <v>97224</v>
      </c>
      <c r="AB35" s="11" t="n">
        <f aca="false">ROUND($I35*O35,0)</f>
        <v>75749</v>
      </c>
      <c r="AC35" s="11" t="n">
        <f aca="false">ROUND($I35*P35,0)</f>
        <v>0</v>
      </c>
    </row>
    <row r="36" customFormat="false" ht="15" hidden="false" customHeight="false" outlineLevel="0" collapsed="false">
      <c r="B36" s="34" t="s">
        <v>80</v>
      </c>
      <c r="C36" s="54" t="n">
        <f aca="false">I41</f>
        <v>157818695</v>
      </c>
      <c r="E36" s="22" t="s">
        <v>81</v>
      </c>
      <c r="F36" s="23" t="n">
        <v>0.875</v>
      </c>
      <c r="G36" s="24" t="n">
        <v>1198271</v>
      </c>
      <c r="H36" s="12" t="n">
        <f aca="false">Model!AA36</f>
        <v>0.640834552513208</v>
      </c>
      <c r="I36" s="24" t="n">
        <f aca="false">ROUND(G36*H36,0)</f>
        <v>767893</v>
      </c>
      <c r="J36" s="25" t="n">
        <v>5</v>
      </c>
      <c r="K36" s="14" t="n">
        <f aca="false">Model!BX36</f>
        <v>0.291596950337429</v>
      </c>
      <c r="L36" s="15" t="n">
        <f aca="false">Model!BY36</f>
        <v>0.276316049910692</v>
      </c>
      <c r="M36" s="16" t="n">
        <f aca="false">Model!BZ36</f>
        <v>0.15313963380786</v>
      </c>
      <c r="N36" s="17" t="n">
        <f aca="false">Model!CA36</f>
        <v>0.197413757697682</v>
      </c>
      <c r="O36" s="18" t="n">
        <f aca="false">Model!CB36</f>
        <v>0.081533608246338</v>
      </c>
      <c r="P36" s="19" t="n">
        <f aca="false">Model!CC36</f>
        <v>0</v>
      </c>
      <c r="Q36" s="25" t="n">
        <f aca="false">SUMPRODUCT((Engine!$B33:$BY33&lt;Engine!$CA33)*(Engine!$B$1:$BY$1&lt;=$J36))</f>
        <v>3</v>
      </c>
      <c r="R36" s="25" t="n">
        <f aca="false">SUMPRODUCT((Engine!$B33:$BY33&gt;=Engine!$CA33)*(Engine!$B33:$BY33&lt;Engine!$CB33)*(Engine!$B$1:$BY$1&lt;=$J36))</f>
        <v>2</v>
      </c>
      <c r="S36" s="25" t="n">
        <f aca="false">SUMPRODUCT((Engine!$B33:$BY33&gt;=Engine!$CB33)*(Engine!$B33:$BY33&lt;Engine!$CC33)*(Engine!$B$1:$BY$1&lt;=$J36))</f>
        <v>0</v>
      </c>
      <c r="T36" s="25" t="n">
        <f aca="false">SUMPRODUCT((Engine!$B33:$BY33&gt;=Engine!$CC33)*(Engine!$B33:$BY33&lt;Engine!$CD33)*(Engine!$B$1:$BY$1&lt;=$J36))</f>
        <v>0</v>
      </c>
      <c r="U36" s="25" t="n">
        <f aca="false">SUMPRODUCT((Engine!$B33:$BY33&gt;=Engine!$CD33)*(Engine!$B33:$BY33&lt;Engine!$CE33)*(Engine!$B$1:$BY$1&lt;=$J36))</f>
        <v>0</v>
      </c>
      <c r="V36" s="25" t="n">
        <f aca="false">SUMPRODUCT((Engine!$B33:$BY33&gt;=Engine!$CE33)*(Engine!$B$1:$BY$1&lt;=$J36))</f>
        <v>0</v>
      </c>
      <c r="W36" s="25" t="str">
        <f aca="false">IF(COUNTIF(Q36:V36,MAX(Q36:V36))&gt;1,"Tie",INDEX($C$5:$C$10,MATCH(MAX(Q36:V36),Q36:V36,0)))</f>
        <v>Conservatives</v>
      </c>
      <c r="X36" s="24" t="n">
        <f aca="false">ROUND($I36*K36,0)</f>
        <v>223915</v>
      </c>
      <c r="Y36" s="24" t="n">
        <f aca="false">ROUND($I36*L36,0)</f>
        <v>212181</v>
      </c>
      <c r="Z36" s="24" t="n">
        <f aca="false">ROUND($I36*M36,0)</f>
        <v>117595</v>
      </c>
      <c r="AA36" s="24" t="n">
        <f aca="false">ROUND($I36*N36,0)</f>
        <v>151593</v>
      </c>
      <c r="AB36" s="24" t="n">
        <f aca="false">ROUND($I36*O36,0)</f>
        <v>62609</v>
      </c>
      <c r="AC36" s="24" t="n">
        <f aca="false">ROUND($I36*P36,0)</f>
        <v>0</v>
      </c>
    </row>
    <row r="37" customFormat="false" ht="15" hidden="false" customHeight="false" outlineLevel="0" collapsed="false">
      <c r="B37" s="34" t="s">
        <v>82</v>
      </c>
      <c r="C37" s="55" t="n">
        <f aca="false">I41/G41</f>
        <v>0.626158394673717</v>
      </c>
      <c r="E37" s="9" t="s">
        <v>83</v>
      </c>
      <c r="F37" s="10" t="n">
        <v>0.791666666666667</v>
      </c>
      <c r="G37" s="11" t="n">
        <v>823502</v>
      </c>
      <c r="H37" s="12" t="n">
        <f aca="false">Model!AA37</f>
        <v>0.636611219667272</v>
      </c>
      <c r="I37" s="11" t="n">
        <f aca="false">ROUND(G37*H37,0)</f>
        <v>524251</v>
      </c>
      <c r="J37" s="13" t="n">
        <v>4</v>
      </c>
      <c r="K37" s="14" t="n">
        <f aca="false">Model!BX37</f>
        <v>0.243088470465434</v>
      </c>
      <c r="L37" s="15" t="n">
        <f aca="false">Model!BY37</f>
        <v>0.351028135251449</v>
      </c>
      <c r="M37" s="16" t="n">
        <f aca="false">Model!BZ37</f>
        <v>0.161958824376999</v>
      </c>
      <c r="N37" s="17" t="n">
        <f aca="false">Model!CA37</f>
        <v>0.165724732635718</v>
      </c>
      <c r="O37" s="18" t="n">
        <f aca="false">Model!CB37</f>
        <v>0.0781998372704004</v>
      </c>
      <c r="P37" s="19" t="n">
        <f aca="false">Model!CC37</f>
        <v>0</v>
      </c>
      <c r="Q37" s="13" t="n">
        <f aca="false">SUMPRODUCT((Engine!$B34:$BY34&lt;Engine!$CA34)*(Engine!$B$1:$BY$1&lt;=$J37))</f>
        <v>1</v>
      </c>
      <c r="R37" s="13" t="n">
        <f aca="false">SUMPRODUCT((Engine!$B34:$BY34&gt;=Engine!$CA34)*(Engine!$B34:$BY34&lt;Engine!$CB34)*(Engine!$B$1:$BY$1&lt;=$J37))</f>
        <v>3</v>
      </c>
      <c r="S37" s="13" t="n">
        <f aca="false">SUMPRODUCT((Engine!$B34:$BY34&gt;=Engine!$CB34)*(Engine!$B34:$BY34&lt;Engine!$CC34)*(Engine!$B$1:$BY$1&lt;=$J37))</f>
        <v>0</v>
      </c>
      <c r="T37" s="13" t="n">
        <f aca="false">SUMPRODUCT((Engine!$B34:$BY34&gt;=Engine!$CC34)*(Engine!$B34:$BY34&lt;Engine!$CD34)*(Engine!$B$1:$BY$1&lt;=$J37))</f>
        <v>0</v>
      </c>
      <c r="U37" s="13" t="n">
        <f aca="false">SUMPRODUCT((Engine!$B34:$BY34&gt;=Engine!$CD34)*(Engine!$B34:$BY34&lt;Engine!$CE34)*(Engine!$B$1:$BY$1&lt;=$J37))</f>
        <v>0</v>
      </c>
      <c r="V37" s="13" t="n">
        <f aca="false">SUMPRODUCT((Engine!$B34:$BY34&gt;=Engine!$CE34)*(Engine!$B$1:$BY$1&lt;=$J37))</f>
        <v>0</v>
      </c>
      <c r="W37" s="13" t="str">
        <f aca="false">IF(COUNTIF(Q37:V37,MAX(Q37:V37))&gt;1,"Tie",INDEX($C$5:$C$10,MATCH(MAX(Q37:V37),Q37:V37,0)))</f>
        <v>Social-Democrats</v>
      </c>
      <c r="X37" s="11" t="n">
        <f aca="false">ROUND($I37*K37,0)</f>
        <v>127439</v>
      </c>
      <c r="Y37" s="11" t="n">
        <f aca="false">ROUND($I37*L37,0)</f>
        <v>184027</v>
      </c>
      <c r="Z37" s="11" t="n">
        <f aca="false">ROUND($I37*M37,0)</f>
        <v>84907</v>
      </c>
      <c r="AA37" s="11" t="n">
        <f aca="false">ROUND($I37*N37,0)</f>
        <v>86881</v>
      </c>
      <c r="AB37" s="11" t="n">
        <f aca="false">ROUND($I37*O37,0)</f>
        <v>40996</v>
      </c>
      <c r="AC37" s="11" t="n">
        <f aca="false">ROUND($I37*P37,0)</f>
        <v>0</v>
      </c>
    </row>
    <row r="38" customFormat="false" ht="15" hidden="false" customHeight="false" outlineLevel="0" collapsed="false">
      <c r="E38" s="22" t="s">
        <v>84</v>
      </c>
      <c r="F38" s="23" t="n">
        <v>0.833333333333333</v>
      </c>
      <c r="G38" s="24" t="n">
        <v>624473</v>
      </c>
      <c r="H38" s="12" t="n">
        <f aca="false">Model!AA38</f>
        <v>0.628918631117452</v>
      </c>
      <c r="I38" s="24" t="n">
        <f aca="false">ROUND(G38*H38,0)</f>
        <v>392743</v>
      </c>
      <c r="J38" s="25" t="n">
        <v>3</v>
      </c>
      <c r="K38" s="14" t="n">
        <f aca="false">Model!BX38</f>
        <v>0.278450961591048</v>
      </c>
      <c r="L38" s="15" t="n">
        <f aca="false">Model!BY38</f>
        <v>0.347489152089718</v>
      </c>
      <c r="M38" s="16" t="n">
        <f aca="false">Model!BZ38</f>
        <v>0.167780581892155</v>
      </c>
      <c r="N38" s="17" t="n">
        <f aca="false">Model!CA38</f>
        <v>0.134528836499796</v>
      </c>
      <c r="O38" s="18" t="n">
        <f aca="false">Model!CB38</f>
        <v>0.0717504679272831</v>
      </c>
      <c r="P38" s="19" t="n">
        <f aca="false">Model!CC38</f>
        <v>0</v>
      </c>
      <c r="Q38" s="25" t="n">
        <f aca="false">SUMPRODUCT((Engine!$B35:$BY35&lt;Engine!$CA35)*(Engine!$B$1:$BY$1&lt;=$J38))</f>
        <v>1</v>
      </c>
      <c r="R38" s="25" t="n">
        <f aca="false">SUMPRODUCT((Engine!$B35:$BY35&gt;=Engine!$CA35)*(Engine!$B35:$BY35&lt;Engine!$CB35)*(Engine!$B$1:$BY$1&lt;=$J38))</f>
        <v>2</v>
      </c>
      <c r="S38" s="25" t="n">
        <f aca="false">SUMPRODUCT((Engine!$B35:$BY35&gt;=Engine!$CB35)*(Engine!$B35:$BY35&lt;Engine!$CC35)*(Engine!$B$1:$BY$1&lt;=$J38))</f>
        <v>0</v>
      </c>
      <c r="T38" s="25" t="n">
        <f aca="false">SUMPRODUCT((Engine!$B35:$BY35&gt;=Engine!$CC35)*(Engine!$B35:$BY35&lt;Engine!$CD35)*(Engine!$B$1:$BY$1&lt;=$J38))</f>
        <v>0</v>
      </c>
      <c r="U38" s="25" t="n">
        <f aca="false">SUMPRODUCT((Engine!$B35:$BY35&gt;=Engine!$CD35)*(Engine!$B35:$BY35&lt;Engine!$CE35)*(Engine!$B$1:$BY$1&lt;=$J38))</f>
        <v>0</v>
      </c>
      <c r="V38" s="25" t="n">
        <f aca="false">SUMPRODUCT((Engine!$B35:$BY35&gt;=Engine!$CE35)*(Engine!$B$1:$BY$1&lt;=$J38))</f>
        <v>0</v>
      </c>
      <c r="W38" s="25" t="str">
        <f aca="false">IF(COUNTIF(Q38:V38,MAX(Q38:V38))&gt;1,"Tie",INDEX($C$5:$C$10,MATCH(MAX(Q38:V38),Q38:V38,0)))</f>
        <v>Social-Democrats</v>
      </c>
      <c r="X38" s="24" t="n">
        <f aca="false">ROUND($I38*K38,0)</f>
        <v>109360</v>
      </c>
      <c r="Y38" s="24" t="n">
        <f aca="false">ROUND($I38*L38,0)</f>
        <v>136474</v>
      </c>
      <c r="Z38" s="24" t="n">
        <f aca="false">ROUND($I38*M38,0)</f>
        <v>65895</v>
      </c>
      <c r="AA38" s="24" t="n">
        <f aca="false">ROUND($I38*N38,0)</f>
        <v>52835</v>
      </c>
      <c r="AB38" s="24" t="n">
        <f aca="false">ROUND($I38*O38,0)</f>
        <v>28179</v>
      </c>
      <c r="AC38" s="24" t="n">
        <f aca="false">ROUND($I38*P38,0)</f>
        <v>0</v>
      </c>
    </row>
    <row r="39" customFormat="false" ht="15" hidden="false" customHeight="false" outlineLevel="0" collapsed="false">
      <c r="B39" s="3" t="s">
        <v>85</v>
      </c>
      <c r="C39" s="3"/>
      <c r="E39" s="9" t="s">
        <v>86</v>
      </c>
      <c r="F39" s="10" t="n">
        <v>0.875</v>
      </c>
      <c r="G39" s="11" t="n">
        <v>332741</v>
      </c>
      <c r="H39" s="12" t="n">
        <f aca="false">Model!AA39</f>
        <v>0.68628890939946</v>
      </c>
      <c r="I39" s="11" t="n">
        <f aca="false">ROUND(G39*H39,0)</f>
        <v>228356</v>
      </c>
      <c r="J39" s="13" t="n">
        <v>3</v>
      </c>
      <c r="K39" s="14" t="n">
        <f aca="false">Model!BX39</f>
        <v>0.354628825268098</v>
      </c>
      <c r="L39" s="15" t="n">
        <f aca="false">Model!BY39</f>
        <v>0.238496406433638</v>
      </c>
      <c r="M39" s="16" t="n">
        <f aca="false">Model!BZ39</f>
        <v>0.218372017923114</v>
      </c>
      <c r="N39" s="17" t="n">
        <f aca="false">Model!CA39</f>
        <v>0.101585340502715</v>
      </c>
      <c r="O39" s="18" t="n">
        <f aca="false">Model!CB39</f>
        <v>0.0869174098724351</v>
      </c>
      <c r="P39" s="19" t="n">
        <f aca="false">Model!CC39</f>
        <v>0</v>
      </c>
      <c r="Q39" s="13" t="n">
        <f aca="false">SUMPRODUCT((Engine!$B36:$BY36&lt;Engine!$CA36)*(Engine!$B$1:$BY$1&lt;=$J39))</f>
        <v>1</v>
      </c>
      <c r="R39" s="13" t="n">
        <f aca="false">SUMPRODUCT((Engine!$B36:$BY36&gt;=Engine!$CA36)*(Engine!$B36:$BY36&lt;Engine!$CB36)*(Engine!$B$1:$BY$1&lt;=$J39))</f>
        <v>2</v>
      </c>
      <c r="S39" s="13" t="n">
        <f aca="false">SUMPRODUCT((Engine!$B36:$BY36&gt;=Engine!$CB36)*(Engine!$B36:$BY36&lt;Engine!$CC36)*(Engine!$B$1:$BY$1&lt;=$J39))</f>
        <v>0</v>
      </c>
      <c r="T39" s="13" t="n">
        <f aca="false">SUMPRODUCT((Engine!$B36:$BY36&gt;=Engine!$CC36)*(Engine!$B36:$BY36&lt;Engine!$CD36)*(Engine!$B$1:$BY$1&lt;=$J39))</f>
        <v>0</v>
      </c>
      <c r="U39" s="13" t="n">
        <f aca="false">SUMPRODUCT((Engine!$B36:$BY36&gt;=Engine!$CD36)*(Engine!$B36:$BY36&lt;Engine!$CE36)*(Engine!$B$1:$BY$1&lt;=$J39))</f>
        <v>0</v>
      </c>
      <c r="V39" s="13" t="n">
        <f aca="false">SUMPRODUCT((Engine!$B36:$BY36&gt;=Engine!$CE36)*(Engine!$B$1:$BY$1&lt;=$J39))</f>
        <v>0</v>
      </c>
      <c r="W39" s="13" t="str">
        <f aca="false">IF(COUNTIF(Q39:V39,MAX(Q39:V39))&gt;1,"Tie",INDEX($C$5:$C$10,MATCH(MAX(Q39:V39),Q39:V39,0)))</f>
        <v>Social-Democrats</v>
      </c>
      <c r="X39" s="11" t="n">
        <f aca="false">ROUND($I39*K39,0)</f>
        <v>80982</v>
      </c>
      <c r="Y39" s="11" t="n">
        <f aca="false">ROUND($I39*L39,0)</f>
        <v>54462</v>
      </c>
      <c r="Z39" s="11" t="n">
        <f aca="false">ROUND($I39*M39,0)</f>
        <v>49867</v>
      </c>
      <c r="AA39" s="11" t="n">
        <f aca="false">ROUND($I39*N39,0)</f>
        <v>23198</v>
      </c>
      <c r="AB39" s="11" t="n">
        <f aca="false">ROUND($I39*O39,0)</f>
        <v>19848</v>
      </c>
      <c r="AC39" s="11" t="n">
        <f aca="false">ROUND($I39*P39,0)</f>
        <v>0</v>
      </c>
    </row>
    <row r="40" customFormat="false" ht="15" hidden="false" customHeight="false" outlineLevel="0" collapsed="false">
      <c r="B40" s="34" t="s">
        <v>87</v>
      </c>
      <c r="C40" s="35" t="str">
        <f aca="false">Incumbency!C4</f>
        <v>Social-Democrats</v>
      </c>
      <c r="E40" s="22" t="s">
        <v>88</v>
      </c>
      <c r="F40" s="23" t="n">
        <v>0.958333333333333</v>
      </c>
      <c r="G40" s="24" t="n">
        <v>138786</v>
      </c>
      <c r="H40" s="12" t="n">
        <f aca="false">Model!AA40</f>
        <v>0.573652228497667</v>
      </c>
      <c r="I40" s="24" t="n">
        <f aca="false">ROUND(G40*H40,0)</f>
        <v>79615</v>
      </c>
      <c r="J40" s="25" t="n">
        <v>2</v>
      </c>
      <c r="K40" s="14" t="n">
        <f aca="false">Model!BX40</f>
        <v>0.128337369957285</v>
      </c>
      <c r="L40" s="15" t="n">
        <f aca="false">Model!BY40</f>
        <v>0.230129070706654</v>
      </c>
      <c r="M40" s="16" t="n">
        <f aca="false">Model!BZ40</f>
        <v>0.0830292295083128</v>
      </c>
      <c r="N40" s="17" t="n">
        <f aca="false">Model!CA40</f>
        <v>0.129362197926672</v>
      </c>
      <c r="O40" s="18" t="n">
        <f aca="false">Model!CB40</f>
        <v>0.0684536305275976</v>
      </c>
      <c r="P40" s="19" t="n">
        <f aca="false">Model!CC40</f>
        <v>0.36068850137348</v>
      </c>
      <c r="Q40" s="25" t="n">
        <f aca="false">SUMPRODUCT((Engine!$B37:$BY37&lt;Engine!$CA37)*(Engine!$B$1:$BY$1&lt;=$J40))</f>
        <v>0</v>
      </c>
      <c r="R40" s="25" t="n">
        <f aca="false">SUMPRODUCT((Engine!$B37:$BY37&gt;=Engine!$CA37)*(Engine!$B37:$BY37&lt;Engine!$CB37)*(Engine!$B$1:$BY$1&lt;=$J40))</f>
        <v>0</v>
      </c>
      <c r="S40" s="25" t="n">
        <f aca="false">SUMPRODUCT((Engine!$B37:$BY37&gt;=Engine!$CB37)*(Engine!$B37:$BY37&lt;Engine!$CC37)*(Engine!$B$1:$BY$1&lt;=$J40))</f>
        <v>0</v>
      </c>
      <c r="T40" s="25" t="n">
        <f aca="false">SUMPRODUCT((Engine!$B37:$BY37&gt;=Engine!$CC37)*(Engine!$B37:$BY37&lt;Engine!$CD37)*(Engine!$B$1:$BY$1&lt;=$J40))</f>
        <v>0</v>
      </c>
      <c r="U40" s="25" t="n">
        <f aca="false">SUMPRODUCT((Engine!$B37:$BY37&gt;=Engine!$CD37)*(Engine!$B37:$BY37&lt;Engine!$CE37)*(Engine!$B$1:$BY$1&lt;=$J40))</f>
        <v>0</v>
      </c>
      <c r="V40" s="25" t="n">
        <f aca="false">SUMPRODUCT((Engine!$B37:$BY37&gt;=Engine!$CE37)*(Engine!$B$1:$BY$1&lt;=$J40))</f>
        <v>2</v>
      </c>
      <c r="W40" s="25" t="str">
        <f aca="false">IF(COUNTIF(Q40:V40,MAX(Q40:V40))&gt;1,"Tie",INDEX($C$5:$C$10,MATCH(MAX(Q40:V40),Q40:V40,0)))</f>
        <v>BP First</v>
      </c>
      <c r="X40" s="24" t="n">
        <f aca="false">ROUND($I40*K40,0)</f>
        <v>10218</v>
      </c>
      <c r="Y40" s="24" t="n">
        <f aca="false">ROUND($I40*L40,0)</f>
        <v>18322</v>
      </c>
      <c r="Z40" s="24" t="n">
        <f aca="false">ROUND($I40*M40,0)</f>
        <v>6610</v>
      </c>
      <c r="AA40" s="24" t="n">
        <f aca="false">ROUND($I40*N40,0)</f>
        <v>10299</v>
      </c>
      <c r="AB40" s="24" t="n">
        <f aca="false">ROUND($I40*O40,0)</f>
        <v>5450</v>
      </c>
      <c r="AC40" s="24" t="n">
        <f aca="false">ROUND($I40*P40,0)</f>
        <v>28716</v>
      </c>
    </row>
    <row r="41" customFormat="false" ht="15" hidden="false" customHeight="false" outlineLevel="0" collapsed="false">
      <c r="B41" s="34" t="s">
        <v>89</v>
      </c>
      <c r="C41" s="56" t="n">
        <f aca="false">Incumbency!E18</f>
        <v>2.4</v>
      </c>
      <c r="E41" s="57" t="s">
        <v>90</v>
      </c>
      <c r="F41" s="58"/>
      <c r="G41" s="59" t="n">
        <f aca="false">SUM(G5:G40)</f>
        <v>252042768</v>
      </c>
      <c r="H41" s="58"/>
      <c r="I41" s="59" t="n">
        <f aca="false">SUM(I5:I40)</f>
        <v>157818695</v>
      </c>
      <c r="J41" s="60" t="n">
        <f aca="false">SUM(J5:J40)</f>
        <v>602</v>
      </c>
      <c r="K41" s="58"/>
      <c r="L41" s="58"/>
      <c r="M41" s="58"/>
      <c r="N41" s="58"/>
      <c r="O41" s="58"/>
      <c r="P41" s="58"/>
      <c r="Q41" s="60" t="n">
        <f aca="false">SUM(Q5:Q40)</f>
        <v>228</v>
      </c>
      <c r="R41" s="60" t="n">
        <f aca="false">SUM(R5:R40)</f>
        <v>307</v>
      </c>
      <c r="S41" s="60" t="n">
        <f aca="false">SUM(S5:S40)</f>
        <v>31</v>
      </c>
      <c r="T41" s="60" t="n">
        <f aca="false">SUM(T5:T40)</f>
        <v>32</v>
      </c>
      <c r="U41" s="60" t="n">
        <f aca="false">SUM(U5:U40)</f>
        <v>2</v>
      </c>
      <c r="V41" s="60" t="n">
        <f aca="false">SUM(V5:V40)</f>
        <v>2</v>
      </c>
      <c r="W41" s="58"/>
      <c r="X41" s="59" t="n">
        <f aca="false">SUM(X5:X40)</f>
        <v>40555190</v>
      </c>
      <c r="Y41" s="59" t="n">
        <f aca="false">SUM(Y5:Y40)</f>
        <v>50924512</v>
      </c>
      <c r="Z41" s="59" t="n">
        <f aca="false">SUM(Z5:Z40)</f>
        <v>25955118</v>
      </c>
      <c r="AA41" s="59" t="n">
        <f aca="false">SUM(AA5:AA40)</f>
        <v>27421611</v>
      </c>
      <c r="AB41" s="59" t="n">
        <f aca="false">SUM(AB5:AB40)</f>
        <v>12933549</v>
      </c>
      <c r="AC41" s="59" t="n">
        <f aca="false">SUM(AC5:AC40)</f>
        <v>28716</v>
      </c>
    </row>
    <row r="42" customFormat="false" ht="15" hidden="false" customHeight="false" outlineLevel="0" collapsed="false">
      <c r="B42" s="34" t="s">
        <v>91</v>
      </c>
      <c r="C42" s="47" t="str">
        <f aca="false">Incumbency!C25</f>
        <v>Held majority</v>
      </c>
    </row>
    <row r="43" customFormat="false" ht="15" hidden="false" customHeight="false" outlineLevel="0" collapsed="false">
      <c r="B43" s="6" t="s">
        <v>92</v>
      </c>
      <c r="C43" s="35" t="str">
        <f aca="false">Coalition!C21</f>
        <v>Social-Democrats - single-party majority</v>
      </c>
    </row>
    <row r="45" customFormat="false" ht="15.75" hidden="false" customHeight="true" outlineLevel="0" collapsed="false">
      <c r="B45" s="61" t="s">
        <v>93</v>
      </c>
      <c r="C45" s="61"/>
    </row>
    <row r="46" customFormat="false" ht="15.75" hidden="false" customHeight="true" outlineLevel="0" collapsed="false">
      <c r="B46" s="61"/>
      <c r="C46" s="61"/>
    </row>
    <row r="47" customFormat="false" ht="15.75" hidden="false" customHeight="true" outlineLevel="0" collapsed="false">
      <c r="B47" s="61"/>
      <c r="C47" s="61"/>
    </row>
  </sheetData>
  <mergeCells count="7">
    <mergeCell ref="B1:AC1"/>
    <mergeCell ref="B2:AC2"/>
    <mergeCell ref="B4:C4"/>
    <mergeCell ref="B12:C12"/>
    <mergeCell ref="B26:C26"/>
    <mergeCell ref="B39:C39"/>
    <mergeCell ref="B45:C47"/>
  </mergeCells>
  <conditionalFormatting sqref="C42">
    <cfRule type="expression" priority="2" aboveAverage="0" equalAverage="0" bottom="0" percent="0" rank="0" text="" dxfId="0">
      <formula>$C$42="Held majority"</formula>
    </cfRule>
    <cfRule type="expression" priority="3" aboveAverage="0" equalAverage="0" bottom="0" percent="0" rank="0" text="" dxfId="1">
      <formula>$C$42="Lost power"</formula>
    </cfRule>
  </conditionalFormatting>
  <conditionalFormatting sqref="W5:W40">
    <cfRule type="expression" priority="4" aboveAverage="0" equalAverage="0" bottom="0" percent="0" rank="0" text="" dxfId="2">
      <formula>$W5=$C$5</formula>
    </cfRule>
    <cfRule type="expression" priority="5" aboveAverage="0" equalAverage="0" bottom="0" percent="0" rank="0" text="" dxfId="1">
      <formula>$W5=$C$6</formula>
    </cfRule>
    <cfRule type="expression" priority="6" aboveAverage="0" equalAverage="0" bottom="0" percent="0" rank="0" text="" dxfId="3">
      <formula>$W5=$C$7</formula>
    </cfRule>
    <cfRule type="expression" priority="7" aboveAverage="0" equalAverage="0" bottom="0" percent="0" rank="0" text="" dxfId="4">
      <formula>$W5=$C$8</formula>
    </cfRule>
    <cfRule type="expression" priority="8" aboveAverage="0" equalAverage="0" bottom="0" percent="0" rank="0" text="" dxfId="5">
      <formula>$W5=$C$9</formula>
    </cfRule>
    <cfRule type="expression" priority="9" aboveAverage="0" equalAverage="0" bottom="0" percent="0" rank="0" text="" dxfId="6">
      <formula>$W5=$C$10</formula>
    </cfRule>
  </conditionalFormatting>
  <conditionalFormatting sqref="C24">
    <cfRule type="expression" priority="10" aboveAverage="0" equalAverage="0" bottom="0" percent="0" rank="0" text="" dxfId="0">
      <formula>$C$24&lt;&gt;"No overall majority"</formula>
    </cfRule>
  </conditionalFormatting>
  <conditionalFormatting sqref="C35">
    <cfRule type="expression" priority="11" aboveAverage="0" equalAverage="0" bottom="0" percent="0" rank="0" text="" dxfId="7">
      <formula>LEFT($C$35,2)="No"</formula>
    </cfRule>
  </conditionalFormatting>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K5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2" ySplit="4" topLeftCell="C5" activePane="bottomRight" state="frozen"/>
      <selection pane="topLeft" activeCell="A1" activeCellId="0" sqref="A1"/>
      <selection pane="topRight" activeCell="C1" activeCellId="0" sqref="C1"/>
      <selection pane="bottomLeft" activeCell="A5" activeCellId="0" sqref="A5"/>
      <selection pane="bottomRight" activeCell="A1" activeCellId="0" sqref="A1"/>
    </sheetView>
  </sheetViews>
  <sheetFormatPr defaultColWidth="8.6796875" defaultRowHeight="15" zeroHeight="false" outlineLevelRow="0" outlineLevelCol="0"/>
  <cols>
    <col collapsed="false" customWidth="true" hidden="false" outlineLevel="0" max="1" min="1" style="0" width="2"/>
    <col collapsed="false" customWidth="true" hidden="false" outlineLevel="0" max="2" min="2" style="0" width="20"/>
    <col collapsed="false" customWidth="true" hidden="false" outlineLevel="0" max="9" min="3" style="0" width="13"/>
    <col collapsed="false" customWidth="true" hidden="false" outlineLevel="0" max="10" min="10" style="0" width="9"/>
    <col collapsed="false" customWidth="true" hidden="false" outlineLevel="0" max="11" min="11" style="0" width="15"/>
  </cols>
  <sheetData>
    <row r="1" customFormat="false" ht="25.5" hidden="false" customHeight="true" outlineLevel="0" collapsed="false">
      <c r="B1" s="62" t="s">
        <v>94</v>
      </c>
      <c r="C1" s="62"/>
      <c r="D1" s="62"/>
      <c r="E1" s="62"/>
      <c r="F1" s="62"/>
      <c r="G1" s="62"/>
      <c r="H1" s="62"/>
      <c r="I1" s="62"/>
      <c r="J1" s="62"/>
      <c r="K1" s="62"/>
    </row>
    <row r="2" customFormat="false" ht="15" hidden="false" customHeight="true" outlineLevel="0" collapsed="false">
      <c r="B2" s="63" t="s">
        <v>95</v>
      </c>
      <c r="C2" s="63"/>
      <c r="D2" s="63"/>
      <c r="E2" s="63"/>
      <c r="F2" s="63"/>
      <c r="G2" s="63"/>
      <c r="H2" s="63"/>
      <c r="I2" s="63"/>
      <c r="J2" s="63"/>
      <c r="K2" s="63"/>
    </row>
    <row r="4" customFormat="false" ht="27.75" hidden="false" customHeight="true" outlineLevel="0" collapsed="false">
      <c r="B4" s="5" t="s">
        <v>4</v>
      </c>
      <c r="C4" s="5" t="s">
        <v>96</v>
      </c>
      <c r="D4" s="5" t="s">
        <v>97</v>
      </c>
      <c r="E4" s="5" t="s">
        <v>98</v>
      </c>
      <c r="F4" s="5" t="s">
        <v>99</v>
      </c>
      <c r="G4" s="5" t="s">
        <v>100</v>
      </c>
      <c r="H4" s="5" t="s">
        <v>101</v>
      </c>
      <c r="I4" s="5" t="s">
        <v>102</v>
      </c>
      <c r="J4" s="5" t="s">
        <v>103</v>
      </c>
      <c r="K4" s="5" t="s">
        <v>104</v>
      </c>
    </row>
    <row r="5" customFormat="false" ht="15" hidden="false" customHeight="false" outlineLevel="0" collapsed="false">
      <c r="B5" s="9" t="s">
        <v>31</v>
      </c>
      <c r="C5" s="64" t="n">
        <v>0.281210214490948</v>
      </c>
      <c r="D5" s="64" t="n">
        <v>0.316227171096533</v>
      </c>
      <c r="E5" s="64" t="n">
        <v>0.175218409131349</v>
      </c>
      <c r="F5" s="64" t="n">
        <v>0.0863600177900299</v>
      </c>
      <c r="G5" s="64" t="n">
        <v>0.101960052578907</v>
      </c>
      <c r="H5" s="64" t="n">
        <v>0</v>
      </c>
      <c r="I5" s="64" t="n">
        <v>0.0390241349122339</v>
      </c>
      <c r="J5" s="55" t="n">
        <f aca="false">SUM(C5:I5)</f>
        <v>1</v>
      </c>
      <c r="K5" s="65" t="s">
        <v>105</v>
      </c>
    </row>
    <row r="6" customFormat="false" ht="15" hidden="false" customHeight="false" outlineLevel="0" collapsed="false">
      <c r="B6" s="22" t="s">
        <v>34</v>
      </c>
      <c r="C6" s="64" t="n">
        <v>0.321528236241138</v>
      </c>
      <c r="D6" s="64" t="n">
        <v>0.23988617805087</v>
      </c>
      <c r="E6" s="64" t="n">
        <v>0.0798364913655227</v>
      </c>
      <c r="F6" s="64" t="n">
        <v>0.218132234771418</v>
      </c>
      <c r="G6" s="64" t="n">
        <v>0.0970160975750422</v>
      </c>
      <c r="H6" s="64" t="n">
        <v>0</v>
      </c>
      <c r="I6" s="64" t="n">
        <v>0.0436007619960097</v>
      </c>
      <c r="J6" s="66" t="n">
        <f aca="false">SUM(C6:I6)</f>
        <v>1</v>
      </c>
      <c r="K6" s="67" t="s">
        <v>106</v>
      </c>
    </row>
    <row r="7" customFormat="false" ht="15" hidden="false" customHeight="false" outlineLevel="0" collapsed="false">
      <c r="B7" s="9" t="s">
        <v>37</v>
      </c>
      <c r="C7" s="64" t="n">
        <v>0.257082014271274</v>
      </c>
      <c r="D7" s="64" t="n">
        <v>0.366187381083077</v>
      </c>
      <c r="E7" s="64" t="n">
        <v>0.138386163092805</v>
      </c>
      <c r="F7" s="64" t="n">
        <v>0.117492333976394</v>
      </c>
      <c r="G7" s="64" t="n">
        <v>0.0903860287428456</v>
      </c>
      <c r="H7" s="64" t="n">
        <v>0</v>
      </c>
      <c r="I7" s="64" t="n">
        <v>0.0304660788336051</v>
      </c>
      <c r="J7" s="55" t="n">
        <f aca="false">SUM(C7:I7)</f>
        <v>1</v>
      </c>
      <c r="K7" s="65" t="s">
        <v>105</v>
      </c>
    </row>
    <row r="8" customFormat="false" ht="15" hidden="false" customHeight="false" outlineLevel="0" collapsed="false">
      <c r="B8" s="22" t="s">
        <v>40</v>
      </c>
      <c r="C8" s="64" t="n">
        <v>0.295513217067469</v>
      </c>
      <c r="D8" s="64" t="n">
        <v>0.278590014024912</v>
      </c>
      <c r="E8" s="64" t="n">
        <v>0.181946612050135</v>
      </c>
      <c r="F8" s="64" t="n">
        <v>0.1116165347139</v>
      </c>
      <c r="G8" s="64" t="n">
        <v>0.0938942624299649</v>
      </c>
      <c r="H8" s="64" t="n">
        <v>0</v>
      </c>
      <c r="I8" s="64" t="n">
        <v>0.0384393597136192</v>
      </c>
      <c r="J8" s="66" t="n">
        <f aca="false">SUM(C8:I8)</f>
        <v>1</v>
      </c>
      <c r="K8" s="67" t="s">
        <v>105</v>
      </c>
    </row>
    <row r="9" customFormat="false" ht="15" hidden="false" customHeight="false" outlineLevel="0" collapsed="false">
      <c r="B9" s="9" t="s">
        <v>43</v>
      </c>
      <c r="C9" s="64" t="n">
        <v>0.211355258743496</v>
      </c>
      <c r="D9" s="64" t="n">
        <v>0.469497681442581</v>
      </c>
      <c r="E9" s="64" t="n">
        <v>0.0730532581784091</v>
      </c>
      <c r="F9" s="64" t="n">
        <v>0.157799381995102</v>
      </c>
      <c r="G9" s="64" t="n">
        <v>0.0489664172159852</v>
      </c>
      <c r="H9" s="64" t="n">
        <v>0</v>
      </c>
      <c r="I9" s="64" t="n">
        <v>0.0393280024244269</v>
      </c>
      <c r="J9" s="55" t="n">
        <f aca="false">SUM(C9:I9)</f>
        <v>1</v>
      </c>
      <c r="K9" s="65" t="s">
        <v>107</v>
      </c>
    </row>
    <row r="10" customFormat="false" ht="15" hidden="false" customHeight="false" outlineLevel="0" collapsed="false">
      <c r="B10" s="22" t="s">
        <v>46</v>
      </c>
      <c r="C10" s="64" t="n">
        <v>0.209309640457397</v>
      </c>
      <c r="D10" s="64" t="n">
        <v>0.44214063251671</v>
      </c>
      <c r="E10" s="64" t="n">
        <v>0.174179341163556</v>
      </c>
      <c r="F10" s="64" t="n">
        <v>0.103043680473795</v>
      </c>
      <c r="G10" s="64" t="n">
        <v>0.0457079617668334</v>
      </c>
      <c r="H10" s="64" t="n">
        <v>0</v>
      </c>
      <c r="I10" s="64" t="n">
        <v>0.0256187436217082</v>
      </c>
      <c r="J10" s="66" t="n">
        <f aca="false">SUM(C10:I10)</f>
        <v>1</v>
      </c>
      <c r="K10" s="67" t="s">
        <v>108</v>
      </c>
    </row>
    <row r="11" customFormat="false" ht="15" hidden="false" customHeight="false" outlineLevel="0" collapsed="false">
      <c r="B11" s="9" t="s">
        <v>47</v>
      </c>
      <c r="C11" s="64" t="n">
        <v>0.195599047344985</v>
      </c>
      <c r="D11" s="64" t="n">
        <v>0.27359776475974</v>
      </c>
      <c r="E11" s="64" t="n">
        <v>0.135682227531933</v>
      </c>
      <c r="F11" s="64" t="n">
        <v>0.313704655951064</v>
      </c>
      <c r="G11" s="64" t="n">
        <v>0.0380449490963193</v>
      </c>
      <c r="H11" s="64" t="n">
        <v>0</v>
      </c>
      <c r="I11" s="64" t="n">
        <v>0.0433713553159581</v>
      </c>
      <c r="J11" s="55" t="n">
        <f aca="false">SUM(C11:I11)</f>
        <v>1</v>
      </c>
      <c r="K11" s="65" t="s">
        <v>109</v>
      </c>
    </row>
    <row r="12" customFormat="false" ht="15" hidden="false" customHeight="false" outlineLevel="0" collapsed="false">
      <c r="B12" s="22" t="s">
        <v>49</v>
      </c>
      <c r="C12" s="64" t="n">
        <v>0.250638992786489</v>
      </c>
      <c r="D12" s="64" t="n">
        <v>0.31815291189556</v>
      </c>
      <c r="E12" s="64" t="n">
        <v>0.127675175579697</v>
      </c>
      <c r="F12" s="64" t="n">
        <v>0.232357247749999</v>
      </c>
      <c r="G12" s="64" t="n">
        <v>0.0393869099334798</v>
      </c>
      <c r="H12" s="64" t="n">
        <v>0</v>
      </c>
      <c r="I12" s="64" t="n">
        <v>0.0317887620547758</v>
      </c>
      <c r="J12" s="66" t="n">
        <f aca="false">SUM(C12:I12)</f>
        <v>1</v>
      </c>
      <c r="K12" s="67" t="s">
        <v>109</v>
      </c>
    </row>
    <row r="13" customFormat="false" ht="15" hidden="false" customHeight="false" outlineLevel="0" collapsed="false">
      <c r="B13" s="9" t="s">
        <v>51</v>
      </c>
      <c r="C13" s="64" t="n">
        <v>0.186185590829585</v>
      </c>
      <c r="D13" s="64" t="n">
        <v>0.54344290272785</v>
      </c>
      <c r="E13" s="64" t="n">
        <v>0.0749066579926587</v>
      </c>
      <c r="F13" s="64" t="n">
        <v>0.112902391313492</v>
      </c>
      <c r="G13" s="64" t="n">
        <v>0.042943511957342</v>
      </c>
      <c r="H13" s="64" t="n">
        <v>0</v>
      </c>
      <c r="I13" s="64" t="n">
        <v>0.0396189451790718</v>
      </c>
      <c r="J13" s="55" t="n">
        <f aca="false">SUM(C13:I13)</f>
        <v>1</v>
      </c>
      <c r="K13" s="65" t="s">
        <v>107</v>
      </c>
    </row>
    <row r="14" customFormat="false" ht="15" hidden="false" customHeight="false" outlineLevel="0" collapsed="false">
      <c r="B14" s="22" t="s">
        <v>53</v>
      </c>
      <c r="C14" s="64" t="n">
        <v>0.270819425581671</v>
      </c>
      <c r="D14" s="64" t="n">
        <v>0.327578613832454</v>
      </c>
      <c r="E14" s="64" t="n">
        <v>0.195261432452559</v>
      </c>
      <c r="F14" s="64" t="n">
        <v>0.0800253375249623</v>
      </c>
      <c r="G14" s="64" t="n">
        <v>0.0959770414059252</v>
      </c>
      <c r="H14" s="64" t="n">
        <v>0</v>
      </c>
      <c r="I14" s="64" t="n">
        <v>0.0303381492024292</v>
      </c>
      <c r="J14" s="66" t="n">
        <f aca="false">SUM(C14:I14)</f>
        <v>1</v>
      </c>
      <c r="K14" s="67" t="s">
        <v>105</v>
      </c>
    </row>
    <row r="15" customFormat="false" ht="15" hidden="false" customHeight="false" outlineLevel="0" collapsed="false">
      <c r="B15" s="9" t="s">
        <v>54</v>
      </c>
      <c r="C15" s="64" t="n">
        <v>0.342839185998485</v>
      </c>
      <c r="D15" s="64" t="n">
        <v>0.367557410750305</v>
      </c>
      <c r="E15" s="64" t="n">
        <v>0.0927527178529734</v>
      </c>
      <c r="F15" s="64" t="n">
        <v>0.0826138745551496</v>
      </c>
      <c r="G15" s="64" t="n">
        <v>0.0799375665455077</v>
      </c>
      <c r="H15" s="64" t="n">
        <v>0</v>
      </c>
      <c r="I15" s="64" t="n">
        <v>0.0342992442975794</v>
      </c>
      <c r="J15" s="55" t="n">
        <f aca="false">SUM(C15:I15)</f>
        <v>1</v>
      </c>
      <c r="K15" s="65" t="s">
        <v>110</v>
      </c>
    </row>
    <row r="16" customFormat="false" ht="15" hidden="false" customHeight="false" outlineLevel="0" collapsed="false">
      <c r="B16" s="22" t="s">
        <v>55</v>
      </c>
      <c r="C16" s="64" t="n">
        <v>0.419166008930976</v>
      </c>
      <c r="D16" s="64" t="n">
        <v>0.283383567361798</v>
      </c>
      <c r="E16" s="64" t="n">
        <v>0.0674112280044288</v>
      </c>
      <c r="F16" s="64" t="n">
        <v>0.0995860263917769</v>
      </c>
      <c r="G16" s="64" t="n">
        <v>0.0971510460107149</v>
      </c>
      <c r="H16" s="64" t="n">
        <v>0</v>
      </c>
      <c r="I16" s="64" t="n">
        <v>0.0333021233003055</v>
      </c>
      <c r="J16" s="66" t="n">
        <f aca="false">SUM(C16:I16)</f>
        <v>1</v>
      </c>
      <c r="K16" s="67" t="s">
        <v>110</v>
      </c>
    </row>
    <row r="17" customFormat="false" ht="15" hidden="false" customHeight="false" outlineLevel="0" collapsed="false">
      <c r="B17" s="9" t="s">
        <v>56</v>
      </c>
      <c r="C17" s="64" t="n">
        <v>0.287739675384249</v>
      </c>
      <c r="D17" s="64" t="n">
        <v>0.353396218777591</v>
      </c>
      <c r="E17" s="64" t="n">
        <v>0.134542217135612</v>
      </c>
      <c r="F17" s="64" t="n">
        <v>0.0921692045026126</v>
      </c>
      <c r="G17" s="64" t="n">
        <v>0.0788231955277144</v>
      </c>
      <c r="H17" s="64" t="n">
        <v>0</v>
      </c>
      <c r="I17" s="64" t="n">
        <v>0.0533294886722213</v>
      </c>
      <c r="J17" s="55" t="n">
        <f aca="false">SUM(C17:I17)</f>
        <v>1</v>
      </c>
      <c r="K17" s="65" t="s">
        <v>110</v>
      </c>
    </row>
    <row r="18" customFormat="false" ht="15" hidden="false" customHeight="false" outlineLevel="0" collapsed="false">
      <c r="B18" s="22" t="s">
        <v>57</v>
      </c>
      <c r="C18" s="64" t="n">
        <v>0.219051242902965</v>
      </c>
      <c r="D18" s="64" t="n">
        <v>0.322209237363508</v>
      </c>
      <c r="E18" s="64" t="n">
        <v>0.168177333173621</v>
      </c>
      <c r="F18" s="64" t="n">
        <v>0.187580797097946</v>
      </c>
      <c r="G18" s="64" t="n">
        <v>0.0699944906328219</v>
      </c>
      <c r="H18" s="64" t="n">
        <v>0</v>
      </c>
      <c r="I18" s="64" t="n">
        <v>0.0329868988291373</v>
      </c>
      <c r="J18" s="66" t="n">
        <f aca="false">SUM(C18:I18)</f>
        <v>1</v>
      </c>
      <c r="K18" s="67" t="s">
        <v>109</v>
      </c>
    </row>
    <row r="19" customFormat="false" ht="15" hidden="false" customHeight="false" outlineLevel="0" collapsed="false">
      <c r="B19" s="9" t="s">
        <v>58</v>
      </c>
      <c r="C19" s="64" t="n">
        <v>0.314931170983223</v>
      </c>
      <c r="D19" s="64" t="n">
        <v>0.270867672562307</v>
      </c>
      <c r="E19" s="64" t="n">
        <v>0.170231187169291</v>
      </c>
      <c r="F19" s="64" t="n">
        <v>0.101941213920533</v>
      </c>
      <c r="G19" s="64" t="n">
        <v>0.108780383147419</v>
      </c>
      <c r="H19" s="64" t="n">
        <v>0</v>
      </c>
      <c r="I19" s="64" t="n">
        <v>0.0332483722172272</v>
      </c>
      <c r="J19" s="55" t="n">
        <f aca="false">SUM(C19:I19)</f>
        <v>1</v>
      </c>
      <c r="K19" s="65" t="s">
        <v>105</v>
      </c>
    </row>
    <row r="20" customFormat="false" ht="15" hidden="false" customHeight="false" outlineLevel="0" collapsed="false">
      <c r="B20" s="22" t="s">
        <v>59</v>
      </c>
      <c r="C20" s="64" t="n">
        <v>0.143970380094425</v>
      </c>
      <c r="D20" s="64" t="n">
        <v>0.429495034961494</v>
      </c>
      <c r="E20" s="64" t="n">
        <v>0.291658314910139</v>
      </c>
      <c r="F20" s="64" t="n">
        <v>0.0743764305226468</v>
      </c>
      <c r="G20" s="64" t="n">
        <v>0.0355074951039132</v>
      </c>
      <c r="H20" s="64" t="n">
        <v>0</v>
      </c>
      <c r="I20" s="64" t="n">
        <v>0.0249923444073822</v>
      </c>
      <c r="J20" s="66" t="n">
        <f aca="false">SUM(C20:I20)</f>
        <v>1</v>
      </c>
      <c r="K20" s="67" t="s">
        <v>108</v>
      </c>
    </row>
    <row r="21" customFormat="false" ht="15" hidden="false" customHeight="false" outlineLevel="0" collapsed="false">
      <c r="B21" s="9" t="s">
        <v>60</v>
      </c>
      <c r="C21" s="64" t="n">
        <v>0.294867916805029</v>
      </c>
      <c r="D21" s="64" t="n">
        <v>0.35485085066239</v>
      </c>
      <c r="E21" s="64" t="n">
        <v>0.137286897295138</v>
      </c>
      <c r="F21" s="64" t="n">
        <v>0.074420837324477</v>
      </c>
      <c r="G21" s="64" t="n">
        <v>0.101707943855054</v>
      </c>
      <c r="H21" s="64" t="n">
        <v>0</v>
      </c>
      <c r="I21" s="64" t="n">
        <v>0.0368655540579132</v>
      </c>
      <c r="J21" s="55" t="n">
        <f aca="false">SUM(C21:I21)</f>
        <v>1</v>
      </c>
      <c r="K21" s="65" t="s">
        <v>105</v>
      </c>
    </row>
    <row r="22" customFormat="false" ht="15" hidden="false" customHeight="false" outlineLevel="0" collapsed="false">
      <c r="B22" s="22" t="s">
        <v>61</v>
      </c>
      <c r="C22" s="64" t="n">
        <v>0.145136039732538</v>
      </c>
      <c r="D22" s="64" t="n">
        <v>0.648298374126576</v>
      </c>
      <c r="E22" s="64" t="n">
        <v>0.0446997212202126</v>
      </c>
      <c r="F22" s="64" t="n">
        <v>0.0916182756545415</v>
      </c>
      <c r="G22" s="64" t="n">
        <v>0.0418767595576669</v>
      </c>
      <c r="H22" s="64" t="n">
        <v>0</v>
      </c>
      <c r="I22" s="64" t="n">
        <v>0.0283708297084652</v>
      </c>
      <c r="J22" s="66" t="n">
        <f aca="false">SUM(C22:I22)</f>
        <v>1</v>
      </c>
      <c r="K22" s="67" t="s">
        <v>107</v>
      </c>
    </row>
    <row r="23" customFormat="false" ht="15" hidden="false" customHeight="false" outlineLevel="0" collapsed="false">
      <c r="B23" s="9" t="s">
        <v>63</v>
      </c>
      <c r="C23" s="64" t="n">
        <v>0.210345938774332</v>
      </c>
      <c r="D23" s="64" t="n">
        <v>0.347524441772514</v>
      </c>
      <c r="E23" s="64" t="n">
        <v>0.213086504186924</v>
      </c>
      <c r="F23" s="64" t="n">
        <v>0.153154456543614</v>
      </c>
      <c r="G23" s="64" t="n">
        <v>0.0343713790990668</v>
      </c>
      <c r="H23" s="64" t="n">
        <v>0</v>
      </c>
      <c r="I23" s="64" t="n">
        <v>0.0415172796235496</v>
      </c>
      <c r="J23" s="55" t="n">
        <f aca="false">SUM(C23:I23)</f>
        <v>1</v>
      </c>
      <c r="K23" s="65" t="s">
        <v>109</v>
      </c>
    </row>
    <row r="24" customFormat="false" ht="15" hidden="false" customHeight="false" outlineLevel="0" collapsed="false">
      <c r="B24" s="22" t="s">
        <v>65</v>
      </c>
      <c r="C24" s="64" t="n">
        <v>0.294554714986649</v>
      </c>
      <c r="D24" s="64" t="n">
        <v>0.355265298753723</v>
      </c>
      <c r="E24" s="64" t="n">
        <v>0.132129676257783</v>
      </c>
      <c r="F24" s="64" t="n">
        <v>0.0770014893534973</v>
      </c>
      <c r="G24" s="64" t="n">
        <v>0.115221230210921</v>
      </c>
      <c r="H24" s="64" t="n">
        <v>0</v>
      </c>
      <c r="I24" s="64" t="n">
        <v>0.0258275904374277</v>
      </c>
      <c r="J24" s="66" t="n">
        <f aca="false">SUM(C24:I24)</f>
        <v>1</v>
      </c>
      <c r="K24" s="67" t="s">
        <v>110</v>
      </c>
    </row>
    <row r="25" customFormat="false" ht="15" hidden="false" customHeight="false" outlineLevel="0" collapsed="false">
      <c r="B25" s="9" t="s">
        <v>66</v>
      </c>
      <c r="C25" s="64" t="n">
        <v>0.184325901820805</v>
      </c>
      <c r="D25" s="64" t="n">
        <v>0.367361912622567</v>
      </c>
      <c r="E25" s="64" t="n">
        <v>0.154747201144558</v>
      </c>
      <c r="F25" s="64" t="n">
        <v>0.205421262820661</v>
      </c>
      <c r="G25" s="64" t="n">
        <v>0.0497776331619846</v>
      </c>
      <c r="H25" s="64" t="n">
        <v>0</v>
      </c>
      <c r="I25" s="64" t="n">
        <v>0.0383660884294251</v>
      </c>
      <c r="J25" s="55" t="n">
        <f aca="false">SUM(C25:I25)</f>
        <v>1</v>
      </c>
      <c r="K25" s="65" t="s">
        <v>109</v>
      </c>
    </row>
    <row r="26" customFormat="false" ht="15" hidden="false" customHeight="false" outlineLevel="0" collapsed="false">
      <c r="B26" s="22" t="s">
        <v>68</v>
      </c>
      <c r="C26" s="64" t="n">
        <v>0.21407085004781</v>
      </c>
      <c r="D26" s="64" t="n">
        <v>0.427128719783377</v>
      </c>
      <c r="E26" s="64" t="n">
        <v>0.209231616947836</v>
      </c>
      <c r="F26" s="64" t="n">
        <v>0.0998418285652097</v>
      </c>
      <c r="G26" s="64" t="n">
        <v>0.0303997750793475</v>
      </c>
      <c r="H26" s="64" t="n">
        <v>0</v>
      </c>
      <c r="I26" s="64" t="n">
        <v>0.0193272095764198</v>
      </c>
      <c r="J26" s="66" t="n">
        <f aca="false">SUM(C26:I26)</f>
        <v>1</v>
      </c>
      <c r="K26" s="67" t="s">
        <v>108</v>
      </c>
    </row>
    <row r="27" customFormat="false" ht="15" hidden="false" customHeight="false" outlineLevel="0" collapsed="false">
      <c r="B27" s="9" t="s">
        <v>69</v>
      </c>
      <c r="C27" s="64" t="n">
        <v>0.213092261134315</v>
      </c>
      <c r="D27" s="64" t="n">
        <v>0.325947878314336</v>
      </c>
      <c r="E27" s="64" t="n">
        <v>0.310948387006866</v>
      </c>
      <c r="F27" s="64" t="n">
        <v>0.102371495871408</v>
      </c>
      <c r="G27" s="64" t="n">
        <v>0.0252983915592802</v>
      </c>
      <c r="H27" s="64" t="n">
        <v>0</v>
      </c>
      <c r="I27" s="64" t="n">
        <v>0.0223415861137955</v>
      </c>
      <c r="J27" s="55" t="n">
        <f aca="false">SUM(C27:I27)</f>
        <v>1</v>
      </c>
      <c r="K27" s="65" t="s">
        <v>108</v>
      </c>
    </row>
    <row r="28" customFormat="false" ht="15" hidden="false" customHeight="false" outlineLevel="0" collapsed="false">
      <c r="B28" s="22" t="s">
        <v>70</v>
      </c>
      <c r="C28" s="64" t="n">
        <v>0.302944586499006</v>
      </c>
      <c r="D28" s="64" t="n">
        <v>0.42685446824477</v>
      </c>
      <c r="E28" s="64" t="n">
        <v>0.0709041912912573</v>
      </c>
      <c r="F28" s="64" t="n">
        <v>0.0866849487111472</v>
      </c>
      <c r="G28" s="64" t="n">
        <v>0.0892827880383178</v>
      </c>
      <c r="H28" s="64" t="n">
        <v>0</v>
      </c>
      <c r="I28" s="64" t="n">
        <v>0.0233290172155017</v>
      </c>
      <c r="J28" s="66" t="n">
        <f aca="false">SUM(C28:I28)</f>
        <v>1</v>
      </c>
      <c r="K28" s="67" t="s">
        <v>110</v>
      </c>
    </row>
    <row r="29" customFormat="false" ht="15" hidden="false" customHeight="false" outlineLevel="0" collapsed="false">
      <c r="B29" s="9" t="s">
        <v>71</v>
      </c>
      <c r="C29" s="64" t="n">
        <v>0.224795809351481</v>
      </c>
      <c r="D29" s="64" t="n">
        <v>0.352709688138265</v>
      </c>
      <c r="E29" s="64" t="n">
        <v>0.184918062633078</v>
      </c>
      <c r="F29" s="64" t="n">
        <v>0.140157609870405</v>
      </c>
      <c r="G29" s="64" t="n">
        <v>0.0410247448664857</v>
      </c>
      <c r="H29" s="64" t="n">
        <v>0</v>
      </c>
      <c r="I29" s="64" t="n">
        <v>0.0563940851402844</v>
      </c>
      <c r="J29" s="55" t="n">
        <f aca="false">SUM(C29:I29)</f>
        <v>1</v>
      </c>
      <c r="K29" s="65" t="s">
        <v>109</v>
      </c>
    </row>
    <row r="30" customFormat="false" ht="15" hidden="false" customHeight="false" outlineLevel="0" collapsed="false">
      <c r="B30" s="22" t="s">
        <v>72</v>
      </c>
      <c r="C30" s="64" t="n">
        <v>0.281238162113337</v>
      </c>
      <c r="D30" s="64" t="n">
        <v>0.352844037397447</v>
      </c>
      <c r="E30" s="64" t="n">
        <v>0.170317051850028</v>
      </c>
      <c r="F30" s="64" t="n">
        <v>0.0888902121447066</v>
      </c>
      <c r="G30" s="64" t="n">
        <v>0.0810819916824047</v>
      </c>
      <c r="H30" s="64" t="n">
        <v>0</v>
      </c>
      <c r="I30" s="64" t="n">
        <v>0.0256285448120778</v>
      </c>
      <c r="J30" s="66" t="n">
        <f aca="false">SUM(C30:I30)</f>
        <v>1</v>
      </c>
      <c r="K30" s="67" t="s">
        <v>110</v>
      </c>
    </row>
    <row r="31" customFormat="false" ht="15" hidden="false" customHeight="false" outlineLevel="0" collapsed="false">
      <c r="B31" s="9" t="s">
        <v>73</v>
      </c>
      <c r="C31" s="64" t="n">
        <v>0.178793028278692</v>
      </c>
      <c r="D31" s="64" t="n">
        <v>0.529571371158332</v>
      </c>
      <c r="E31" s="64" t="n">
        <v>0.138594494091316</v>
      </c>
      <c r="F31" s="64" t="n">
        <v>0.0910226817783712</v>
      </c>
      <c r="G31" s="64" t="n">
        <v>0.0439395384873951</v>
      </c>
      <c r="H31" s="64" t="n">
        <v>0</v>
      </c>
      <c r="I31" s="64" t="n">
        <v>0.0180788862058937</v>
      </c>
      <c r="J31" s="55" t="n">
        <f aca="false">SUM(C31:I31)</f>
        <v>1</v>
      </c>
      <c r="K31" s="65" t="s">
        <v>108</v>
      </c>
    </row>
    <row r="32" customFormat="false" ht="15" hidden="false" customHeight="false" outlineLevel="0" collapsed="false">
      <c r="B32" s="22" t="s">
        <v>74</v>
      </c>
      <c r="C32" s="64" t="n">
        <v>0.198684806744758</v>
      </c>
      <c r="D32" s="64" t="n">
        <v>0.325077727684231</v>
      </c>
      <c r="E32" s="64" t="n">
        <v>0.0833754408182383</v>
      </c>
      <c r="F32" s="64" t="n">
        <v>0.240772918119845</v>
      </c>
      <c r="G32" s="64" t="n">
        <v>0.105773962326626</v>
      </c>
      <c r="H32" s="64" t="n">
        <v>0</v>
      </c>
      <c r="I32" s="64" t="n">
        <v>0.0463151443063015</v>
      </c>
      <c r="J32" s="66" t="n">
        <f aca="false">SUM(C32:I32)</f>
        <v>1</v>
      </c>
      <c r="K32" s="67" t="s">
        <v>106</v>
      </c>
    </row>
    <row r="33" customFormat="false" ht="15" hidden="false" customHeight="false" outlineLevel="0" collapsed="false">
      <c r="B33" s="9" t="s">
        <v>75</v>
      </c>
      <c r="C33" s="64" t="n">
        <v>0.225875901874942</v>
      </c>
      <c r="D33" s="64" t="n">
        <v>0.285731399325209</v>
      </c>
      <c r="E33" s="64" t="n">
        <v>0.0964504091694294</v>
      </c>
      <c r="F33" s="64" t="n">
        <v>0.215690317986376</v>
      </c>
      <c r="G33" s="64" t="n">
        <v>0.144999247845116</v>
      </c>
      <c r="H33" s="64" t="n">
        <v>0</v>
      </c>
      <c r="I33" s="64" t="n">
        <v>0.0312527237989273</v>
      </c>
      <c r="J33" s="55" t="n">
        <f aca="false">SUM(C33:I33)</f>
        <v>1</v>
      </c>
      <c r="K33" s="65" t="s">
        <v>106</v>
      </c>
    </row>
    <row r="34" customFormat="false" ht="15" hidden="false" customHeight="false" outlineLevel="0" collapsed="false">
      <c r="B34" s="22" t="s">
        <v>77</v>
      </c>
      <c r="C34" s="64" t="n">
        <v>0.190345670777863</v>
      </c>
      <c r="D34" s="64" t="n">
        <v>0.363391707173384</v>
      </c>
      <c r="E34" s="64" t="n">
        <v>0.259684772953071</v>
      </c>
      <c r="F34" s="64" t="n">
        <v>0.138172789167467</v>
      </c>
      <c r="G34" s="64" t="n">
        <v>0.0286637477132683</v>
      </c>
      <c r="H34" s="64" t="n">
        <v>0</v>
      </c>
      <c r="I34" s="64" t="n">
        <v>0.0197413122149468</v>
      </c>
      <c r="J34" s="66" t="n">
        <f aca="false">SUM(C34:I34)</f>
        <v>1</v>
      </c>
      <c r="K34" s="67" t="s">
        <v>108</v>
      </c>
    </row>
    <row r="35" customFormat="false" ht="15" hidden="false" customHeight="false" outlineLevel="0" collapsed="false">
      <c r="B35" s="9" t="s">
        <v>79</v>
      </c>
      <c r="C35" s="64" t="n">
        <v>0.264803216793007</v>
      </c>
      <c r="D35" s="64" t="n">
        <v>0.221012541024967</v>
      </c>
      <c r="E35" s="64" t="n">
        <v>0.0824987831232787</v>
      </c>
      <c r="F35" s="64" t="n">
        <v>0.287417628678426</v>
      </c>
      <c r="G35" s="64" t="n">
        <v>0.115057319652497</v>
      </c>
      <c r="H35" s="64" t="n">
        <v>0</v>
      </c>
      <c r="I35" s="64" t="n">
        <v>0.0292105107278246</v>
      </c>
      <c r="J35" s="55" t="n">
        <f aca="false">SUM(C35:I35)</f>
        <v>1</v>
      </c>
      <c r="K35" s="65" t="s">
        <v>106</v>
      </c>
    </row>
    <row r="36" customFormat="false" ht="15" hidden="false" customHeight="false" outlineLevel="0" collapsed="false">
      <c r="B36" s="22" t="s">
        <v>81</v>
      </c>
      <c r="C36" s="64" t="n">
        <v>0.308134720085666</v>
      </c>
      <c r="D36" s="64" t="n">
        <v>0.337650405996941</v>
      </c>
      <c r="E36" s="64" t="n">
        <v>0.219336314001009</v>
      </c>
      <c r="F36" s="64" t="n">
        <v>0.0958414416349059</v>
      </c>
      <c r="G36" s="64" t="n">
        <v>0.0189483335476104</v>
      </c>
      <c r="H36" s="64" t="n">
        <v>0</v>
      </c>
      <c r="I36" s="64" t="n">
        <v>0.0200887847338682</v>
      </c>
      <c r="J36" s="66" t="n">
        <f aca="false">SUM(C36:I36)</f>
        <v>1</v>
      </c>
      <c r="K36" s="67" t="s">
        <v>108</v>
      </c>
    </row>
    <row r="37" customFormat="false" ht="15" hidden="false" customHeight="false" outlineLevel="0" collapsed="false">
      <c r="B37" s="9" t="s">
        <v>83</v>
      </c>
      <c r="C37" s="64" t="n">
        <v>0.298511470745587</v>
      </c>
      <c r="D37" s="64" t="n">
        <v>0.333230851180981</v>
      </c>
      <c r="E37" s="64" t="n">
        <v>0.157523516910912</v>
      </c>
      <c r="F37" s="64" t="n">
        <v>0.0637361144070275</v>
      </c>
      <c r="G37" s="64" t="n">
        <v>0.110111240431872</v>
      </c>
      <c r="H37" s="64" t="n">
        <v>0</v>
      </c>
      <c r="I37" s="64" t="n">
        <v>0.0368868063236213</v>
      </c>
      <c r="J37" s="55" t="n">
        <f aca="false">SUM(C37:I37)</f>
        <v>1</v>
      </c>
      <c r="K37" s="65" t="s">
        <v>105</v>
      </c>
    </row>
    <row r="38" customFormat="false" ht="15" hidden="false" customHeight="false" outlineLevel="0" collapsed="false">
      <c r="B38" s="22" t="s">
        <v>84</v>
      </c>
      <c r="C38" s="64" t="n">
        <v>0.271148634456602</v>
      </c>
      <c r="D38" s="64" t="n">
        <v>0.331901421340883</v>
      </c>
      <c r="E38" s="64" t="n">
        <v>0.153296548225898</v>
      </c>
      <c r="F38" s="64" t="n">
        <v>0.109386550117321</v>
      </c>
      <c r="G38" s="64" t="n">
        <v>0.109610340087339</v>
      </c>
      <c r="H38" s="64" t="n">
        <v>0</v>
      </c>
      <c r="I38" s="64" t="n">
        <v>0.0246565057719576</v>
      </c>
      <c r="J38" s="66" t="n">
        <f aca="false">SUM(C38:I38)</f>
        <v>1</v>
      </c>
      <c r="K38" s="67" t="s">
        <v>110</v>
      </c>
    </row>
    <row r="39" customFormat="false" ht="15" hidden="false" customHeight="false" outlineLevel="0" collapsed="false">
      <c r="B39" s="9" t="s">
        <v>86</v>
      </c>
      <c r="C39" s="64" t="n">
        <v>0.66081137951783</v>
      </c>
      <c r="D39" s="64" t="n">
        <v>0.108625964134069</v>
      </c>
      <c r="E39" s="64" t="n">
        <v>0.0607274201440266</v>
      </c>
      <c r="F39" s="64" t="n">
        <v>0.113239529212616</v>
      </c>
      <c r="G39" s="64" t="n">
        <v>0.0282097556560913</v>
      </c>
      <c r="H39" s="64" t="n">
        <v>0</v>
      </c>
      <c r="I39" s="64" t="n">
        <v>0.0283859513353674</v>
      </c>
      <c r="J39" s="55" t="n">
        <f aca="false">SUM(C39:I39)</f>
        <v>1</v>
      </c>
      <c r="K39" s="65" t="s">
        <v>86</v>
      </c>
    </row>
    <row r="40" customFormat="false" ht="15" hidden="false" customHeight="false" outlineLevel="0" collapsed="false">
      <c r="B40" s="22" t="s">
        <v>88</v>
      </c>
      <c r="C40" s="64" t="n">
        <v>0.133671254704234</v>
      </c>
      <c r="D40" s="64" t="n">
        <v>0.347034478337249</v>
      </c>
      <c r="E40" s="64" t="n">
        <v>0.0320877794870076</v>
      </c>
      <c r="F40" s="64" t="n">
        <v>0.109709593209499</v>
      </c>
      <c r="G40" s="64" t="n">
        <v>0.0331714822394078</v>
      </c>
      <c r="H40" s="64" t="n">
        <v>0.329089571999617</v>
      </c>
      <c r="I40" s="64" t="n">
        <v>0.0152358400229855</v>
      </c>
      <c r="J40" s="66" t="n">
        <f aca="false">SUM(C40:I40)</f>
        <v>1</v>
      </c>
      <c r="K40" s="67" t="s">
        <v>88</v>
      </c>
    </row>
    <row r="42" customFormat="false" ht="15" hidden="false" customHeight="false" outlineLevel="0" collapsed="false">
      <c r="B42" s="3" t="s">
        <v>111</v>
      </c>
      <c r="C42" s="3"/>
      <c r="D42" s="3"/>
      <c r="E42" s="3"/>
      <c r="F42" s="3"/>
      <c r="G42" s="3"/>
      <c r="H42" s="3"/>
      <c r="I42" s="3"/>
      <c r="J42" s="3"/>
      <c r="K42" s="3"/>
    </row>
    <row r="43" customFormat="false" ht="15" hidden="false" customHeight="false" outlineLevel="0" collapsed="false">
      <c r="B43" s="6" t="s">
        <v>112</v>
      </c>
      <c r="C43" s="68" t="n">
        <v>0.75</v>
      </c>
      <c r="D43" s="68" t="n">
        <v>0.62</v>
      </c>
      <c r="E43" s="68" t="n">
        <v>0.6</v>
      </c>
      <c r="F43" s="68" t="n">
        <v>0.5</v>
      </c>
      <c r="G43" s="68" t="n">
        <v>0.55</v>
      </c>
      <c r="H43" s="68" t="n">
        <v>0.48</v>
      </c>
      <c r="I43" s="68" t="n">
        <v>0.52</v>
      </c>
    </row>
    <row r="44" customFormat="false" ht="15" hidden="false" customHeight="false" outlineLevel="0" collapsed="false">
      <c r="B44" s="36" t="s">
        <v>113</v>
      </c>
      <c r="C44" s="69" t="n">
        <v>0.248847926267281</v>
      </c>
      <c r="D44" s="69" t="n">
        <v>0.263636363636364</v>
      </c>
      <c r="E44" s="69" t="n">
        <v>0.0875912408759124</v>
      </c>
      <c r="F44" s="69" t="n">
        <v>0.19811320754717</v>
      </c>
      <c r="G44" s="69" t="n">
        <v>0.192660550458716</v>
      </c>
      <c r="H44" s="69" t="n">
        <v>0.0363636363636364</v>
      </c>
      <c r="I44" s="69" t="n">
        <v>0.190476190476191</v>
      </c>
    </row>
    <row r="45" customFormat="false" ht="15" hidden="false" customHeight="false" outlineLevel="0" collapsed="false">
      <c r="B45" s="38" t="s">
        <v>114</v>
      </c>
      <c r="C45" s="70" t="n">
        <v>0.267281105990783</v>
      </c>
      <c r="D45" s="70" t="n">
        <v>0.190909090909091</v>
      </c>
      <c r="E45" s="70" t="n">
        <v>0.681265206812652</v>
      </c>
      <c r="F45" s="70" t="n">
        <v>0.424528301886793</v>
      </c>
      <c r="G45" s="70" t="n">
        <v>0.302752293577982</v>
      </c>
      <c r="H45" s="70" t="n">
        <v>0.145454545454545</v>
      </c>
      <c r="I45" s="70" t="n">
        <v>0.380952380952381</v>
      </c>
    </row>
    <row r="46" customFormat="false" ht="15" hidden="false" customHeight="false" outlineLevel="0" collapsed="false">
      <c r="B46" s="40" t="s">
        <v>115</v>
      </c>
      <c r="C46" s="71" t="n">
        <v>0.276497695852535</v>
      </c>
      <c r="D46" s="71" t="n">
        <v>0.0818181818181818</v>
      </c>
      <c r="E46" s="71" t="n">
        <v>0.116788321167883</v>
      </c>
      <c r="F46" s="71" t="n">
        <v>0.141509433962264</v>
      </c>
      <c r="G46" s="71" t="n">
        <v>0.311926605504587</v>
      </c>
      <c r="H46" s="71" t="n">
        <v>0.0272727272727273</v>
      </c>
      <c r="I46" s="71" t="n">
        <v>0.2</v>
      </c>
    </row>
    <row r="47" customFormat="false" ht="15" hidden="false" customHeight="false" outlineLevel="0" collapsed="false">
      <c r="B47" s="6" t="s">
        <v>116</v>
      </c>
      <c r="C47" s="68" t="n">
        <v>0.110599078341014</v>
      </c>
      <c r="D47" s="68" t="n">
        <v>0.354545454545455</v>
      </c>
      <c r="E47" s="68" t="n">
        <v>0.0681265206812652</v>
      </c>
      <c r="F47" s="68" t="n">
        <v>0.160377358490566</v>
      </c>
      <c r="G47" s="68" t="n">
        <v>0.0917431192660551</v>
      </c>
      <c r="H47" s="68" t="n">
        <v>0.0454545454545455</v>
      </c>
      <c r="I47" s="68" t="n">
        <v>0.142857142857143</v>
      </c>
    </row>
    <row r="48" customFormat="false" ht="15" hidden="false" customHeight="false" outlineLevel="0" collapsed="false">
      <c r="B48" s="43" t="s">
        <v>117</v>
      </c>
      <c r="C48" s="72" t="n">
        <v>0.0967741935483871</v>
      </c>
      <c r="D48" s="72" t="n">
        <v>0.109090909090909</v>
      </c>
      <c r="E48" s="72" t="n">
        <v>0.0462287104622871</v>
      </c>
      <c r="F48" s="72" t="n">
        <v>0.0754716981132075</v>
      </c>
      <c r="G48" s="72" t="n">
        <v>0.100917431192661</v>
      </c>
      <c r="H48" s="72" t="n">
        <v>0.0909090909090909</v>
      </c>
      <c r="I48" s="72" t="n">
        <v>0.0857142857142857</v>
      </c>
    </row>
    <row r="49" customFormat="false" ht="15" hidden="false" customHeight="false" outlineLevel="0" collapsed="false">
      <c r="B49" s="45" t="s">
        <v>118</v>
      </c>
      <c r="C49" s="73" t="n">
        <v>0</v>
      </c>
      <c r="D49" s="73" t="n">
        <v>0</v>
      </c>
      <c r="E49" s="73" t="n">
        <v>0</v>
      </c>
      <c r="F49" s="73" t="n">
        <v>0</v>
      </c>
      <c r="G49" s="73" t="n">
        <v>0</v>
      </c>
      <c r="H49" s="73" t="n">
        <v>0.654545454545454</v>
      </c>
      <c r="I49" s="73" t="n">
        <v>0</v>
      </c>
    </row>
    <row r="50" customFormat="false" ht="15" hidden="false" customHeight="false" outlineLevel="0" collapsed="false">
      <c r="B50" s="74" t="s">
        <v>119</v>
      </c>
      <c r="C50" s="75" t="n">
        <f aca="false">SUM(C44:C49)</f>
        <v>1</v>
      </c>
      <c r="D50" s="75" t="n">
        <f aca="false">SUM(D44:D49)</f>
        <v>1</v>
      </c>
      <c r="E50" s="75" t="n">
        <f aca="false">SUM(E44:E49)</f>
        <v>1</v>
      </c>
      <c r="F50" s="75" t="n">
        <f aca="false">SUM(F44:F49)</f>
        <v>1</v>
      </c>
      <c r="G50" s="75" t="n">
        <f aca="false">SUM(G44:G49)</f>
        <v>1</v>
      </c>
      <c r="H50" s="75" t="n">
        <f aca="false">SUM(H44:H49)</f>
        <v>1</v>
      </c>
      <c r="I50" s="75" t="n">
        <f aca="false">SUM(I44:I49)</f>
        <v>1</v>
      </c>
    </row>
  </sheetData>
  <mergeCells count="3">
    <mergeCell ref="B1:K1"/>
    <mergeCell ref="B2:K2"/>
    <mergeCell ref="B42:K42"/>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T4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2" ySplit="4" topLeftCell="C5" activePane="bottomRight" state="frozen"/>
      <selection pane="topLeft" activeCell="A1" activeCellId="0" sqref="A1"/>
      <selection pane="topRight" activeCell="C1" activeCellId="0" sqref="C1"/>
      <selection pane="bottomLeft" activeCell="A5" activeCellId="0" sqref="A5"/>
      <selection pane="bottomRight" activeCell="A1" activeCellId="0" sqref="A1"/>
    </sheetView>
  </sheetViews>
  <sheetFormatPr defaultColWidth="8.6796875" defaultRowHeight="15" zeroHeight="false" outlineLevelRow="0" outlineLevelCol="0"/>
  <cols>
    <col collapsed="false" customWidth="true" hidden="false" outlineLevel="0" max="1" min="1" style="0" width="2"/>
    <col collapsed="false" customWidth="true" hidden="false" outlineLevel="0" max="2" min="2" style="0" width="20"/>
    <col collapsed="false" customWidth="true" hidden="false" outlineLevel="0" max="20" min="3" style="0" width="5"/>
  </cols>
  <sheetData>
    <row r="1" customFormat="false" ht="25.5" hidden="false" customHeight="true" outlineLevel="0" collapsed="false">
      <c r="B1" s="62" t="s">
        <v>120</v>
      </c>
      <c r="C1" s="62"/>
      <c r="D1" s="62"/>
      <c r="E1" s="62"/>
      <c r="F1" s="62"/>
      <c r="G1" s="62"/>
      <c r="H1" s="62"/>
      <c r="I1" s="62"/>
      <c r="J1" s="62"/>
      <c r="K1" s="62"/>
      <c r="L1" s="62"/>
      <c r="M1" s="62"/>
      <c r="N1" s="62"/>
      <c r="O1" s="62"/>
      <c r="P1" s="62"/>
      <c r="Q1" s="62"/>
      <c r="R1" s="62"/>
      <c r="S1" s="62"/>
      <c r="T1" s="62"/>
    </row>
    <row r="2" customFormat="false" ht="22.35" hidden="false" customHeight="true" outlineLevel="0" collapsed="false">
      <c r="B2" s="63" t="s">
        <v>121</v>
      </c>
      <c r="C2" s="63"/>
      <c r="D2" s="63"/>
      <c r="E2" s="63"/>
      <c r="F2" s="63"/>
      <c r="G2" s="63"/>
      <c r="H2" s="63"/>
      <c r="I2" s="63"/>
      <c r="J2" s="63"/>
      <c r="K2" s="63"/>
      <c r="L2" s="63"/>
      <c r="M2" s="63"/>
      <c r="N2" s="63"/>
      <c r="O2" s="63"/>
      <c r="P2" s="63"/>
      <c r="Q2" s="63"/>
      <c r="R2" s="63"/>
      <c r="S2" s="63"/>
      <c r="T2" s="63"/>
    </row>
    <row r="3" customFormat="false" ht="15" hidden="false" customHeight="false" outlineLevel="0" collapsed="false">
      <c r="B3" s="76"/>
      <c r="C3" s="77" t="s">
        <v>122</v>
      </c>
      <c r="D3" s="77"/>
      <c r="E3" s="77"/>
      <c r="F3" s="77"/>
      <c r="G3" s="77"/>
      <c r="H3" s="77"/>
      <c r="I3" s="77" t="s">
        <v>123</v>
      </c>
      <c r="J3" s="77"/>
      <c r="K3" s="77"/>
      <c r="L3" s="77"/>
      <c r="M3" s="77"/>
      <c r="N3" s="77"/>
      <c r="O3" s="77" t="s">
        <v>124</v>
      </c>
      <c r="P3" s="77"/>
      <c r="Q3" s="77"/>
      <c r="R3" s="77"/>
      <c r="S3" s="77"/>
      <c r="T3" s="77"/>
    </row>
    <row r="4" customFormat="false" ht="15" hidden="false" customHeight="false" outlineLevel="0" collapsed="false">
      <c r="B4" s="78" t="s">
        <v>4</v>
      </c>
      <c r="C4" s="79" t="s">
        <v>125</v>
      </c>
      <c r="D4" s="79" t="s">
        <v>126</v>
      </c>
      <c r="E4" s="79" t="s">
        <v>127</v>
      </c>
      <c r="F4" s="79" t="s">
        <v>128</v>
      </c>
      <c r="G4" s="79" t="s">
        <v>129</v>
      </c>
      <c r="H4" s="79" t="s">
        <v>130</v>
      </c>
      <c r="I4" s="79" t="s">
        <v>125</v>
      </c>
      <c r="J4" s="79" t="s">
        <v>126</v>
      </c>
      <c r="K4" s="79" t="s">
        <v>127</v>
      </c>
      <c r="L4" s="79" t="s">
        <v>128</v>
      </c>
      <c r="M4" s="79" t="s">
        <v>129</v>
      </c>
      <c r="N4" s="79" t="s">
        <v>130</v>
      </c>
      <c r="O4" s="79" t="s">
        <v>125</v>
      </c>
      <c r="P4" s="79" t="s">
        <v>126</v>
      </c>
      <c r="Q4" s="79" t="s">
        <v>127</v>
      </c>
      <c r="R4" s="79" t="s">
        <v>128</v>
      </c>
      <c r="S4" s="79" t="s">
        <v>129</v>
      </c>
      <c r="T4" s="79" t="s">
        <v>130</v>
      </c>
    </row>
    <row r="5" customFormat="false" ht="15" hidden="false" customHeight="false" outlineLevel="0" collapsed="false">
      <c r="B5" s="9" t="s">
        <v>31</v>
      </c>
      <c r="C5" s="80" t="n">
        <v>0.302645923036857</v>
      </c>
      <c r="D5" s="81" t="n">
        <v>0.269013243415207</v>
      </c>
      <c r="E5" s="82" t="n">
        <v>0.198977275915122</v>
      </c>
      <c r="F5" s="83" t="n">
        <v>0.122347260391488</v>
      </c>
      <c r="G5" s="84" t="n">
        <v>0.107016297241326</v>
      </c>
      <c r="H5" s="85" t="n">
        <v>0</v>
      </c>
      <c r="I5" s="80" t="n">
        <v>0.409208829691935</v>
      </c>
      <c r="J5" s="81" t="n">
        <v>0.135329423857942</v>
      </c>
      <c r="K5" s="82" t="n">
        <v>0.204948527965485</v>
      </c>
      <c r="L5" s="83" t="n">
        <v>0.156739628627229</v>
      </c>
      <c r="M5" s="84" t="n">
        <v>0.0937735898574089</v>
      </c>
      <c r="N5" s="85" t="n">
        <v>0</v>
      </c>
      <c r="O5" s="80" t="n">
        <v>0.246246654245469</v>
      </c>
      <c r="P5" s="81" t="n">
        <v>0.303202902153316</v>
      </c>
      <c r="Q5" s="82" t="n">
        <v>0.220291941683056</v>
      </c>
      <c r="R5" s="83" t="n">
        <v>0.136908880847204</v>
      </c>
      <c r="S5" s="84" t="n">
        <v>0.0933496210709556</v>
      </c>
      <c r="T5" s="85" t="n">
        <v>0</v>
      </c>
    </row>
    <row r="6" customFormat="false" ht="15" hidden="false" customHeight="false" outlineLevel="0" collapsed="false">
      <c r="B6" s="22" t="s">
        <v>34</v>
      </c>
      <c r="C6" s="86" t="n">
        <v>0.279049799468189</v>
      </c>
      <c r="D6" s="87" t="n">
        <v>0.265981772891019</v>
      </c>
      <c r="E6" s="88" t="n">
        <v>0.253950329948129</v>
      </c>
      <c r="F6" s="89" t="n">
        <v>0.0808736218086284</v>
      </c>
      <c r="G6" s="90" t="n">
        <v>0.120144475884035</v>
      </c>
      <c r="H6" s="91" t="n">
        <v>0</v>
      </c>
      <c r="I6" s="86" t="n">
        <v>0.350493570654753</v>
      </c>
      <c r="J6" s="87" t="n">
        <v>0.165257051504692</v>
      </c>
      <c r="K6" s="88" t="n">
        <v>0.229251175487956</v>
      </c>
      <c r="L6" s="89" t="n">
        <v>0.131726437110807</v>
      </c>
      <c r="M6" s="90" t="n">
        <v>0.123271765241791</v>
      </c>
      <c r="N6" s="91" t="n">
        <v>0</v>
      </c>
      <c r="O6" s="86" t="n">
        <v>0.222010077649606</v>
      </c>
      <c r="P6" s="87" t="n">
        <v>0.310735918239073</v>
      </c>
      <c r="Q6" s="88" t="n">
        <v>0.25833548867508</v>
      </c>
      <c r="R6" s="89" t="n">
        <v>0.0870755003645977</v>
      </c>
      <c r="S6" s="90" t="n">
        <v>0.121843015071643</v>
      </c>
      <c r="T6" s="91" t="n">
        <v>0</v>
      </c>
    </row>
    <row r="7" customFormat="false" ht="15" hidden="false" customHeight="false" outlineLevel="0" collapsed="false">
      <c r="B7" s="9" t="s">
        <v>37</v>
      </c>
      <c r="C7" s="80" t="n">
        <v>0.346354861337689</v>
      </c>
      <c r="D7" s="81" t="n">
        <v>0.2720971548956</v>
      </c>
      <c r="E7" s="82" t="n">
        <v>0.183153416846346</v>
      </c>
      <c r="F7" s="83" t="n">
        <v>0.11434712405573</v>
      </c>
      <c r="G7" s="84" t="n">
        <v>0.0840474428646353</v>
      </c>
      <c r="H7" s="85" t="n">
        <v>0</v>
      </c>
      <c r="I7" s="80" t="n">
        <v>0.42305033543477</v>
      </c>
      <c r="J7" s="81" t="n">
        <v>0.150168918867341</v>
      </c>
      <c r="K7" s="82" t="n">
        <v>0.174186530829495</v>
      </c>
      <c r="L7" s="83" t="n">
        <v>0.174243166112274</v>
      </c>
      <c r="M7" s="84" t="n">
        <v>0.0783510487561207</v>
      </c>
      <c r="N7" s="85" t="n">
        <v>0</v>
      </c>
      <c r="O7" s="80" t="n">
        <v>0.274242066958588</v>
      </c>
      <c r="P7" s="81" t="n">
        <v>0.321833000704349</v>
      </c>
      <c r="Q7" s="82" t="n">
        <v>0.189998266402236</v>
      </c>
      <c r="R7" s="83" t="n">
        <v>0.120713985020512</v>
      </c>
      <c r="S7" s="84" t="n">
        <v>0.0932126809143153</v>
      </c>
      <c r="T7" s="85" t="n">
        <v>0</v>
      </c>
    </row>
    <row r="8" customFormat="false" ht="15" hidden="false" customHeight="false" outlineLevel="0" collapsed="false">
      <c r="B8" s="22" t="s">
        <v>40</v>
      </c>
      <c r="C8" s="86" t="n">
        <v>0.279319654194555</v>
      </c>
      <c r="D8" s="87" t="n">
        <v>0.282561151759225</v>
      </c>
      <c r="E8" s="88" t="n">
        <v>0.230414464103471</v>
      </c>
      <c r="F8" s="89" t="n">
        <v>0.118395873198302</v>
      </c>
      <c r="G8" s="90" t="n">
        <v>0.0893088567444469</v>
      </c>
      <c r="H8" s="91" t="n">
        <v>0</v>
      </c>
      <c r="I8" s="86" t="n">
        <v>0.343264625164851</v>
      </c>
      <c r="J8" s="87" t="n">
        <v>0.167795370900232</v>
      </c>
      <c r="K8" s="88" t="n">
        <v>0.207174141554852</v>
      </c>
      <c r="L8" s="89" t="n">
        <v>0.183639560538824</v>
      </c>
      <c r="M8" s="90" t="n">
        <v>0.0981263018412415</v>
      </c>
      <c r="N8" s="91" t="n">
        <v>0</v>
      </c>
      <c r="O8" s="86" t="n">
        <v>0.246654915654471</v>
      </c>
      <c r="P8" s="87" t="n">
        <v>0.333134709409014</v>
      </c>
      <c r="Q8" s="88" t="n">
        <v>0.226624620893225</v>
      </c>
      <c r="R8" s="89" t="n">
        <v>0.114797830463059</v>
      </c>
      <c r="S8" s="90" t="n">
        <v>0.0787879235802316</v>
      </c>
      <c r="T8" s="91" t="n">
        <v>0</v>
      </c>
    </row>
    <row r="9" customFormat="false" ht="15" hidden="false" customHeight="false" outlineLevel="0" collapsed="false">
      <c r="B9" s="9" t="s">
        <v>43</v>
      </c>
      <c r="C9" s="80" t="n">
        <v>0.444135030572997</v>
      </c>
      <c r="D9" s="81" t="n">
        <v>0.134132005438361</v>
      </c>
      <c r="E9" s="82" t="n">
        <v>0.102866491817883</v>
      </c>
      <c r="F9" s="83" t="n">
        <v>0.211155638753318</v>
      </c>
      <c r="G9" s="84" t="n">
        <v>0.107710833417441</v>
      </c>
      <c r="H9" s="85" t="n">
        <v>0</v>
      </c>
      <c r="I9" s="80" t="n">
        <v>0.512575252187375</v>
      </c>
      <c r="J9" s="81" t="n">
        <v>0.0506079339218986</v>
      </c>
      <c r="K9" s="82" t="n">
        <v>0.0873686371489659</v>
      </c>
      <c r="L9" s="83" t="n">
        <v>0.258576899485195</v>
      </c>
      <c r="M9" s="84" t="n">
        <v>0.0908712772565658</v>
      </c>
      <c r="N9" s="85" t="n">
        <v>0</v>
      </c>
      <c r="O9" s="80" t="n">
        <v>0.37014224969656</v>
      </c>
      <c r="P9" s="81" t="n">
        <v>0.145854076537344</v>
      </c>
      <c r="Q9" s="82" t="n">
        <v>0.109274175805928</v>
      </c>
      <c r="R9" s="83" t="n">
        <v>0.251826574833189</v>
      </c>
      <c r="S9" s="84" t="n">
        <v>0.122902923126979</v>
      </c>
      <c r="T9" s="85" t="n">
        <v>0</v>
      </c>
    </row>
    <row r="10" customFormat="false" ht="15" hidden="false" customHeight="false" outlineLevel="0" collapsed="false">
      <c r="B10" s="22" t="s">
        <v>46</v>
      </c>
      <c r="C10" s="86" t="n">
        <v>0.428408069893831</v>
      </c>
      <c r="D10" s="87" t="n">
        <v>0.173532095334647</v>
      </c>
      <c r="E10" s="88" t="n">
        <v>0.128582607697736</v>
      </c>
      <c r="F10" s="89" t="n">
        <v>0.173958493423456</v>
      </c>
      <c r="G10" s="90" t="n">
        <v>0.0955187336503306</v>
      </c>
      <c r="H10" s="91" t="n">
        <v>0</v>
      </c>
      <c r="I10" s="86" t="n">
        <v>0.47380748427449</v>
      </c>
      <c r="J10" s="87" t="n">
        <v>0.0698657674901899</v>
      </c>
      <c r="K10" s="88" t="n">
        <v>0.103729306254613</v>
      </c>
      <c r="L10" s="89" t="n">
        <v>0.269978659569784</v>
      </c>
      <c r="M10" s="90" t="n">
        <v>0.0826187824109241</v>
      </c>
      <c r="N10" s="91" t="n">
        <v>0</v>
      </c>
      <c r="O10" s="86" t="n">
        <v>0.325306712852501</v>
      </c>
      <c r="P10" s="87" t="n">
        <v>0.209018445951908</v>
      </c>
      <c r="Q10" s="88" t="n">
        <v>0.146375626644532</v>
      </c>
      <c r="R10" s="89" t="n">
        <v>0.220380457930646</v>
      </c>
      <c r="S10" s="90" t="n">
        <v>0.0989187566204139</v>
      </c>
      <c r="T10" s="91" t="n">
        <v>0</v>
      </c>
    </row>
    <row r="11" customFormat="false" ht="15" hidden="false" customHeight="false" outlineLevel="0" collapsed="false">
      <c r="B11" s="9" t="s">
        <v>47</v>
      </c>
      <c r="C11" s="80" t="n">
        <v>0.33159027006877</v>
      </c>
      <c r="D11" s="81" t="n">
        <v>0.24523453531803</v>
      </c>
      <c r="E11" s="82" t="n">
        <v>0.153819418428279</v>
      </c>
      <c r="F11" s="83" t="n">
        <v>0.173412286993601</v>
      </c>
      <c r="G11" s="84" t="n">
        <v>0.0959434891913209</v>
      </c>
      <c r="H11" s="85" t="n">
        <v>0</v>
      </c>
      <c r="I11" s="80" t="n">
        <v>0.419505018516825</v>
      </c>
      <c r="J11" s="81" t="n">
        <v>0.111601268916323</v>
      </c>
      <c r="K11" s="82" t="n">
        <v>0.142089289976869</v>
      </c>
      <c r="L11" s="83" t="n">
        <v>0.235616813669074</v>
      </c>
      <c r="M11" s="84" t="n">
        <v>0.0911876089209094</v>
      </c>
      <c r="N11" s="85" t="n">
        <v>0</v>
      </c>
      <c r="O11" s="80" t="n">
        <v>0.307378843888399</v>
      </c>
      <c r="P11" s="81" t="n">
        <v>0.242275257676147</v>
      </c>
      <c r="Q11" s="82" t="n">
        <v>0.169375858162855</v>
      </c>
      <c r="R11" s="83" t="n">
        <v>0.187838062312625</v>
      </c>
      <c r="S11" s="84" t="n">
        <v>0.0931319779599756</v>
      </c>
      <c r="T11" s="85" t="n">
        <v>0</v>
      </c>
    </row>
    <row r="12" customFormat="false" ht="15" hidden="false" customHeight="false" outlineLevel="0" collapsed="false">
      <c r="B12" s="22" t="s">
        <v>49</v>
      </c>
      <c r="C12" s="86" t="n">
        <v>0.341506428715525</v>
      </c>
      <c r="D12" s="87" t="n">
        <v>0.236112506075976</v>
      </c>
      <c r="E12" s="88" t="n">
        <v>0.171342852013605</v>
      </c>
      <c r="F12" s="89" t="n">
        <v>0.150162924102031</v>
      </c>
      <c r="G12" s="90" t="n">
        <v>0.100875289092863</v>
      </c>
      <c r="H12" s="91" t="n">
        <v>0</v>
      </c>
      <c r="I12" s="86" t="n">
        <v>0.430683893034049</v>
      </c>
      <c r="J12" s="87" t="n">
        <v>0.121067443962058</v>
      </c>
      <c r="K12" s="88" t="n">
        <v>0.130561168206755</v>
      </c>
      <c r="L12" s="89" t="n">
        <v>0.221963119921725</v>
      </c>
      <c r="M12" s="90" t="n">
        <v>0.0957243748754147</v>
      </c>
      <c r="N12" s="91" t="n">
        <v>0</v>
      </c>
      <c r="O12" s="86" t="n">
        <v>0.289676471866604</v>
      </c>
      <c r="P12" s="87" t="n">
        <v>0.272975736851314</v>
      </c>
      <c r="Q12" s="88" t="n">
        <v>0.150771376890217</v>
      </c>
      <c r="R12" s="89" t="n">
        <v>0.185498159322769</v>
      </c>
      <c r="S12" s="90" t="n">
        <v>0.101078255069096</v>
      </c>
      <c r="T12" s="91" t="n">
        <v>0</v>
      </c>
    </row>
    <row r="13" customFormat="false" ht="15" hidden="false" customHeight="false" outlineLevel="0" collapsed="false">
      <c r="B13" s="9" t="s">
        <v>51</v>
      </c>
      <c r="C13" s="80" t="n">
        <v>0.377020318897612</v>
      </c>
      <c r="D13" s="81" t="n">
        <v>0.147250014362437</v>
      </c>
      <c r="E13" s="82" t="n">
        <v>0.121640628872596</v>
      </c>
      <c r="F13" s="83" t="n">
        <v>0.239879257252494</v>
      </c>
      <c r="G13" s="84" t="n">
        <v>0.114209780614862</v>
      </c>
      <c r="H13" s="85" t="n">
        <v>0</v>
      </c>
      <c r="I13" s="80" t="n">
        <v>0.439599008299186</v>
      </c>
      <c r="J13" s="81" t="n">
        <v>0.0702484994519503</v>
      </c>
      <c r="K13" s="82" t="n">
        <v>0.0875358817289498</v>
      </c>
      <c r="L13" s="83" t="n">
        <v>0.308170062114616</v>
      </c>
      <c r="M13" s="84" t="n">
        <v>0.0944465484052973</v>
      </c>
      <c r="N13" s="85" t="n">
        <v>0</v>
      </c>
      <c r="O13" s="80" t="n">
        <v>0.317611429616842</v>
      </c>
      <c r="P13" s="81" t="n">
        <v>0.168252373543655</v>
      </c>
      <c r="Q13" s="82" t="n">
        <v>0.121152757563889</v>
      </c>
      <c r="R13" s="83" t="n">
        <v>0.283865783176503</v>
      </c>
      <c r="S13" s="84" t="n">
        <v>0.109117656099111</v>
      </c>
      <c r="T13" s="85" t="n">
        <v>0</v>
      </c>
    </row>
    <row r="14" customFormat="false" ht="15" hidden="false" customHeight="false" outlineLevel="0" collapsed="false">
      <c r="B14" s="22" t="s">
        <v>53</v>
      </c>
      <c r="C14" s="86" t="n">
        <v>0.312480223719969</v>
      </c>
      <c r="D14" s="87" t="n">
        <v>0.278787368689117</v>
      </c>
      <c r="E14" s="88" t="n">
        <v>0.18748095482415</v>
      </c>
      <c r="F14" s="89" t="n">
        <v>0.135146594015448</v>
      </c>
      <c r="G14" s="90" t="n">
        <v>0.086104858751316</v>
      </c>
      <c r="H14" s="91" t="n">
        <v>0</v>
      </c>
      <c r="I14" s="86" t="n">
        <v>0.389760738680345</v>
      </c>
      <c r="J14" s="87" t="n">
        <v>0.152447226534216</v>
      </c>
      <c r="K14" s="88" t="n">
        <v>0.161971661163489</v>
      </c>
      <c r="L14" s="89" t="n">
        <v>0.206683577965144</v>
      </c>
      <c r="M14" s="90" t="n">
        <v>0.0891367956568066</v>
      </c>
      <c r="N14" s="91" t="n">
        <v>0</v>
      </c>
      <c r="O14" s="86" t="n">
        <v>0.233237075846193</v>
      </c>
      <c r="P14" s="87" t="n">
        <v>0.356316644950954</v>
      </c>
      <c r="Q14" s="88" t="n">
        <v>0.188257789281784</v>
      </c>
      <c r="R14" s="89" t="n">
        <v>0.137947997557319</v>
      </c>
      <c r="S14" s="90" t="n">
        <v>0.0842404923637497</v>
      </c>
      <c r="T14" s="91" t="n">
        <v>0</v>
      </c>
    </row>
    <row r="15" customFormat="false" ht="15" hidden="false" customHeight="false" outlineLevel="0" collapsed="false">
      <c r="B15" s="9" t="s">
        <v>54</v>
      </c>
      <c r="C15" s="80" t="n">
        <v>0.412561608269432</v>
      </c>
      <c r="D15" s="81" t="n">
        <v>0.248406897487349</v>
      </c>
      <c r="E15" s="82" t="n">
        <v>0.159419739893306</v>
      </c>
      <c r="F15" s="83" t="n">
        <v>0.102481823131462</v>
      </c>
      <c r="G15" s="84" t="n">
        <v>0.0771299312184518</v>
      </c>
      <c r="H15" s="85" t="n">
        <v>0</v>
      </c>
      <c r="I15" s="80" t="n">
        <v>0.53081630852881</v>
      </c>
      <c r="J15" s="81" t="n">
        <v>0.109393489929382</v>
      </c>
      <c r="K15" s="82" t="n">
        <v>0.144414454631485</v>
      </c>
      <c r="L15" s="83" t="n">
        <v>0.13909131564688</v>
      </c>
      <c r="M15" s="84" t="n">
        <v>0.0762844312634436</v>
      </c>
      <c r="N15" s="85" t="n">
        <v>0</v>
      </c>
      <c r="O15" s="80" t="n">
        <v>0.339935913444472</v>
      </c>
      <c r="P15" s="81" t="n">
        <v>0.293970916142222</v>
      </c>
      <c r="Q15" s="82" t="n">
        <v>0.167966856941727</v>
      </c>
      <c r="R15" s="83" t="n">
        <v>0.116161140533224</v>
      </c>
      <c r="S15" s="84" t="n">
        <v>0.0819651729383565</v>
      </c>
      <c r="T15" s="85" t="n">
        <v>0</v>
      </c>
    </row>
    <row r="16" customFormat="false" ht="15" hidden="false" customHeight="false" outlineLevel="0" collapsed="false">
      <c r="B16" s="22" t="s">
        <v>55</v>
      </c>
      <c r="C16" s="86" t="n">
        <v>0.357936212975221</v>
      </c>
      <c r="D16" s="87" t="n">
        <v>0.265610386840948</v>
      </c>
      <c r="E16" s="88" t="n">
        <v>0.192530916235264</v>
      </c>
      <c r="F16" s="89" t="n">
        <v>0.110122736121152</v>
      </c>
      <c r="G16" s="90" t="n">
        <v>0.0737997478274152</v>
      </c>
      <c r="H16" s="91" t="n">
        <v>0</v>
      </c>
      <c r="I16" s="86" t="n">
        <v>0.436669467450665</v>
      </c>
      <c r="J16" s="87" t="n">
        <v>0.127836178170254</v>
      </c>
      <c r="K16" s="88" t="n">
        <v>0.192249940826592</v>
      </c>
      <c r="L16" s="89" t="n">
        <v>0.151551649714818</v>
      </c>
      <c r="M16" s="90" t="n">
        <v>0.0916927638376708</v>
      </c>
      <c r="N16" s="91" t="n">
        <v>0</v>
      </c>
      <c r="O16" s="86" t="n">
        <v>0.279629995597371</v>
      </c>
      <c r="P16" s="87" t="n">
        <v>0.323090563409453</v>
      </c>
      <c r="Q16" s="88" t="n">
        <v>0.192936398695467</v>
      </c>
      <c r="R16" s="89" t="n">
        <v>0.127923023443535</v>
      </c>
      <c r="S16" s="90" t="n">
        <v>0.0764200188541749</v>
      </c>
      <c r="T16" s="91" t="n">
        <v>0</v>
      </c>
    </row>
    <row r="17" customFormat="false" ht="15" hidden="false" customHeight="false" outlineLevel="0" collapsed="false">
      <c r="B17" s="9" t="s">
        <v>56</v>
      </c>
      <c r="C17" s="80" t="n">
        <v>0.408337317810745</v>
      </c>
      <c r="D17" s="81" t="n">
        <v>0.239038343872111</v>
      </c>
      <c r="E17" s="82" t="n">
        <v>0.175817551746963</v>
      </c>
      <c r="F17" s="83" t="n">
        <v>0.0910675302791038</v>
      </c>
      <c r="G17" s="84" t="n">
        <v>0.0857392562910777</v>
      </c>
      <c r="H17" s="85" t="n">
        <v>0</v>
      </c>
      <c r="I17" s="80" t="n">
        <v>0.491505171563259</v>
      </c>
      <c r="J17" s="81" t="n">
        <v>0.120271420456326</v>
      </c>
      <c r="K17" s="82" t="n">
        <v>0.159798095412612</v>
      </c>
      <c r="L17" s="83" t="n">
        <v>0.147853276697395</v>
      </c>
      <c r="M17" s="84" t="n">
        <v>0.0805720358704091</v>
      </c>
      <c r="N17" s="85" t="n">
        <v>0</v>
      </c>
      <c r="O17" s="80" t="n">
        <v>0.316368276220037</v>
      </c>
      <c r="P17" s="81" t="n">
        <v>0.321677236178644</v>
      </c>
      <c r="Q17" s="82" t="n">
        <v>0.178571167522741</v>
      </c>
      <c r="R17" s="83" t="n">
        <v>0.101949606863193</v>
      </c>
      <c r="S17" s="84" t="n">
        <v>0.0814337132153856</v>
      </c>
      <c r="T17" s="85" t="n">
        <v>0</v>
      </c>
    </row>
    <row r="18" customFormat="false" ht="15" hidden="false" customHeight="false" outlineLevel="0" collapsed="false">
      <c r="B18" s="22" t="s">
        <v>57</v>
      </c>
      <c r="C18" s="86" t="n">
        <v>0.332503363380533</v>
      </c>
      <c r="D18" s="87" t="n">
        <v>0.231260326033352</v>
      </c>
      <c r="E18" s="88" t="n">
        <v>0.181244031413633</v>
      </c>
      <c r="F18" s="89" t="n">
        <v>0.159412776786698</v>
      </c>
      <c r="G18" s="90" t="n">
        <v>0.0955795023857846</v>
      </c>
      <c r="H18" s="91" t="n">
        <v>0</v>
      </c>
      <c r="I18" s="86" t="n">
        <v>0.38903565482703</v>
      </c>
      <c r="J18" s="87" t="n">
        <v>0.115562648273617</v>
      </c>
      <c r="K18" s="88" t="n">
        <v>0.177084036828114</v>
      </c>
      <c r="L18" s="89" t="n">
        <v>0.216202741082443</v>
      </c>
      <c r="M18" s="90" t="n">
        <v>0.102114918988796</v>
      </c>
      <c r="N18" s="91" t="n">
        <v>0</v>
      </c>
      <c r="O18" s="86" t="n">
        <v>0.258076185495237</v>
      </c>
      <c r="P18" s="87" t="n">
        <v>0.305454201080862</v>
      </c>
      <c r="Q18" s="88" t="n">
        <v>0.193314573548169</v>
      </c>
      <c r="R18" s="89" t="n">
        <v>0.160338735591233</v>
      </c>
      <c r="S18" s="90" t="n">
        <v>0.0828163042844995</v>
      </c>
      <c r="T18" s="91" t="n">
        <v>0</v>
      </c>
    </row>
    <row r="19" customFormat="false" ht="15" hidden="false" customHeight="false" outlineLevel="0" collapsed="false">
      <c r="B19" s="9" t="s">
        <v>58</v>
      </c>
      <c r="C19" s="80" t="n">
        <v>0.307974946999714</v>
      </c>
      <c r="D19" s="81" t="n">
        <v>0.290121457164295</v>
      </c>
      <c r="E19" s="82" t="n">
        <v>0.204991832087526</v>
      </c>
      <c r="F19" s="83" t="n">
        <v>0.10148450621167</v>
      </c>
      <c r="G19" s="84" t="n">
        <v>0.0954272575367952</v>
      </c>
      <c r="H19" s="85" t="n">
        <v>0</v>
      </c>
      <c r="I19" s="80" t="n">
        <v>0.417402798668105</v>
      </c>
      <c r="J19" s="81" t="n">
        <v>0.160524964232612</v>
      </c>
      <c r="K19" s="82" t="n">
        <v>0.173363751566474</v>
      </c>
      <c r="L19" s="83" t="n">
        <v>0.161274162455003</v>
      </c>
      <c r="M19" s="84" t="n">
        <v>0.0874343230778053</v>
      </c>
      <c r="N19" s="85" t="n">
        <v>0</v>
      </c>
      <c r="O19" s="80" t="n">
        <v>0.243393133007477</v>
      </c>
      <c r="P19" s="81" t="n">
        <v>0.36148347824195</v>
      </c>
      <c r="Q19" s="82" t="n">
        <v>0.202778902032097</v>
      </c>
      <c r="R19" s="83" t="n">
        <v>0.104953201848635</v>
      </c>
      <c r="S19" s="84" t="n">
        <v>0.0873912848698419</v>
      </c>
      <c r="T19" s="85" t="n">
        <v>0</v>
      </c>
    </row>
    <row r="20" customFormat="false" ht="15" hidden="false" customHeight="false" outlineLevel="0" collapsed="false">
      <c r="B20" s="22" t="s">
        <v>59</v>
      </c>
      <c r="C20" s="86" t="n">
        <v>0.416863534543493</v>
      </c>
      <c r="D20" s="87" t="n">
        <v>0.192063880224337</v>
      </c>
      <c r="E20" s="88" t="n">
        <v>0.116806399435459</v>
      </c>
      <c r="F20" s="89" t="n">
        <v>0.192062121298039</v>
      </c>
      <c r="G20" s="90" t="n">
        <v>0.0822040644986719</v>
      </c>
      <c r="H20" s="91" t="n">
        <v>0</v>
      </c>
      <c r="I20" s="86" t="n">
        <v>0.478199133721092</v>
      </c>
      <c r="J20" s="87" t="n">
        <v>0.101374340965628</v>
      </c>
      <c r="K20" s="88" t="n">
        <v>0.103114597646285</v>
      </c>
      <c r="L20" s="89" t="n">
        <v>0.231804220346759</v>
      </c>
      <c r="M20" s="90" t="n">
        <v>0.0855077073202359</v>
      </c>
      <c r="N20" s="91" t="n">
        <v>0</v>
      </c>
      <c r="O20" s="86" t="n">
        <v>0.325643637075838</v>
      </c>
      <c r="P20" s="87" t="n">
        <v>0.253642138657312</v>
      </c>
      <c r="Q20" s="88" t="n">
        <v>0.124800862312645</v>
      </c>
      <c r="R20" s="89" t="n">
        <v>0.211999116837448</v>
      </c>
      <c r="S20" s="90" t="n">
        <v>0.0839142451167565</v>
      </c>
      <c r="T20" s="91" t="n">
        <v>0</v>
      </c>
    </row>
    <row r="21" customFormat="false" ht="15" hidden="false" customHeight="false" outlineLevel="0" collapsed="false">
      <c r="B21" s="9" t="s">
        <v>60</v>
      </c>
      <c r="C21" s="80" t="n">
        <v>0.339120240475171</v>
      </c>
      <c r="D21" s="81" t="n">
        <v>0.273787134794778</v>
      </c>
      <c r="E21" s="82" t="n">
        <v>0.181472047887146</v>
      </c>
      <c r="F21" s="83" t="n">
        <v>0.125794512607113</v>
      </c>
      <c r="G21" s="84" t="n">
        <v>0.0798260642357922</v>
      </c>
      <c r="H21" s="85" t="n">
        <v>0</v>
      </c>
      <c r="I21" s="80" t="n">
        <v>0.404740128548485</v>
      </c>
      <c r="J21" s="81" t="n">
        <v>0.122475203848684</v>
      </c>
      <c r="K21" s="82" t="n">
        <v>0.163593843605393</v>
      </c>
      <c r="L21" s="83" t="n">
        <v>0.216414725587044</v>
      </c>
      <c r="M21" s="84" t="n">
        <v>0.092776098410394</v>
      </c>
      <c r="N21" s="85" t="n">
        <v>0</v>
      </c>
      <c r="O21" s="80" t="n">
        <v>0.269779772680813</v>
      </c>
      <c r="P21" s="81" t="n">
        <v>0.308477151706115</v>
      </c>
      <c r="Q21" s="82" t="n">
        <v>0.186625335608108</v>
      </c>
      <c r="R21" s="83" t="n">
        <v>0.155117290605406</v>
      </c>
      <c r="S21" s="84" t="n">
        <v>0.0800004493995581</v>
      </c>
      <c r="T21" s="85" t="n">
        <v>0</v>
      </c>
    </row>
    <row r="22" customFormat="false" ht="15" hidden="false" customHeight="false" outlineLevel="0" collapsed="false">
      <c r="B22" s="22" t="s">
        <v>61</v>
      </c>
      <c r="C22" s="86" t="n">
        <v>0.397309581587917</v>
      </c>
      <c r="D22" s="87" t="n">
        <v>0.130967851917713</v>
      </c>
      <c r="E22" s="88" t="n">
        <v>0.107262485755682</v>
      </c>
      <c r="F22" s="89" t="n">
        <v>0.248247505453684</v>
      </c>
      <c r="G22" s="90" t="n">
        <v>0.116212575285004</v>
      </c>
      <c r="H22" s="91" t="n">
        <v>0</v>
      </c>
      <c r="I22" s="86" t="n">
        <v>0.447142502962487</v>
      </c>
      <c r="J22" s="87" t="n">
        <v>0.0501064422372416</v>
      </c>
      <c r="K22" s="88" t="n">
        <v>0.0832387304002307</v>
      </c>
      <c r="L22" s="89" t="n">
        <v>0.331397350913038</v>
      </c>
      <c r="M22" s="90" t="n">
        <v>0.0881149734870033</v>
      </c>
      <c r="N22" s="91" t="n">
        <v>0</v>
      </c>
      <c r="O22" s="86" t="n">
        <v>0.364128731938821</v>
      </c>
      <c r="P22" s="87" t="n">
        <v>0.150439023986875</v>
      </c>
      <c r="Q22" s="88" t="n">
        <v>0.109655711158042</v>
      </c>
      <c r="R22" s="89" t="n">
        <v>0.271659341226246</v>
      </c>
      <c r="S22" s="90" t="n">
        <v>0.104117191690017</v>
      </c>
      <c r="T22" s="91" t="n">
        <v>0</v>
      </c>
    </row>
    <row r="23" customFormat="false" ht="15" hidden="false" customHeight="false" outlineLevel="0" collapsed="false">
      <c r="B23" s="9" t="s">
        <v>63</v>
      </c>
      <c r="C23" s="80" t="n">
        <v>0.321525485673785</v>
      </c>
      <c r="D23" s="81" t="n">
        <v>0.251192881741331</v>
      </c>
      <c r="E23" s="82" t="n">
        <v>0.144910406954977</v>
      </c>
      <c r="F23" s="83" t="n">
        <v>0.170914939245207</v>
      </c>
      <c r="G23" s="84" t="n">
        <v>0.1114562863847</v>
      </c>
      <c r="H23" s="85" t="n">
        <v>0</v>
      </c>
      <c r="I23" s="80" t="n">
        <v>0.410541667535615</v>
      </c>
      <c r="J23" s="81" t="n">
        <v>0.108470492593076</v>
      </c>
      <c r="K23" s="82" t="n">
        <v>0.126879107020892</v>
      </c>
      <c r="L23" s="83" t="n">
        <v>0.237703591829606</v>
      </c>
      <c r="M23" s="84" t="n">
        <v>0.116405141020812</v>
      </c>
      <c r="N23" s="85" t="n">
        <v>0</v>
      </c>
      <c r="O23" s="80" t="n">
        <v>0.242747136210643</v>
      </c>
      <c r="P23" s="81" t="n">
        <v>0.302911550175858</v>
      </c>
      <c r="Q23" s="82" t="n">
        <v>0.161814559197473</v>
      </c>
      <c r="R23" s="83" t="n">
        <v>0.181779116448274</v>
      </c>
      <c r="S23" s="84" t="n">
        <v>0.110747637967751</v>
      </c>
      <c r="T23" s="85" t="n">
        <v>0</v>
      </c>
    </row>
    <row r="24" customFormat="false" ht="15" hidden="false" customHeight="false" outlineLevel="0" collapsed="false">
      <c r="B24" s="22" t="s">
        <v>65</v>
      </c>
      <c r="C24" s="86" t="n">
        <v>0.332617682912193</v>
      </c>
      <c r="D24" s="87" t="n">
        <v>0.270217608577373</v>
      </c>
      <c r="E24" s="88" t="n">
        <v>0.210173512682943</v>
      </c>
      <c r="F24" s="89" t="n">
        <v>0.106787409675104</v>
      </c>
      <c r="G24" s="90" t="n">
        <v>0.0802037861523869</v>
      </c>
      <c r="H24" s="91" t="n">
        <v>0</v>
      </c>
      <c r="I24" s="86" t="n">
        <v>0.448357828321098</v>
      </c>
      <c r="J24" s="87" t="n">
        <v>0.137276144811964</v>
      </c>
      <c r="K24" s="88" t="n">
        <v>0.180480151761652</v>
      </c>
      <c r="L24" s="89" t="n">
        <v>0.148780292653409</v>
      </c>
      <c r="M24" s="90" t="n">
        <v>0.0851055824518774</v>
      </c>
      <c r="N24" s="91" t="n">
        <v>0</v>
      </c>
      <c r="O24" s="86" t="n">
        <v>0.291310522684326</v>
      </c>
      <c r="P24" s="87" t="n">
        <v>0.316401307721919</v>
      </c>
      <c r="Q24" s="88" t="n">
        <v>0.196407484823876</v>
      </c>
      <c r="R24" s="89" t="n">
        <v>0.118267526862665</v>
      </c>
      <c r="S24" s="90" t="n">
        <v>0.0776131579072142</v>
      </c>
      <c r="T24" s="91" t="n">
        <v>0</v>
      </c>
    </row>
    <row r="25" customFormat="false" ht="15" hidden="false" customHeight="false" outlineLevel="0" collapsed="false">
      <c r="B25" s="9" t="s">
        <v>66</v>
      </c>
      <c r="C25" s="80" t="n">
        <v>0.332072407430311</v>
      </c>
      <c r="D25" s="81" t="n">
        <v>0.249778343765478</v>
      </c>
      <c r="E25" s="82" t="n">
        <v>0.159206498543487</v>
      </c>
      <c r="F25" s="83" t="n">
        <v>0.159481729093916</v>
      </c>
      <c r="G25" s="84" t="n">
        <v>0.0994610211668087</v>
      </c>
      <c r="H25" s="85" t="n">
        <v>0</v>
      </c>
      <c r="I25" s="80" t="n">
        <v>0.411129091126686</v>
      </c>
      <c r="J25" s="81" t="n">
        <v>0.133255227991472</v>
      </c>
      <c r="K25" s="82" t="n">
        <v>0.133801957636307</v>
      </c>
      <c r="L25" s="83" t="n">
        <v>0.213394404050699</v>
      </c>
      <c r="M25" s="84" t="n">
        <v>0.108419319194837</v>
      </c>
      <c r="N25" s="85" t="n">
        <v>0</v>
      </c>
      <c r="O25" s="80" t="n">
        <v>0.262779110915606</v>
      </c>
      <c r="P25" s="81" t="n">
        <v>0.288152216168792</v>
      </c>
      <c r="Q25" s="82" t="n">
        <v>0.14097163895629</v>
      </c>
      <c r="R25" s="83" t="n">
        <v>0.193476135480082</v>
      </c>
      <c r="S25" s="84" t="n">
        <v>0.114620898479229</v>
      </c>
      <c r="T25" s="85" t="n">
        <v>0</v>
      </c>
    </row>
    <row r="26" customFormat="false" ht="15" hidden="false" customHeight="false" outlineLevel="0" collapsed="false">
      <c r="B26" s="22" t="s">
        <v>68</v>
      </c>
      <c r="C26" s="86" t="n">
        <v>0.397464484263567</v>
      </c>
      <c r="D26" s="87" t="n">
        <v>0.20316770177605</v>
      </c>
      <c r="E26" s="88" t="n">
        <v>0.121226294707271</v>
      </c>
      <c r="F26" s="89" t="n">
        <v>0.18090385861293</v>
      </c>
      <c r="G26" s="90" t="n">
        <v>0.0972376606401827</v>
      </c>
      <c r="H26" s="91" t="n">
        <v>0</v>
      </c>
      <c r="I26" s="86" t="n">
        <v>0.472228084906475</v>
      </c>
      <c r="J26" s="87" t="n">
        <v>0.090344173799983</v>
      </c>
      <c r="K26" s="88" t="n">
        <v>0.0989381972532432</v>
      </c>
      <c r="L26" s="89" t="n">
        <v>0.248929757278741</v>
      </c>
      <c r="M26" s="90" t="n">
        <v>0.0895597867615575</v>
      </c>
      <c r="N26" s="91" t="n">
        <v>0</v>
      </c>
      <c r="O26" s="86" t="n">
        <v>0.3355171408619</v>
      </c>
      <c r="P26" s="87" t="n">
        <v>0.225185373336617</v>
      </c>
      <c r="Q26" s="88" t="n">
        <v>0.123752229861566</v>
      </c>
      <c r="R26" s="89" t="n">
        <v>0.224967111427983</v>
      </c>
      <c r="S26" s="90" t="n">
        <v>0.0905781445119337</v>
      </c>
      <c r="T26" s="91" t="n">
        <v>0</v>
      </c>
    </row>
    <row r="27" customFormat="false" ht="15" hidden="false" customHeight="false" outlineLevel="0" collapsed="false">
      <c r="B27" s="9" t="s">
        <v>69</v>
      </c>
      <c r="C27" s="80" t="n">
        <v>0.39868176863143</v>
      </c>
      <c r="D27" s="81" t="n">
        <v>0.192122140397667</v>
      </c>
      <c r="E27" s="82" t="n">
        <v>0.120214916879472</v>
      </c>
      <c r="F27" s="83" t="n">
        <v>0.192421520330222</v>
      </c>
      <c r="G27" s="84" t="n">
        <v>0.0965596537612105</v>
      </c>
      <c r="H27" s="85" t="n">
        <v>0</v>
      </c>
      <c r="I27" s="80" t="n">
        <v>0.492337034892494</v>
      </c>
      <c r="J27" s="81" t="n">
        <v>0.0825536913377378</v>
      </c>
      <c r="K27" s="82" t="n">
        <v>0.105376640676263</v>
      </c>
      <c r="L27" s="83" t="n">
        <v>0.238120144743401</v>
      </c>
      <c r="M27" s="84" t="n">
        <v>0.0816124883501044</v>
      </c>
      <c r="N27" s="85" t="n">
        <v>0</v>
      </c>
      <c r="O27" s="80" t="n">
        <v>0.340110309643802</v>
      </c>
      <c r="P27" s="81" t="n">
        <v>0.238009932064363</v>
      </c>
      <c r="Q27" s="82" t="n">
        <v>0.1250046300617</v>
      </c>
      <c r="R27" s="83" t="n">
        <v>0.205890936332653</v>
      </c>
      <c r="S27" s="84" t="n">
        <v>0.090984191897482</v>
      </c>
      <c r="T27" s="85" t="n">
        <v>0</v>
      </c>
    </row>
    <row r="28" customFormat="false" ht="15" hidden="false" customHeight="false" outlineLevel="0" collapsed="false">
      <c r="B28" s="22" t="s">
        <v>70</v>
      </c>
      <c r="C28" s="86" t="n">
        <v>0.439763413267472</v>
      </c>
      <c r="D28" s="87" t="n">
        <v>0.21601886124417</v>
      </c>
      <c r="E28" s="88" t="n">
        <v>0.156738780147433</v>
      </c>
      <c r="F28" s="89" t="n">
        <v>0.113092587606938</v>
      </c>
      <c r="G28" s="90" t="n">
        <v>0.0743863577339875</v>
      </c>
      <c r="H28" s="91" t="n">
        <v>0</v>
      </c>
      <c r="I28" s="86" t="n">
        <v>0.514348284429916</v>
      </c>
      <c r="J28" s="87" t="n">
        <v>0.112068005393315</v>
      </c>
      <c r="K28" s="88" t="n">
        <v>0.144480233822678</v>
      </c>
      <c r="L28" s="89" t="n">
        <v>0.16396133861299</v>
      </c>
      <c r="M28" s="90" t="n">
        <v>0.0651421377411015</v>
      </c>
      <c r="N28" s="91" t="n">
        <v>0</v>
      </c>
      <c r="O28" s="86" t="n">
        <v>0.354203767992252</v>
      </c>
      <c r="P28" s="87" t="n">
        <v>0.280591418694699</v>
      </c>
      <c r="Q28" s="88" t="n">
        <v>0.171631569446786</v>
      </c>
      <c r="R28" s="89" t="n">
        <v>0.125937147920591</v>
      </c>
      <c r="S28" s="90" t="n">
        <v>0.0676360959456717</v>
      </c>
      <c r="T28" s="91" t="n">
        <v>0</v>
      </c>
    </row>
    <row r="29" customFormat="false" ht="15" hidden="false" customHeight="false" outlineLevel="0" collapsed="false">
      <c r="B29" s="9" t="s">
        <v>71</v>
      </c>
      <c r="C29" s="80" t="n">
        <v>0.331527646704828</v>
      </c>
      <c r="D29" s="81" t="n">
        <v>0.212304755649113</v>
      </c>
      <c r="E29" s="82" t="n">
        <v>0.15740444774774</v>
      </c>
      <c r="F29" s="83" t="n">
        <v>0.204747516003845</v>
      </c>
      <c r="G29" s="84" t="n">
        <v>0.0940156338944752</v>
      </c>
      <c r="H29" s="85" t="n">
        <v>0</v>
      </c>
      <c r="I29" s="80" t="n">
        <v>0.414317978805808</v>
      </c>
      <c r="J29" s="81" t="n">
        <v>0.104649949352356</v>
      </c>
      <c r="K29" s="82" t="n">
        <v>0.142274363843661</v>
      </c>
      <c r="L29" s="83" t="n">
        <v>0.25422228674755</v>
      </c>
      <c r="M29" s="84" t="n">
        <v>0.0845354212506258</v>
      </c>
      <c r="N29" s="85" t="n">
        <v>0</v>
      </c>
      <c r="O29" s="80" t="n">
        <v>0.277033631228338</v>
      </c>
      <c r="P29" s="81" t="n">
        <v>0.286080306784918</v>
      </c>
      <c r="Q29" s="82" t="n">
        <v>0.165515143050577</v>
      </c>
      <c r="R29" s="83" t="n">
        <v>0.183550805161725</v>
      </c>
      <c r="S29" s="84" t="n">
        <v>0.0878201137744423</v>
      </c>
      <c r="T29" s="85" t="n">
        <v>0</v>
      </c>
    </row>
    <row r="30" customFormat="false" ht="15" hidden="false" customHeight="false" outlineLevel="0" collapsed="false">
      <c r="B30" s="22" t="s">
        <v>72</v>
      </c>
      <c r="C30" s="86" t="n">
        <v>0.400720242705332</v>
      </c>
      <c r="D30" s="87" t="n">
        <v>0.257893758418098</v>
      </c>
      <c r="E30" s="88" t="n">
        <v>0.171477580574031</v>
      </c>
      <c r="F30" s="89" t="n">
        <v>0.0915897820953808</v>
      </c>
      <c r="G30" s="90" t="n">
        <v>0.0783186362071585</v>
      </c>
      <c r="H30" s="91" t="n">
        <v>0</v>
      </c>
      <c r="I30" s="86" t="n">
        <v>0.489719047729074</v>
      </c>
      <c r="J30" s="87" t="n">
        <v>0.130435736357353</v>
      </c>
      <c r="K30" s="88" t="n">
        <v>0.162848962826609</v>
      </c>
      <c r="L30" s="89" t="n">
        <v>0.13846578737021</v>
      </c>
      <c r="M30" s="90" t="n">
        <v>0.0785304657167539</v>
      </c>
      <c r="N30" s="91" t="n">
        <v>0</v>
      </c>
      <c r="O30" s="86" t="n">
        <v>0.320752080429855</v>
      </c>
      <c r="P30" s="87" t="n">
        <v>0.31265804485684</v>
      </c>
      <c r="Q30" s="88" t="n">
        <v>0.186440855980752</v>
      </c>
      <c r="R30" s="89" t="n">
        <v>0.102995220248816</v>
      </c>
      <c r="S30" s="90" t="n">
        <v>0.077153798483737</v>
      </c>
      <c r="T30" s="91" t="n">
        <v>0</v>
      </c>
    </row>
    <row r="31" customFormat="false" ht="15" hidden="false" customHeight="false" outlineLevel="0" collapsed="false">
      <c r="B31" s="9" t="s">
        <v>73</v>
      </c>
      <c r="C31" s="80" t="n">
        <v>0.359593027381152</v>
      </c>
      <c r="D31" s="81" t="n">
        <v>0.208303593483262</v>
      </c>
      <c r="E31" s="82" t="n">
        <v>0.137732772904213</v>
      </c>
      <c r="F31" s="83" t="n">
        <v>0.202164664373976</v>
      </c>
      <c r="G31" s="84" t="n">
        <v>0.0922059418573965</v>
      </c>
      <c r="H31" s="85" t="n">
        <v>0</v>
      </c>
      <c r="I31" s="80" t="n">
        <v>0.436977482433185</v>
      </c>
      <c r="J31" s="81" t="n">
        <v>0.0858745993773033</v>
      </c>
      <c r="K31" s="82" t="n">
        <v>0.115090536427244</v>
      </c>
      <c r="L31" s="83" t="n">
        <v>0.269085458045413</v>
      </c>
      <c r="M31" s="84" t="n">
        <v>0.0929719237168544</v>
      </c>
      <c r="N31" s="85" t="n">
        <v>0</v>
      </c>
      <c r="O31" s="80" t="n">
        <v>0.324577459212512</v>
      </c>
      <c r="P31" s="81" t="n">
        <v>0.229595389266814</v>
      </c>
      <c r="Q31" s="82" t="n">
        <v>0.137306785490381</v>
      </c>
      <c r="R31" s="83" t="n">
        <v>0.210446831041843</v>
      </c>
      <c r="S31" s="84" t="n">
        <v>0.0980735349884504</v>
      </c>
      <c r="T31" s="85" t="n">
        <v>0</v>
      </c>
    </row>
    <row r="32" customFormat="false" ht="15" hidden="false" customHeight="false" outlineLevel="0" collapsed="false">
      <c r="B32" s="22" t="s">
        <v>74</v>
      </c>
      <c r="C32" s="86" t="n">
        <v>0.241682757294914</v>
      </c>
      <c r="D32" s="87" t="n">
        <v>0.27806837655458</v>
      </c>
      <c r="E32" s="88" t="n">
        <v>0.295327939418881</v>
      </c>
      <c r="F32" s="89" t="n">
        <v>0.0721751621259503</v>
      </c>
      <c r="G32" s="90" t="n">
        <v>0.112745764605674</v>
      </c>
      <c r="H32" s="91" t="n">
        <v>0</v>
      </c>
      <c r="I32" s="86" t="n">
        <v>0.367021524527273</v>
      </c>
      <c r="J32" s="87" t="n">
        <v>0.14835835964221</v>
      </c>
      <c r="K32" s="88" t="n">
        <v>0.238712352170495</v>
      </c>
      <c r="L32" s="89" t="n">
        <v>0.129770812017573</v>
      </c>
      <c r="M32" s="90" t="n">
        <v>0.11613695164245</v>
      </c>
      <c r="N32" s="91" t="n">
        <v>0</v>
      </c>
      <c r="O32" s="86" t="n">
        <v>0.218404623516174</v>
      </c>
      <c r="P32" s="87" t="n">
        <v>0.316407641008059</v>
      </c>
      <c r="Q32" s="88" t="n">
        <v>0.270653750399153</v>
      </c>
      <c r="R32" s="89" t="n">
        <v>0.0938370312072113</v>
      </c>
      <c r="S32" s="90" t="n">
        <v>0.100696953869403</v>
      </c>
      <c r="T32" s="91" t="n">
        <v>0</v>
      </c>
    </row>
    <row r="33" customFormat="false" ht="15" hidden="false" customHeight="false" outlineLevel="0" collapsed="false">
      <c r="B33" s="9" t="s">
        <v>75</v>
      </c>
      <c r="C33" s="80" t="n">
        <v>0.259245726879161</v>
      </c>
      <c r="D33" s="81" t="n">
        <v>0.281018686719857</v>
      </c>
      <c r="E33" s="82" t="n">
        <v>0.29175746255753</v>
      </c>
      <c r="F33" s="83" t="n">
        <v>0.084417138455136</v>
      </c>
      <c r="G33" s="84" t="n">
        <v>0.0835609853883166</v>
      </c>
      <c r="H33" s="85" t="n">
        <v>0</v>
      </c>
      <c r="I33" s="80" t="n">
        <v>0.363166904213494</v>
      </c>
      <c r="J33" s="81" t="n">
        <v>0.157980882289881</v>
      </c>
      <c r="K33" s="82" t="n">
        <v>0.245079154390003</v>
      </c>
      <c r="L33" s="83" t="n">
        <v>0.135345523616024</v>
      </c>
      <c r="M33" s="84" t="n">
        <v>0.0984275354905972</v>
      </c>
      <c r="N33" s="85" t="n">
        <v>0</v>
      </c>
      <c r="O33" s="80" t="n">
        <v>0.203832738828452</v>
      </c>
      <c r="P33" s="81" t="n">
        <v>0.348768439845373</v>
      </c>
      <c r="Q33" s="82" t="n">
        <v>0.273374625642834</v>
      </c>
      <c r="R33" s="83" t="n">
        <v>0.0925636780983642</v>
      </c>
      <c r="S33" s="84" t="n">
        <v>0.0814605175849766</v>
      </c>
      <c r="T33" s="85" t="n">
        <v>0</v>
      </c>
    </row>
    <row r="34" customFormat="false" ht="15" hidden="false" customHeight="false" outlineLevel="0" collapsed="false">
      <c r="B34" s="22" t="s">
        <v>77</v>
      </c>
      <c r="C34" s="86" t="n">
        <v>0.444845193246207</v>
      </c>
      <c r="D34" s="87" t="n">
        <v>0.166557719261039</v>
      </c>
      <c r="E34" s="88" t="n">
        <v>0.15471145168356</v>
      </c>
      <c r="F34" s="89" t="n">
        <v>0.14958345292891</v>
      </c>
      <c r="G34" s="90" t="n">
        <v>0.0843021828802855</v>
      </c>
      <c r="H34" s="91" t="n">
        <v>0</v>
      </c>
      <c r="I34" s="86" t="n">
        <v>0.495441626190595</v>
      </c>
      <c r="J34" s="87" t="n">
        <v>0.0833158891558924</v>
      </c>
      <c r="K34" s="88" t="n">
        <v>0.124834987797428</v>
      </c>
      <c r="L34" s="89" t="n">
        <v>0.21327591302353</v>
      </c>
      <c r="M34" s="90" t="n">
        <v>0.0831315838325547</v>
      </c>
      <c r="N34" s="91" t="n">
        <v>0</v>
      </c>
      <c r="O34" s="86" t="n">
        <v>0.352459873434154</v>
      </c>
      <c r="P34" s="87" t="n">
        <v>0.234816123609813</v>
      </c>
      <c r="Q34" s="88" t="n">
        <v>0.145166957997505</v>
      </c>
      <c r="R34" s="89" t="n">
        <v>0.189151359450218</v>
      </c>
      <c r="S34" s="90" t="n">
        <v>0.0784056855083101</v>
      </c>
      <c r="T34" s="91" t="n">
        <v>0</v>
      </c>
    </row>
    <row r="35" customFormat="false" ht="15" hidden="false" customHeight="false" outlineLevel="0" collapsed="false">
      <c r="B35" s="9" t="s">
        <v>79</v>
      </c>
      <c r="C35" s="80" t="n">
        <v>0.258755487157134</v>
      </c>
      <c r="D35" s="81" t="n">
        <v>0.295428412425457</v>
      </c>
      <c r="E35" s="82" t="n">
        <v>0.25625609002258</v>
      </c>
      <c r="F35" s="83" t="n">
        <v>0.0805570801298677</v>
      </c>
      <c r="G35" s="84" t="n">
        <v>0.109002930264962</v>
      </c>
      <c r="H35" s="85" t="n">
        <v>0</v>
      </c>
      <c r="I35" s="80" t="n">
        <v>0.373861586345372</v>
      </c>
      <c r="J35" s="81" t="n">
        <v>0.16389625354081</v>
      </c>
      <c r="K35" s="82" t="n">
        <v>0.229431744521288</v>
      </c>
      <c r="L35" s="83" t="n">
        <v>0.121538520922874</v>
      </c>
      <c r="M35" s="84" t="n">
        <v>0.111271894669657</v>
      </c>
      <c r="N35" s="85" t="n">
        <v>0</v>
      </c>
      <c r="O35" s="80" t="n">
        <v>0.209904132270531</v>
      </c>
      <c r="P35" s="81" t="n">
        <v>0.328125841407938</v>
      </c>
      <c r="Q35" s="82" t="n">
        <v>0.269897200092444</v>
      </c>
      <c r="R35" s="83" t="n">
        <v>0.07948212273539</v>
      </c>
      <c r="S35" s="84" t="n">
        <v>0.112590703493697</v>
      </c>
      <c r="T35" s="85" t="n">
        <v>0</v>
      </c>
    </row>
    <row r="36" customFormat="false" ht="15" hidden="false" customHeight="false" outlineLevel="0" collapsed="false">
      <c r="B36" s="22" t="s">
        <v>81</v>
      </c>
      <c r="C36" s="86" t="n">
        <v>0.376273457875842</v>
      </c>
      <c r="D36" s="87" t="n">
        <v>0.19131420381382</v>
      </c>
      <c r="E36" s="88" t="n">
        <v>0.170643674210222</v>
      </c>
      <c r="F36" s="89" t="n">
        <v>0.168366382365914</v>
      </c>
      <c r="G36" s="90" t="n">
        <v>0.093402281734202</v>
      </c>
      <c r="H36" s="91" t="n">
        <v>0</v>
      </c>
      <c r="I36" s="86" t="n">
        <v>0.486235758400067</v>
      </c>
      <c r="J36" s="87" t="n">
        <v>0.0795565943638136</v>
      </c>
      <c r="K36" s="88" t="n">
        <v>0.131446268217886</v>
      </c>
      <c r="L36" s="89" t="n">
        <v>0.218949210381205</v>
      </c>
      <c r="M36" s="90" t="n">
        <v>0.083812168637028</v>
      </c>
      <c r="N36" s="91" t="n">
        <v>0</v>
      </c>
      <c r="O36" s="86" t="n">
        <v>0.323825874961283</v>
      </c>
      <c r="P36" s="87" t="n">
        <v>0.218053004734616</v>
      </c>
      <c r="Q36" s="88" t="n">
        <v>0.184768151988878</v>
      </c>
      <c r="R36" s="89" t="n">
        <v>0.176569980258688</v>
      </c>
      <c r="S36" s="90" t="n">
        <v>0.0967829880565351</v>
      </c>
      <c r="T36" s="91" t="n">
        <v>0</v>
      </c>
    </row>
    <row r="37" customFormat="false" ht="15" hidden="false" customHeight="false" outlineLevel="0" collapsed="false">
      <c r="B37" s="9" t="s">
        <v>83</v>
      </c>
      <c r="C37" s="80" t="n">
        <v>0.328516350903246</v>
      </c>
      <c r="D37" s="81" t="n">
        <v>0.278071181764867</v>
      </c>
      <c r="E37" s="82" t="n">
        <v>0.170087669140343</v>
      </c>
      <c r="F37" s="83" t="n">
        <v>0.124811226831747</v>
      </c>
      <c r="G37" s="84" t="n">
        <v>0.0985135713597968</v>
      </c>
      <c r="H37" s="85" t="n">
        <v>0</v>
      </c>
      <c r="I37" s="80" t="n">
        <v>0.439061934966857</v>
      </c>
      <c r="J37" s="81" t="n">
        <v>0.149198534860501</v>
      </c>
      <c r="K37" s="82" t="n">
        <v>0.146857921441113</v>
      </c>
      <c r="L37" s="83" t="n">
        <v>0.179144282229329</v>
      </c>
      <c r="M37" s="84" t="n">
        <v>0.0857373265022006</v>
      </c>
      <c r="N37" s="85" t="n">
        <v>0</v>
      </c>
      <c r="O37" s="80" t="n">
        <v>0.245893293147203</v>
      </c>
      <c r="P37" s="81" t="n">
        <v>0.350497126466697</v>
      </c>
      <c r="Q37" s="82" t="n">
        <v>0.17738553165958</v>
      </c>
      <c r="R37" s="83" t="n">
        <v>0.143280464624214</v>
      </c>
      <c r="S37" s="84" t="n">
        <v>0.0829435841023067</v>
      </c>
      <c r="T37" s="85" t="n">
        <v>0</v>
      </c>
    </row>
    <row r="38" customFormat="false" ht="15" hidden="false" customHeight="false" outlineLevel="0" collapsed="false">
      <c r="B38" s="22" t="s">
        <v>84</v>
      </c>
      <c r="C38" s="86" t="n">
        <v>0.379620884970008</v>
      </c>
      <c r="D38" s="87" t="n">
        <v>0.259812363239703</v>
      </c>
      <c r="E38" s="88" t="n">
        <v>0.182384671900509</v>
      </c>
      <c r="F38" s="89" t="n">
        <v>0.0966316331462689</v>
      </c>
      <c r="G38" s="90" t="n">
        <v>0.0815504467435114</v>
      </c>
      <c r="H38" s="91" t="n">
        <v>0</v>
      </c>
      <c r="I38" s="86" t="n">
        <v>0.47042142500453</v>
      </c>
      <c r="J38" s="87" t="n">
        <v>0.131852320285313</v>
      </c>
      <c r="K38" s="88" t="n">
        <v>0.166134203295096</v>
      </c>
      <c r="L38" s="89" t="n">
        <v>0.1502969095674</v>
      </c>
      <c r="M38" s="90" t="n">
        <v>0.0812951418476615</v>
      </c>
      <c r="N38" s="91" t="n">
        <v>0</v>
      </c>
      <c r="O38" s="86" t="n">
        <v>0.308328730959965</v>
      </c>
      <c r="P38" s="87" t="n">
        <v>0.327038477110767</v>
      </c>
      <c r="Q38" s="88" t="n">
        <v>0.196981995661076</v>
      </c>
      <c r="R38" s="89" t="n">
        <v>0.0996981236296358</v>
      </c>
      <c r="S38" s="90" t="n">
        <v>0.0679526726385569</v>
      </c>
      <c r="T38" s="91" t="n">
        <v>0</v>
      </c>
    </row>
    <row r="39" customFormat="false" ht="15" hidden="false" customHeight="false" outlineLevel="0" collapsed="false">
      <c r="B39" s="9" t="s">
        <v>86</v>
      </c>
      <c r="C39" s="80" t="n">
        <v>0.453880859435758</v>
      </c>
      <c r="D39" s="81" t="n">
        <v>0.133956100076331</v>
      </c>
      <c r="E39" s="82" t="n">
        <v>0.246351001576803</v>
      </c>
      <c r="F39" s="83" t="n">
        <v>0.0620159692622163</v>
      </c>
      <c r="G39" s="84" t="n">
        <v>0.103796069648892</v>
      </c>
      <c r="H39" s="85" t="n">
        <v>0</v>
      </c>
      <c r="I39" s="80" t="n">
        <v>0.576492636677685</v>
      </c>
      <c r="J39" s="81" t="n">
        <v>0.0604320963380671</v>
      </c>
      <c r="K39" s="82" t="n">
        <v>0.187461333496815</v>
      </c>
      <c r="L39" s="83" t="n">
        <v>0.084795153432483</v>
      </c>
      <c r="M39" s="84" t="n">
        <v>0.0908187800549498</v>
      </c>
      <c r="N39" s="85" t="n">
        <v>0</v>
      </c>
      <c r="O39" s="80" t="n">
        <v>0.383160405362515</v>
      </c>
      <c r="P39" s="81" t="n">
        <v>0.185391024506978</v>
      </c>
      <c r="Q39" s="82" t="n">
        <v>0.235750273406812</v>
      </c>
      <c r="R39" s="83" t="n">
        <v>0.0817402385898567</v>
      </c>
      <c r="S39" s="84" t="n">
        <v>0.113958058133838</v>
      </c>
      <c r="T39" s="85" t="n">
        <v>0</v>
      </c>
    </row>
    <row r="40" customFormat="false" ht="15" hidden="false" customHeight="false" outlineLevel="0" collapsed="false">
      <c r="B40" s="22" t="s">
        <v>88</v>
      </c>
      <c r="C40" s="86" t="n">
        <v>0.133804627016584</v>
      </c>
      <c r="D40" s="87" t="n">
        <v>0.169305660276163</v>
      </c>
      <c r="E40" s="88" t="n">
        <v>0.0822242146798701</v>
      </c>
      <c r="F40" s="89" t="n">
        <v>0.0954545819522281</v>
      </c>
      <c r="G40" s="90" t="n">
        <v>0.0775623314369394</v>
      </c>
      <c r="H40" s="91" t="n">
        <v>0.441648584638216</v>
      </c>
      <c r="I40" s="86" t="n">
        <v>0.169311277434703</v>
      </c>
      <c r="J40" s="87" t="n">
        <v>0.0985197502841911</v>
      </c>
      <c r="K40" s="88" t="n">
        <v>0.0741033016300552</v>
      </c>
      <c r="L40" s="89" t="n">
        <v>0.149359092315682</v>
      </c>
      <c r="M40" s="90" t="n">
        <v>0.067057993697153</v>
      </c>
      <c r="N40" s="91" t="n">
        <v>0.441648584638216</v>
      </c>
      <c r="O40" s="86" t="n">
        <v>0.110333672041771</v>
      </c>
      <c r="P40" s="87" t="n">
        <v>0.206483691035082</v>
      </c>
      <c r="Q40" s="88" t="n">
        <v>0.0786414290814876</v>
      </c>
      <c r="R40" s="89" t="n">
        <v>0.0927476324704603</v>
      </c>
      <c r="S40" s="90" t="n">
        <v>0.0701449907329837</v>
      </c>
      <c r="T40" s="91" t="n">
        <v>0.441648584638216</v>
      </c>
    </row>
  </sheetData>
  <mergeCells count="5">
    <mergeCell ref="B1:T1"/>
    <mergeCell ref="B2:T2"/>
    <mergeCell ref="C3:H3"/>
    <mergeCell ref="I3:N3"/>
    <mergeCell ref="O3:T3"/>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I4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2" ySplit="4" topLeftCell="C5" activePane="bottomRight" state="frozen"/>
      <selection pane="topLeft" activeCell="A1" activeCellId="0" sqref="A1"/>
      <selection pane="topRight" activeCell="C1" activeCellId="0" sqref="C1"/>
      <selection pane="bottomLeft" activeCell="A5" activeCellId="0" sqref="A5"/>
      <selection pane="bottomRight" activeCell="A1" activeCellId="0" sqref="A1"/>
    </sheetView>
  </sheetViews>
  <sheetFormatPr defaultColWidth="8.6796875" defaultRowHeight="15" zeroHeight="false" outlineLevelRow="0" outlineLevelCol="0"/>
  <cols>
    <col collapsed="false" customWidth="true" hidden="false" outlineLevel="0" max="1" min="1" style="0" width="2"/>
    <col collapsed="false" customWidth="true" hidden="false" outlineLevel="0" max="2" min="2" style="0" width="20"/>
    <col collapsed="false" customWidth="true" hidden="false" outlineLevel="0" max="8" min="3" style="0" width="10"/>
    <col collapsed="false" customWidth="true" hidden="false" outlineLevel="0" max="9" min="9" style="0" width="9"/>
  </cols>
  <sheetData>
    <row r="1" customFormat="false" ht="25.5" hidden="false" customHeight="true" outlineLevel="0" collapsed="false">
      <c r="B1" s="62" t="s">
        <v>131</v>
      </c>
      <c r="C1" s="62"/>
      <c r="D1" s="62"/>
      <c r="E1" s="62"/>
      <c r="F1" s="62"/>
      <c r="G1" s="62"/>
      <c r="H1" s="62"/>
      <c r="I1" s="62"/>
    </row>
    <row r="2" customFormat="false" ht="22.35" hidden="false" customHeight="true" outlineLevel="0" collapsed="false">
      <c r="B2" s="63" t="s">
        <v>132</v>
      </c>
      <c r="C2" s="63"/>
      <c r="D2" s="63"/>
      <c r="E2" s="63"/>
      <c r="F2" s="63"/>
      <c r="G2" s="63"/>
      <c r="H2" s="63"/>
      <c r="I2" s="63"/>
    </row>
    <row r="4" customFormat="false" ht="15" hidden="false" customHeight="false" outlineLevel="0" collapsed="false">
      <c r="B4" s="78" t="s">
        <v>4</v>
      </c>
      <c r="C4" s="78" t="s">
        <v>125</v>
      </c>
      <c r="D4" s="78" t="s">
        <v>126</v>
      </c>
      <c r="E4" s="78" t="s">
        <v>127</v>
      </c>
      <c r="F4" s="78" t="s">
        <v>128</v>
      </c>
      <c r="G4" s="78" t="s">
        <v>129</v>
      </c>
      <c r="H4" s="78" t="s">
        <v>130</v>
      </c>
      <c r="I4" s="78" t="s">
        <v>133</v>
      </c>
    </row>
    <row r="5" customFormat="false" ht="15" hidden="false" customHeight="false" outlineLevel="0" collapsed="false">
      <c r="B5" s="9" t="s">
        <v>31</v>
      </c>
      <c r="C5" s="92" t="n">
        <v>0.215420077657554</v>
      </c>
      <c r="D5" s="93" t="n">
        <v>0.372027695443515</v>
      </c>
      <c r="E5" s="94" t="n">
        <v>0.195378421430211</v>
      </c>
      <c r="F5" s="64" t="n">
        <v>0.141638353796493</v>
      </c>
      <c r="G5" s="95" t="n">
        <v>0.0755354516722268</v>
      </c>
      <c r="H5" s="96" t="n">
        <v>0</v>
      </c>
      <c r="I5" s="55" t="n">
        <v>0.026</v>
      </c>
    </row>
    <row r="6" customFormat="false" ht="15" hidden="false" customHeight="false" outlineLevel="0" collapsed="false">
      <c r="B6" s="22" t="s">
        <v>34</v>
      </c>
      <c r="C6" s="92" t="n">
        <v>0.192771775108034</v>
      </c>
      <c r="D6" s="93" t="n">
        <v>0.388682492042315</v>
      </c>
      <c r="E6" s="94" t="n">
        <v>0.212086295238372</v>
      </c>
      <c r="F6" s="64" t="n">
        <v>0.11281056594061</v>
      </c>
      <c r="G6" s="95" t="n">
        <v>0.0936488716706689</v>
      </c>
      <c r="H6" s="96" t="n">
        <v>0</v>
      </c>
      <c r="I6" s="66" t="n">
        <v>0.038</v>
      </c>
    </row>
    <row r="7" customFormat="false" ht="15" hidden="false" customHeight="false" outlineLevel="0" collapsed="false">
      <c r="B7" s="9" t="s">
        <v>37</v>
      </c>
      <c r="C7" s="92" t="n">
        <v>0.238721841666062</v>
      </c>
      <c r="D7" s="93" t="n">
        <v>0.380928238945286</v>
      </c>
      <c r="E7" s="94" t="n">
        <v>0.178098847697757</v>
      </c>
      <c r="F7" s="64" t="n">
        <v>0.138658759773195</v>
      </c>
      <c r="G7" s="95" t="n">
        <v>0.0635923119176997</v>
      </c>
      <c r="H7" s="96" t="n">
        <v>0</v>
      </c>
      <c r="I7" s="55" t="n">
        <v>0.027</v>
      </c>
    </row>
    <row r="8" customFormat="false" ht="15" hidden="false" customHeight="false" outlineLevel="0" collapsed="false">
      <c r="B8" s="22" t="s">
        <v>40</v>
      </c>
      <c r="C8" s="92" t="n">
        <v>0.19664962571499</v>
      </c>
      <c r="D8" s="93" t="n">
        <v>0.410385316280022</v>
      </c>
      <c r="E8" s="94" t="n">
        <v>0.188311347088848</v>
      </c>
      <c r="F8" s="64" t="n">
        <v>0.135613231203846</v>
      </c>
      <c r="G8" s="95" t="n">
        <v>0.0690404797122945</v>
      </c>
      <c r="H8" s="96" t="n">
        <v>0</v>
      </c>
      <c r="I8" s="66" t="n">
        <v>0.028</v>
      </c>
    </row>
    <row r="9" customFormat="false" ht="15" hidden="false" customHeight="false" outlineLevel="0" collapsed="false">
      <c r="B9" s="9" t="s">
        <v>43</v>
      </c>
      <c r="C9" s="92" t="n">
        <v>0.354592138921458</v>
      </c>
      <c r="D9" s="93" t="n">
        <v>0.197021277706796</v>
      </c>
      <c r="E9" s="94" t="n">
        <v>0.0932033550522604</v>
      </c>
      <c r="F9" s="64" t="n">
        <v>0.282559818938121</v>
      </c>
      <c r="G9" s="95" t="n">
        <v>0.0726234093813647</v>
      </c>
      <c r="H9" s="96" t="n">
        <v>0</v>
      </c>
      <c r="I9" s="55" t="n">
        <v>0.03</v>
      </c>
    </row>
    <row r="10" customFormat="false" ht="15" hidden="false" customHeight="false" outlineLevel="0" collapsed="false">
      <c r="B10" s="22" t="s">
        <v>46</v>
      </c>
      <c r="C10" s="92" t="n">
        <v>0.295573329415532</v>
      </c>
      <c r="D10" s="93" t="n">
        <v>0.243772968863193</v>
      </c>
      <c r="E10" s="94" t="n">
        <v>0.12476824900056</v>
      </c>
      <c r="F10" s="64" t="n">
        <v>0.259896325149562</v>
      </c>
      <c r="G10" s="95" t="n">
        <v>0.0759891275711542</v>
      </c>
      <c r="H10" s="96" t="n">
        <v>0</v>
      </c>
      <c r="I10" s="66" t="n">
        <v>0.032</v>
      </c>
    </row>
    <row r="11" customFormat="false" ht="15" hidden="false" customHeight="false" outlineLevel="0" collapsed="false">
      <c r="B11" s="9" t="s">
        <v>47</v>
      </c>
      <c r="C11" s="92" t="n">
        <v>0.251914452341113</v>
      </c>
      <c r="D11" s="93" t="n">
        <v>0.299793465389592</v>
      </c>
      <c r="E11" s="94" t="n">
        <v>0.155945266116601</v>
      </c>
      <c r="F11" s="64" t="n">
        <v>0.216494933930095</v>
      </c>
      <c r="G11" s="95" t="n">
        <v>0.0758518822226002</v>
      </c>
      <c r="H11" s="96" t="n">
        <v>0</v>
      </c>
      <c r="I11" s="55" t="n">
        <v>0.035</v>
      </c>
    </row>
    <row r="12" customFormat="false" ht="15" hidden="false" customHeight="false" outlineLevel="0" collapsed="false">
      <c r="B12" s="22" t="s">
        <v>49</v>
      </c>
      <c r="C12" s="92" t="n">
        <v>0.25285526594941</v>
      </c>
      <c r="D12" s="93" t="n">
        <v>0.336337947703928</v>
      </c>
      <c r="E12" s="94" t="n">
        <v>0.132714245060716</v>
      </c>
      <c r="F12" s="64" t="n">
        <v>0.203373106906855</v>
      </c>
      <c r="G12" s="95" t="n">
        <v>0.0747194343790912</v>
      </c>
      <c r="H12" s="96" t="n">
        <v>0</v>
      </c>
      <c r="I12" s="66" t="n">
        <v>0.032</v>
      </c>
    </row>
    <row r="13" customFormat="false" ht="15" hidden="false" customHeight="false" outlineLevel="0" collapsed="false">
      <c r="B13" s="9" t="s">
        <v>51</v>
      </c>
      <c r="C13" s="92" t="n">
        <v>0.277172703528054</v>
      </c>
      <c r="D13" s="93" t="n">
        <v>0.235595885050773</v>
      </c>
      <c r="E13" s="94" t="n">
        <v>0.105349990545946</v>
      </c>
      <c r="F13" s="64" t="n">
        <v>0.296913834862268</v>
      </c>
      <c r="G13" s="95" t="n">
        <v>0.0849675860129594</v>
      </c>
      <c r="H13" s="96" t="n">
        <v>0</v>
      </c>
      <c r="I13" s="55" t="n">
        <v>0.029</v>
      </c>
    </row>
    <row r="14" customFormat="false" ht="15" hidden="false" customHeight="false" outlineLevel="0" collapsed="false">
      <c r="B14" s="22" t="s">
        <v>53</v>
      </c>
      <c r="C14" s="92" t="n">
        <v>0.231438984963838</v>
      </c>
      <c r="D14" s="93" t="n">
        <v>0.398265438586076</v>
      </c>
      <c r="E14" s="94" t="n">
        <v>0.166441510643957</v>
      </c>
      <c r="F14" s="64" t="n">
        <v>0.144359975924537</v>
      </c>
      <c r="G14" s="95" t="n">
        <v>0.0594940898815928</v>
      </c>
      <c r="H14" s="96" t="n">
        <v>0</v>
      </c>
      <c r="I14" s="66" t="n">
        <v>0.03</v>
      </c>
    </row>
    <row r="15" customFormat="false" ht="15" hidden="false" customHeight="false" outlineLevel="0" collapsed="false">
      <c r="B15" s="9" t="s">
        <v>54</v>
      </c>
      <c r="C15" s="92" t="n">
        <v>0.308446147321489</v>
      </c>
      <c r="D15" s="93" t="n">
        <v>0.354980075355748</v>
      </c>
      <c r="E15" s="94" t="n">
        <v>0.148293366432061</v>
      </c>
      <c r="F15" s="64" t="n">
        <v>0.126756560873865</v>
      </c>
      <c r="G15" s="95" t="n">
        <v>0.0615238500168381</v>
      </c>
      <c r="H15" s="96" t="n">
        <v>0</v>
      </c>
      <c r="I15" s="55" t="n">
        <v>0.034</v>
      </c>
    </row>
    <row r="16" customFormat="false" ht="15" hidden="false" customHeight="false" outlineLevel="0" collapsed="false">
      <c r="B16" s="22" t="s">
        <v>55</v>
      </c>
      <c r="C16" s="92" t="n">
        <v>0.248735416511717</v>
      </c>
      <c r="D16" s="93" t="n">
        <v>0.394119829089836</v>
      </c>
      <c r="E16" s="94" t="n">
        <v>0.183684889594925</v>
      </c>
      <c r="F16" s="64" t="n">
        <v>0.119950830711431</v>
      </c>
      <c r="G16" s="95" t="n">
        <v>0.0535090340920902</v>
      </c>
      <c r="H16" s="96" t="n">
        <v>0</v>
      </c>
      <c r="I16" s="66" t="n">
        <v>0.035</v>
      </c>
    </row>
    <row r="17" customFormat="false" ht="15" hidden="false" customHeight="false" outlineLevel="0" collapsed="false">
      <c r="B17" s="9" t="s">
        <v>56</v>
      </c>
      <c r="C17" s="92" t="n">
        <v>0.307835044565545</v>
      </c>
      <c r="D17" s="93" t="n">
        <v>0.347215713048653</v>
      </c>
      <c r="E17" s="94" t="n">
        <v>0.145562515896291</v>
      </c>
      <c r="F17" s="64" t="n">
        <v>0.136904836641397</v>
      </c>
      <c r="G17" s="95" t="n">
        <v>0.0624818898481149</v>
      </c>
      <c r="H17" s="96" t="n">
        <v>0</v>
      </c>
      <c r="I17" s="55" t="n">
        <v>0.032</v>
      </c>
    </row>
    <row r="18" customFormat="false" ht="15" hidden="false" customHeight="false" outlineLevel="0" collapsed="false">
      <c r="B18" s="22" t="s">
        <v>57</v>
      </c>
      <c r="C18" s="92" t="n">
        <v>0.228250886538112</v>
      </c>
      <c r="D18" s="93" t="n">
        <v>0.348829732366986</v>
      </c>
      <c r="E18" s="94" t="n">
        <v>0.159917574844852</v>
      </c>
      <c r="F18" s="64" t="n">
        <v>0.191642820773096</v>
      </c>
      <c r="G18" s="95" t="n">
        <v>0.0713589854769546</v>
      </c>
      <c r="H18" s="96" t="n">
        <v>0</v>
      </c>
      <c r="I18" s="66" t="n">
        <v>0.036</v>
      </c>
    </row>
    <row r="19" customFormat="false" ht="15" hidden="false" customHeight="false" outlineLevel="0" collapsed="false">
      <c r="B19" s="9" t="s">
        <v>58</v>
      </c>
      <c r="C19" s="92" t="n">
        <v>0.226650472604757</v>
      </c>
      <c r="D19" s="93" t="n">
        <v>0.419300670049187</v>
      </c>
      <c r="E19" s="94" t="n">
        <v>0.162734281752728</v>
      </c>
      <c r="F19" s="64" t="n">
        <v>0.128326565344962</v>
      </c>
      <c r="G19" s="95" t="n">
        <v>0.0629880102483666</v>
      </c>
      <c r="H19" s="96" t="n">
        <v>0</v>
      </c>
      <c r="I19" s="55" t="n">
        <v>0.039</v>
      </c>
    </row>
    <row r="20" customFormat="false" ht="15" hidden="false" customHeight="false" outlineLevel="0" collapsed="false">
      <c r="B20" s="22" t="s">
        <v>59</v>
      </c>
      <c r="C20" s="92" t="n">
        <v>0.281829114259297</v>
      </c>
      <c r="D20" s="93" t="n">
        <v>0.306598554729474</v>
      </c>
      <c r="E20" s="94" t="n">
        <v>0.100846935690492</v>
      </c>
      <c r="F20" s="64" t="n">
        <v>0.242853548142119</v>
      </c>
      <c r="G20" s="95" t="n">
        <v>0.067871847178618</v>
      </c>
      <c r="H20" s="96" t="n">
        <v>0</v>
      </c>
      <c r="I20" s="66" t="n">
        <v>0.029</v>
      </c>
    </row>
    <row r="21" customFormat="false" ht="15" hidden="false" customHeight="false" outlineLevel="0" collapsed="false">
      <c r="B21" s="9" t="s">
        <v>60</v>
      </c>
      <c r="C21" s="92" t="n">
        <v>0.241941815349889</v>
      </c>
      <c r="D21" s="93" t="n">
        <v>0.347642381884803</v>
      </c>
      <c r="E21" s="94" t="n">
        <v>0.169755511479081</v>
      </c>
      <c r="F21" s="64" t="n">
        <v>0.172887946494948</v>
      </c>
      <c r="G21" s="95" t="n">
        <v>0.0677723447912795</v>
      </c>
      <c r="H21" s="96" t="n">
        <v>0</v>
      </c>
      <c r="I21" s="55" t="n">
        <v>0.028</v>
      </c>
    </row>
    <row r="22" customFormat="false" ht="15" hidden="false" customHeight="false" outlineLevel="0" collapsed="false">
      <c r="B22" s="22" t="s">
        <v>61</v>
      </c>
      <c r="C22" s="92" t="n">
        <v>0.319064289323001</v>
      </c>
      <c r="D22" s="93" t="n">
        <v>0.192796995784947</v>
      </c>
      <c r="E22" s="94" t="n">
        <v>0.107056901418388</v>
      </c>
      <c r="F22" s="64" t="n">
        <v>0.300428446676234</v>
      </c>
      <c r="G22" s="95" t="n">
        <v>0.0806533667974296</v>
      </c>
      <c r="H22" s="96" t="n">
        <v>0</v>
      </c>
      <c r="I22" s="66" t="n">
        <v>0.031</v>
      </c>
    </row>
    <row r="23" customFormat="false" ht="15" hidden="false" customHeight="false" outlineLevel="0" collapsed="false">
      <c r="B23" s="9" t="s">
        <v>63</v>
      </c>
      <c r="C23" s="92" t="n">
        <v>0.201699045349932</v>
      </c>
      <c r="D23" s="93" t="n">
        <v>0.360823242259454</v>
      </c>
      <c r="E23" s="94" t="n">
        <v>0.13251752799281</v>
      </c>
      <c r="F23" s="64" t="n">
        <v>0.212635610083875</v>
      </c>
      <c r="G23" s="95" t="n">
        <v>0.0923245743139293</v>
      </c>
      <c r="H23" s="96" t="n">
        <v>0</v>
      </c>
      <c r="I23" s="55" t="n">
        <v>0.035</v>
      </c>
    </row>
    <row r="24" customFormat="false" ht="15" hidden="false" customHeight="false" outlineLevel="0" collapsed="false">
      <c r="B24" s="22" t="s">
        <v>65</v>
      </c>
      <c r="C24" s="92" t="n">
        <v>0.236313036451467</v>
      </c>
      <c r="D24" s="93" t="n">
        <v>0.400593134200659</v>
      </c>
      <c r="E24" s="94" t="n">
        <v>0.177700591224149</v>
      </c>
      <c r="F24" s="64" t="n">
        <v>0.130582243092721</v>
      </c>
      <c r="G24" s="95" t="n">
        <v>0.0548109950310049</v>
      </c>
      <c r="H24" s="96" t="n">
        <v>0</v>
      </c>
      <c r="I24" s="66" t="n">
        <v>0.034</v>
      </c>
    </row>
    <row r="25" customFormat="false" ht="15" hidden="false" customHeight="false" outlineLevel="0" collapsed="false">
      <c r="B25" s="9" t="s">
        <v>66</v>
      </c>
      <c r="C25" s="92" t="n">
        <v>0.255729787155054</v>
      </c>
      <c r="D25" s="93" t="n">
        <v>0.322505525144952</v>
      </c>
      <c r="E25" s="94" t="n">
        <v>0.140891554403668</v>
      </c>
      <c r="F25" s="64" t="n">
        <v>0.20435131902967</v>
      </c>
      <c r="G25" s="95" t="n">
        <v>0.0765218142666555</v>
      </c>
      <c r="H25" s="96" t="n">
        <v>0</v>
      </c>
      <c r="I25" s="55" t="n">
        <v>0.038</v>
      </c>
    </row>
    <row r="26" customFormat="false" ht="15" hidden="false" customHeight="false" outlineLevel="0" collapsed="false">
      <c r="B26" s="22" t="s">
        <v>68</v>
      </c>
      <c r="C26" s="92" t="n">
        <v>0.312423582902275</v>
      </c>
      <c r="D26" s="93" t="n">
        <v>0.291639522239302</v>
      </c>
      <c r="E26" s="94" t="n">
        <v>0.0974493053055718</v>
      </c>
      <c r="F26" s="64" t="n">
        <v>0.222691464607872</v>
      </c>
      <c r="G26" s="95" t="n">
        <v>0.0757961249449793</v>
      </c>
      <c r="H26" s="96" t="n">
        <v>0</v>
      </c>
      <c r="I26" s="66" t="n">
        <v>0.037</v>
      </c>
    </row>
    <row r="27" customFormat="false" ht="15" hidden="false" customHeight="false" outlineLevel="0" collapsed="false">
      <c r="B27" s="9" t="s">
        <v>69</v>
      </c>
      <c r="C27" s="92" t="n">
        <v>0.308775334391831</v>
      </c>
      <c r="D27" s="93" t="n">
        <v>0.292390118805651</v>
      </c>
      <c r="E27" s="94" t="n">
        <v>0.0979031006087148</v>
      </c>
      <c r="F27" s="64" t="n">
        <v>0.23415991966659</v>
      </c>
      <c r="G27" s="95" t="n">
        <v>0.0667715265272129</v>
      </c>
      <c r="H27" s="96" t="n">
        <v>0</v>
      </c>
      <c r="I27" s="55" t="n">
        <v>0.035</v>
      </c>
    </row>
    <row r="28" customFormat="false" ht="15" hidden="false" customHeight="false" outlineLevel="0" collapsed="false">
      <c r="B28" s="22" t="s">
        <v>70</v>
      </c>
      <c r="C28" s="92" t="n">
        <v>0.328211761353734</v>
      </c>
      <c r="D28" s="93" t="n">
        <v>0.325370354283574</v>
      </c>
      <c r="E28" s="94" t="n">
        <v>0.148883466186282</v>
      </c>
      <c r="F28" s="64" t="n">
        <v>0.141980770356471</v>
      </c>
      <c r="G28" s="95" t="n">
        <v>0.0555536478199403</v>
      </c>
      <c r="H28" s="96" t="n">
        <v>0</v>
      </c>
      <c r="I28" s="66" t="n">
        <v>0.039</v>
      </c>
    </row>
    <row r="29" customFormat="false" ht="15" hidden="false" customHeight="false" outlineLevel="0" collapsed="false">
      <c r="B29" s="9" t="s">
        <v>71</v>
      </c>
      <c r="C29" s="92" t="n">
        <v>0.249645722461788</v>
      </c>
      <c r="D29" s="93" t="n">
        <v>0.322451681789271</v>
      </c>
      <c r="E29" s="94" t="n">
        <v>0.139522774206054</v>
      </c>
      <c r="F29" s="64" t="n">
        <v>0.220271077282901</v>
      </c>
      <c r="G29" s="95" t="n">
        <v>0.0681087442599865</v>
      </c>
      <c r="H29" s="96" t="n">
        <v>0</v>
      </c>
      <c r="I29" s="55" t="n">
        <v>0.034</v>
      </c>
    </row>
    <row r="30" customFormat="false" ht="15" hidden="false" customHeight="false" outlineLevel="0" collapsed="false">
      <c r="B30" s="22" t="s">
        <v>72</v>
      </c>
      <c r="C30" s="92" t="n">
        <v>0.258941391574081</v>
      </c>
      <c r="D30" s="93" t="n">
        <v>0.386798404878215</v>
      </c>
      <c r="E30" s="94" t="n">
        <v>0.15927637423688</v>
      </c>
      <c r="F30" s="64" t="n">
        <v>0.128298721557072</v>
      </c>
      <c r="G30" s="95" t="n">
        <v>0.0666851077537523</v>
      </c>
      <c r="H30" s="96" t="n">
        <v>0</v>
      </c>
      <c r="I30" s="66" t="n">
        <v>0.037</v>
      </c>
    </row>
    <row r="31" customFormat="false" ht="15" hidden="false" customHeight="false" outlineLevel="0" collapsed="false">
      <c r="B31" s="9" t="s">
        <v>73</v>
      </c>
      <c r="C31" s="92" t="n">
        <v>0.294087285350026</v>
      </c>
      <c r="D31" s="93" t="n">
        <v>0.254301121567508</v>
      </c>
      <c r="E31" s="94" t="n">
        <v>0.12021488964589</v>
      </c>
      <c r="F31" s="64" t="n">
        <v>0.26110309095403</v>
      </c>
      <c r="G31" s="95" t="n">
        <v>0.0702936124825465</v>
      </c>
      <c r="H31" s="96" t="n">
        <v>0</v>
      </c>
      <c r="I31" s="55" t="n">
        <v>0.027</v>
      </c>
    </row>
    <row r="32" customFormat="false" ht="15" hidden="false" customHeight="false" outlineLevel="0" collapsed="false">
      <c r="B32" s="22" t="s">
        <v>74</v>
      </c>
      <c r="C32" s="92" t="n">
        <v>0.183991049969898</v>
      </c>
      <c r="D32" s="93" t="n">
        <v>0.391615303334024</v>
      </c>
      <c r="E32" s="94" t="n">
        <v>0.242103311776701</v>
      </c>
      <c r="F32" s="64" t="n">
        <v>0.103721677229127</v>
      </c>
      <c r="G32" s="95" t="n">
        <v>0.0785686576902501</v>
      </c>
      <c r="H32" s="96" t="n">
        <v>0</v>
      </c>
      <c r="I32" s="66" t="n">
        <v>0.034</v>
      </c>
    </row>
    <row r="33" customFormat="false" ht="15" hidden="false" customHeight="false" outlineLevel="0" collapsed="false">
      <c r="B33" s="9" t="s">
        <v>75</v>
      </c>
      <c r="C33" s="92" t="n">
        <v>0.17887356461433</v>
      </c>
      <c r="D33" s="93" t="n">
        <v>0.407806945203763</v>
      </c>
      <c r="E33" s="94" t="n">
        <v>0.23411276480802</v>
      </c>
      <c r="F33" s="64" t="n">
        <v>0.113034710553935</v>
      </c>
      <c r="G33" s="95" t="n">
        <v>0.0661720148199523</v>
      </c>
      <c r="H33" s="96" t="n">
        <v>0</v>
      </c>
      <c r="I33" s="55" t="n">
        <v>0.037</v>
      </c>
    </row>
    <row r="34" customFormat="false" ht="15" hidden="false" customHeight="false" outlineLevel="0" collapsed="false">
      <c r="B34" s="22" t="s">
        <v>77</v>
      </c>
      <c r="C34" s="92" t="n">
        <v>0.315361015764831</v>
      </c>
      <c r="D34" s="93" t="n">
        <v>0.292797778569549</v>
      </c>
      <c r="E34" s="94" t="n">
        <v>0.134067223906616</v>
      </c>
      <c r="F34" s="64" t="n">
        <v>0.19402534198999</v>
      </c>
      <c r="G34" s="95" t="n">
        <v>0.0637486397690137</v>
      </c>
      <c r="H34" s="96" t="n">
        <v>0</v>
      </c>
      <c r="I34" s="66" t="n">
        <v>0.039</v>
      </c>
    </row>
    <row r="35" customFormat="false" ht="15" hidden="false" customHeight="false" outlineLevel="0" collapsed="false">
      <c r="B35" s="9" t="s">
        <v>79</v>
      </c>
      <c r="C35" s="92" t="n">
        <v>0.186315278465969</v>
      </c>
      <c r="D35" s="93" t="n">
        <v>0.39830161105387</v>
      </c>
      <c r="E35" s="94" t="n">
        <v>0.216551537815974</v>
      </c>
      <c r="F35" s="64" t="n">
        <v>0.107590872307407</v>
      </c>
      <c r="G35" s="95" t="n">
        <v>0.0912407003567797</v>
      </c>
      <c r="H35" s="96" t="n">
        <v>0</v>
      </c>
      <c r="I35" s="55" t="n">
        <v>0.037</v>
      </c>
    </row>
    <row r="36" customFormat="false" ht="15" hidden="false" customHeight="false" outlineLevel="0" collapsed="false">
      <c r="B36" s="22" t="s">
        <v>81</v>
      </c>
      <c r="C36" s="92" t="n">
        <v>0.307476571865154</v>
      </c>
      <c r="D36" s="93" t="n">
        <v>0.252661183651335</v>
      </c>
      <c r="E36" s="94" t="n">
        <v>0.143392996065578</v>
      </c>
      <c r="F36" s="64" t="n">
        <v>0.221307103626212</v>
      </c>
      <c r="G36" s="95" t="n">
        <v>0.0751621447917218</v>
      </c>
      <c r="H36" s="96" t="n">
        <v>0</v>
      </c>
      <c r="I36" s="66" t="n">
        <v>0.036</v>
      </c>
    </row>
    <row r="37" customFormat="false" ht="15" hidden="false" customHeight="false" outlineLevel="0" collapsed="false">
      <c r="B37" s="9" t="s">
        <v>83</v>
      </c>
      <c r="C37" s="92" t="n">
        <v>0.228470274658537</v>
      </c>
      <c r="D37" s="93" t="n">
        <v>0.379908157853608</v>
      </c>
      <c r="E37" s="94" t="n">
        <v>0.153288130826958</v>
      </c>
      <c r="F37" s="64" t="n">
        <v>0.170168578090381</v>
      </c>
      <c r="G37" s="95" t="n">
        <v>0.0681648585705164</v>
      </c>
      <c r="H37" s="96" t="n">
        <v>0</v>
      </c>
      <c r="I37" s="55" t="n">
        <v>0.028</v>
      </c>
    </row>
    <row r="38" customFormat="false" ht="15" hidden="false" customHeight="false" outlineLevel="0" collapsed="false">
      <c r="B38" s="22" t="s">
        <v>84</v>
      </c>
      <c r="C38" s="92" t="n">
        <v>0.281323284405518</v>
      </c>
      <c r="D38" s="93" t="n">
        <v>0.380890659858465</v>
      </c>
      <c r="E38" s="94" t="n">
        <v>0.159429556597443</v>
      </c>
      <c r="F38" s="64" t="n">
        <v>0.117724502390091</v>
      </c>
      <c r="G38" s="95" t="n">
        <v>0.0606319967484832</v>
      </c>
      <c r="H38" s="96" t="n">
        <v>0</v>
      </c>
      <c r="I38" s="66" t="n">
        <v>0.028</v>
      </c>
    </row>
    <row r="39" customFormat="false" ht="15" hidden="false" customHeight="false" outlineLevel="0" collapsed="false">
      <c r="B39" s="9" t="s">
        <v>86</v>
      </c>
      <c r="C39" s="92" t="n">
        <v>0.397346617778967</v>
      </c>
      <c r="D39" s="93" t="n">
        <v>0.214267924739891</v>
      </c>
      <c r="E39" s="94" t="n">
        <v>0.214860439685029</v>
      </c>
      <c r="F39" s="64" t="n">
        <v>0.0963290828076649</v>
      </c>
      <c r="G39" s="95" t="n">
        <v>0.0771959349884486</v>
      </c>
      <c r="H39" s="96" t="n">
        <v>0</v>
      </c>
      <c r="I39" s="55" t="n">
        <v>0.035</v>
      </c>
    </row>
    <row r="40" customFormat="false" ht="15" hidden="false" customHeight="false" outlineLevel="0" collapsed="false">
      <c r="B40" s="22" t="s">
        <v>88</v>
      </c>
      <c r="C40" s="92" t="n">
        <v>0.0962864455405258</v>
      </c>
      <c r="D40" s="93" t="n">
        <v>0.21993789289139</v>
      </c>
      <c r="E40" s="94" t="n">
        <v>0.0678373575311472</v>
      </c>
      <c r="F40" s="64" t="n">
        <v>0.108215946904289</v>
      </c>
      <c r="G40" s="95" t="n">
        <v>0.0524746600066554</v>
      </c>
      <c r="H40" s="96" t="n">
        <v>0.455247697125993</v>
      </c>
      <c r="I40" s="66" t="n">
        <v>0.039</v>
      </c>
    </row>
  </sheetData>
  <mergeCells count="2">
    <mergeCell ref="B1:I1"/>
    <mergeCell ref="B2:I2"/>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J26"/>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5" zeroHeight="false" outlineLevelRow="0" outlineLevelCol="0"/>
  <cols>
    <col collapsed="false" customWidth="true" hidden="false" outlineLevel="0" max="1" min="1" style="0" width="2"/>
    <col collapsed="false" customWidth="true" hidden="false" outlineLevel="0" max="2" min="2" style="0" width="40"/>
    <col collapsed="false" customWidth="true" hidden="false" outlineLevel="0" max="3" min="3" style="0" width="13"/>
    <col collapsed="false" customWidth="true" hidden="false" outlineLevel="0" max="5" min="4" style="0" width="12"/>
    <col collapsed="false" customWidth="true" hidden="true" outlineLevel="0" max="10" min="10" style="0" width="13"/>
  </cols>
  <sheetData>
    <row r="1" customFormat="false" ht="25.5" hidden="false" customHeight="true" outlineLevel="0" collapsed="false">
      <c r="B1" s="62" t="s">
        <v>134</v>
      </c>
      <c r="C1" s="62"/>
      <c r="D1" s="62"/>
      <c r="E1" s="62"/>
      <c r="J1" s="34" t="s">
        <v>135</v>
      </c>
    </row>
    <row r="2" customFormat="false" ht="27.75" hidden="false" customHeight="true" outlineLevel="0" collapsed="false">
      <c r="B2" s="63" t="s">
        <v>136</v>
      </c>
      <c r="C2" s="63"/>
      <c r="D2" s="63"/>
      <c r="E2" s="63"/>
      <c r="J2" s="0" t="str">
        <f aca="false">Simulator!C5</f>
        <v>Conservatives</v>
      </c>
    </row>
    <row r="3" customFormat="false" ht="15" hidden="false" customHeight="false" outlineLevel="0" collapsed="false">
      <c r="J3" s="0" t="str">
        <f aca="false">Simulator!C6</f>
        <v>Social-Democrats</v>
      </c>
    </row>
    <row r="4" customFormat="false" ht="15" hidden="false" customHeight="false" outlineLevel="0" collapsed="false">
      <c r="B4" s="6" t="s">
        <v>137</v>
      </c>
      <c r="C4" s="97" t="s">
        <v>33</v>
      </c>
      <c r="J4" s="0" t="str">
        <f aca="false">Simulator!C7</f>
        <v>Liberals</v>
      </c>
    </row>
    <row r="5" customFormat="false" ht="15" hidden="false" customHeight="false" outlineLevel="0" collapsed="false">
      <c r="B5" s="6" t="s">
        <v>138</v>
      </c>
      <c r="C5" s="98" t="n">
        <f aca="false">E18</f>
        <v>2.4</v>
      </c>
      <c r="J5" s="0" t="str">
        <f aca="false">Simulator!C8</f>
        <v>Nationalist</v>
      </c>
    </row>
    <row r="6" customFormat="false" ht="15" hidden="false" customHeight="false" outlineLevel="0" collapsed="false">
      <c r="B6" s="74" t="s">
        <v>139</v>
      </c>
      <c r="C6" s="99" t="n">
        <f aca="false">E18/100</f>
        <v>0.024</v>
      </c>
      <c r="J6" s="0" t="str">
        <f aca="false">Simulator!C9</f>
        <v>Independent</v>
      </c>
    </row>
    <row r="7" customFormat="false" ht="27.75" hidden="false" customHeight="true" outlineLevel="0" collapsed="false">
      <c r="B7" s="5"/>
      <c r="C7" s="5"/>
      <c r="D7" s="5"/>
      <c r="E7" s="5"/>
      <c r="J7" s="0" t="str">
        <f aca="false">Simulator!C10</f>
        <v>BP First</v>
      </c>
    </row>
    <row r="8" customFormat="false" ht="15" hidden="false" customHeight="false" outlineLevel="0" collapsed="false">
      <c r="B8" s="9" t="s">
        <v>140</v>
      </c>
      <c r="C8" s="100" t="s">
        <v>141</v>
      </c>
      <c r="D8" s="101" t="n">
        <v>0.8</v>
      </c>
      <c r="E8" s="102" t="n">
        <f aca="false">IF(C8="Yes",D8,-D8)</f>
        <v>0.8</v>
      </c>
    </row>
    <row r="9" customFormat="false" ht="15" hidden="false" customHeight="false" outlineLevel="0" collapsed="false">
      <c r="B9" s="9" t="s">
        <v>142</v>
      </c>
      <c r="C9" s="100" t="s">
        <v>141</v>
      </c>
      <c r="D9" s="101" t="n">
        <v>2</v>
      </c>
      <c r="E9" s="102" t="n">
        <f aca="false">IF(C9="Yes",D9,-D9)</f>
        <v>2</v>
      </c>
    </row>
    <row r="10" customFormat="false" ht="15" hidden="false" customHeight="false" outlineLevel="0" collapsed="false">
      <c r="B10" s="9" t="s">
        <v>143</v>
      </c>
      <c r="C10" s="100" t="s">
        <v>141</v>
      </c>
      <c r="D10" s="101" t="n">
        <v>1.2</v>
      </c>
      <c r="E10" s="102" t="n">
        <f aca="false">IF(C10="Yes",D10,-D10)</f>
        <v>1.2</v>
      </c>
    </row>
    <row r="11" customFormat="false" ht="15" hidden="false" customHeight="false" outlineLevel="0" collapsed="false">
      <c r="B11" s="9" t="s">
        <v>144</v>
      </c>
      <c r="C11" s="100" t="s">
        <v>145</v>
      </c>
      <c r="D11" s="101" t="n">
        <v>1.2</v>
      </c>
      <c r="E11" s="102" t="n">
        <f aca="false">IF(C11="Yes",D11,-D11)</f>
        <v>-1.2</v>
      </c>
    </row>
    <row r="12" customFormat="false" ht="15" hidden="false" customHeight="false" outlineLevel="0" collapsed="false">
      <c r="B12" s="9" t="s">
        <v>146</v>
      </c>
      <c r="C12" s="100" t="s">
        <v>145</v>
      </c>
      <c r="D12" s="101" t="n">
        <v>1.8</v>
      </c>
      <c r="E12" s="102" t="n">
        <f aca="false">IF(C12="Yes",D12,-D12)</f>
        <v>-1.8</v>
      </c>
    </row>
    <row r="13" customFormat="false" ht="15" hidden="false" customHeight="false" outlineLevel="0" collapsed="false">
      <c r="B13" s="9" t="s">
        <v>147</v>
      </c>
      <c r="C13" s="100" t="s">
        <v>145</v>
      </c>
      <c r="D13" s="101" t="n">
        <v>0.8</v>
      </c>
      <c r="E13" s="102" t="n">
        <f aca="false">IF(C13="Yes",D13,-D13)</f>
        <v>-0.8</v>
      </c>
    </row>
    <row r="14" customFormat="false" ht="15" hidden="false" customHeight="false" outlineLevel="0" collapsed="false">
      <c r="B14" s="9" t="s">
        <v>148</v>
      </c>
      <c r="C14" s="100" t="s">
        <v>141</v>
      </c>
      <c r="D14" s="101" t="n">
        <v>1.2</v>
      </c>
      <c r="E14" s="102" t="n">
        <f aca="false">IF(C14="Yes",D14,-D14)</f>
        <v>1.2</v>
      </c>
    </row>
    <row r="15" customFormat="false" ht="15" hidden="false" customHeight="false" outlineLevel="0" collapsed="false">
      <c r="B15" s="9" t="s">
        <v>149</v>
      </c>
      <c r="C15" s="100" t="s">
        <v>141</v>
      </c>
      <c r="D15" s="101" t="n">
        <v>1</v>
      </c>
      <c r="E15" s="102" t="n">
        <f aca="false">IF(C15="Yes",D15,-D15)</f>
        <v>1</v>
      </c>
    </row>
    <row r="18" customFormat="false" ht="15" hidden="false" customHeight="false" outlineLevel="0" collapsed="false">
      <c r="B18" s="57" t="s">
        <v>150</v>
      </c>
      <c r="C18" s="58"/>
      <c r="D18" s="58"/>
      <c r="E18" s="103" t="n">
        <f aca="false">SUM(E8:E15)</f>
        <v>2.4</v>
      </c>
    </row>
    <row r="19" customFormat="false" ht="15" hidden="false" customHeight="false" outlineLevel="0" collapsed="false">
      <c r="B19" s="74" t="s">
        <v>151</v>
      </c>
      <c r="C19" s="104" t="n">
        <f aca="false">E18/100</f>
        <v>0.024</v>
      </c>
    </row>
    <row r="20" customFormat="false" ht="15" hidden="false" customHeight="false" outlineLevel="0" collapsed="false">
      <c r="B20" s="74" t="s">
        <v>152</v>
      </c>
      <c r="C20" s="105" t="n">
        <f aca="false">IF(Simulator!C5=$C$4,1,0)</f>
        <v>0</v>
      </c>
      <c r="D20" s="105" t="n">
        <f aca="false">IF(Simulator!C6=$C$4,1,0)</f>
        <v>1</v>
      </c>
      <c r="E20" s="105" t="n">
        <f aca="false">IF(Simulator!C7=$C$4,1,0)</f>
        <v>0</v>
      </c>
      <c r="F20" s="105" t="n">
        <f aca="false">IF(Simulator!C8=$C$4,1,0)</f>
        <v>0</v>
      </c>
      <c r="G20" s="105" t="n">
        <f aca="false">IF(Simulator!C9=$C$4,1,0)</f>
        <v>0</v>
      </c>
      <c r="H20" s="105" t="n">
        <f aca="false">IF(Simulator!C10=$C$4,1,0)</f>
        <v>0</v>
      </c>
    </row>
    <row r="21" customFormat="false" ht="15" hidden="false" customHeight="false" outlineLevel="0" collapsed="false">
      <c r="C21" s="106" t="s">
        <v>125</v>
      </c>
      <c r="D21" s="106" t="s">
        <v>126</v>
      </c>
      <c r="E21" s="106" t="s">
        <v>127</v>
      </c>
      <c r="F21" s="106" t="s">
        <v>128</v>
      </c>
      <c r="G21" s="106" t="s">
        <v>129</v>
      </c>
      <c r="H21" s="106" t="s">
        <v>130</v>
      </c>
    </row>
    <row r="23" customFormat="false" ht="15" hidden="false" customHeight="false" outlineLevel="0" collapsed="false">
      <c r="B23" s="3" t="s">
        <v>153</v>
      </c>
      <c r="C23" s="3"/>
      <c r="D23" s="3"/>
      <c r="E23" s="3"/>
    </row>
    <row r="24" customFormat="false" ht="15" hidden="false" customHeight="false" outlineLevel="0" collapsed="false">
      <c r="B24" s="6" t="s">
        <v>154</v>
      </c>
      <c r="C24" s="35" t="n">
        <f aca="false">IF($C$4="None","-",INDEX(Simulator!$C$16:$C$21,MATCH($C$4,Simulator!$C$5:$C$10,0)))</f>
        <v>307</v>
      </c>
    </row>
    <row r="25" customFormat="false" ht="15" hidden="false" customHeight="false" outlineLevel="0" collapsed="false">
      <c r="B25" s="6" t="s">
        <v>91</v>
      </c>
      <c r="C25" s="47" t="str">
        <f aca="false">IF($C$4="None","No incumbent set",IF(Simulator!$C$24=$C$4,"Held majority",IF(Simulator!$C$23=$C$4,"Largest party - no majority","Lost power")))</f>
        <v>Held majority</v>
      </c>
    </row>
    <row r="26" customFormat="false" ht="15" hidden="false" customHeight="false" outlineLevel="0" collapsed="false">
      <c r="B26" s="34" t="s">
        <v>155</v>
      </c>
      <c r="C26" s="55" t="n">
        <f aca="false">IF($C$4="None","-",INDEX(Simulator!$C$27:$C$32,MATCH($C$4,Simulator!$C$5:$C$10,0))/SUM(Simulator!$C$27:$C$32))</f>
        <v>0.322677308143517</v>
      </c>
    </row>
  </sheetData>
  <mergeCells count="3">
    <mergeCell ref="B1:E1"/>
    <mergeCell ref="B2:E2"/>
    <mergeCell ref="B23:E23"/>
  </mergeCells>
  <conditionalFormatting sqref="C25">
    <cfRule type="expression" priority="2" aboveAverage="0" equalAverage="0" bottom="0" percent="0" rank="0" text="" dxfId="0">
      <formula>$C$25="Held majority"</formula>
    </cfRule>
    <cfRule type="expression" priority="3" aboveAverage="0" equalAverage="0" bottom="0" percent="0" rank="0" text="" dxfId="1">
      <formula>$C$25="Lost power"</formula>
    </cfRule>
  </conditionalFormatting>
  <dataValidations count="2">
    <dataValidation allowBlank="false" errorStyle="stop" operator="between" showDropDown="false" showErrorMessage="false" showInputMessage="false" sqref="C4" type="list">
      <formula1>$J$1:$J$7</formula1>
      <formula2>0</formula2>
    </dataValidation>
    <dataValidation allowBlank="false" errorStyle="stop" operator="between" showDropDown="false" showErrorMessage="false" showInputMessage="false" sqref="C8:C15" type="list">
      <formula1>"Yes,No"</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J14"/>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5" zeroHeight="false" outlineLevelRow="0" outlineLevelCol="0"/>
  <cols>
    <col collapsed="false" customWidth="true" hidden="false" outlineLevel="0" max="1" min="1" style="0" width="2"/>
    <col collapsed="false" customWidth="true" hidden="false" outlineLevel="0" max="2" min="2" style="0" width="42"/>
    <col collapsed="false" customWidth="true" hidden="false" outlineLevel="0" max="8" min="3" style="0" width="11"/>
    <col collapsed="false" customWidth="true" hidden="true" outlineLevel="0" max="10" min="10" style="0" width="13"/>
  </cols>
  <sheetData>
    <row r="1" customFormat="false" ht="25.5" hidden="false" customHeight="true" outlineLevel="0" collapsed="false">
      <c r="B1" s="62" t="s">
        <v>156</v>
      </c>
      <c r="C1" s="62"/>
      <c r="D1" s="62"/>
      <c r="E1" s="62"/>
      <c r="F1" s="62"/>
      <c r="G1" s="62"/>
      <c r="H1" s="62"/>
      <c r="J1" s="34" t="s">
        <v>135</v>
      </c>
    </row>
    <row r="2" customFormat="false" ht="39.75" hidden="false" customHeight="true" outlineLevel="0" collapsed="false">
      <c r="B2" s="63" t="s">
        <v>157</v>
      </c>
      <c r="C2" s="63"/>
      <c r="D2" s="63"/>
      <c r="E2" s="63"/>
      <c r="F2" s="63"/>
      <c r="G2" s="63"/>
      <c r="H2" s="63"/>
      <c r="J2" s="0" t="str">
        <f aca="false">Simulator!C5</f>
        <v>Conservatives</v>
      </c>
    </row>
    <row r="3" customFormat="false" ht="15" hidden="false" customHeight="false" outlineLevel="0" collapsed="false">
      <c r="J3" s="0" t="str">
        <f aca="false">Simulator!C6</f>
        <v>Social-Democrats</v>
      </c>
    </row>
    <row r="4" customFormat="false" ht="15" hidden="false" customHeight="false" outlineLevel="0" collapsed="false">
      <c r="B4" s="6" t="s">
        <v>158</v>
      </c>
      <c r="C4" s="8" t="n">
        <v>0.1</v>
      </c>
      <c r="D4" s="74" t="s">
        <v>159</v>
      </c>
      <c r="J4" s="0" t="str">
        <f aca="false">Simulator!C7</f>
        <v>Liberals</v>
      </c>
    </row>
    <row r="5" customFormat="false" ht="15" hidden="false" customHeight="false" outlineLevel="0" collapsed="false">
      <c r="B5" s="6" t="s">
        <v>160</v>
      </c>
      <c r="C5" s="100" t="s">
        <v>135</v>
      </c>
      <c r="D5" s="74" t="s">
        <v>161</v>
      </c>
      <c r="J5" s="0" t="str">
        <f aca="false">Simulator!C8</f>
        <v>Nationalist</v>
      </c>
    </row>
    <row r="6" customFormat="false" ht="15" hidden="false" customHeight="false" outlineLevel="0" collapsed="false">
      <c r="B6" s="74" t="s">
        <v>162</v>
      </c>
      <c r="C6" s="107" t="n">
        <f aca="false">IF($C$5="None",0,$C$4)</f>
        <v>0</v>
      </c>
      <c r="J6" s="0" t="str">
        <f aca="false">Simulator!C9</f>
        <v>Independent</v>
      </c>
    </row>
    <row r="7" customFormat="false" ht="15" hidden="false" customHeight="false" outlineLevel="0" collapsed="false">
      <c r="B7" s="74" t="s">
        <v>163</v>
      </c>
      <c r="C7" s="106" t="s">
        <v>125</v>
      </c>
      <c r="D7" s="106" t="s">
        <v>126</v>
      </c>
      <c r="E7" s="106" t="s">
        <v>127</v>
      </c>
      <c r="F7" s="106" t="s">
        <v>128</v>
      </c>
      <c r="G7" s="106" t="s">
        <v>129</v>
      </c>
      <c r="H7" s="106" t="s">
        <v>130</v>
      </c>
      <c r="J7" s="0" t="str">
        <f aca="false">Simulator!C10</f>
        <v>BP First</v>
      </c>
    </row>
    <row r="8" customFormat="false" ht="15" hidden="false" customHeight="false" outlineLevel="0" collapsed="false">
      <c r="C8" s="105" t="n">
        <f aca="false">IF(Simulator!C5=$C$5,1,0)</f>
        <v>0</v>
      </c>
      <c r="D8" s="105" t="n">
        <f aca="false">IF(Simulator!C6=$C$5,1,0)</f>
        <v>0</v>
      </c>
      <c r="E8" s="105" t="n">
        <f aca="false">IF(Simulator!C7=$C$5,1,0)</f>
        <v>0</v>
      </c>
      <c r="F8" s="105" t="n">
        <f aca="false">IF(Simulator!C8=$C$5,1,0)</f>
        <v>0</v>
      </c>
      <c r="G8" s="105" t="n">
        <f aca="false">IF(Simulator!C9=$C$5,1,0)</f>
        <v>0</v>
      </c>
      <c r="H8" s="105" t="n">
        <f aca="false">IF(Simulator!C10=$C$5,1,0)</f>
        <v>0</v>
      </c>
    </row>
    <row r="10" customFormat="false" ht="15" hidden="false" customHeight="false" outlineLevel="0" collapsed="false">
      <c r="B10" s="3" t="s">
        <v>164</v>
      </c>
      <c r="C10" s="3"/>
      <c r="D10" s="3"/>
      <c r="E10" s="3"/>
      <c r="F10" s="3"/>
      <c r="G10" s="3"/>
      <c r="H10" s="3"/>
    </row>
    <row r="11" customFormat="false" ht="15" hidden="false" customHeight="false" outlineLevel="0" collapsed="false">
      <c r="C11" s="108" t="s">
        <v>125</v>
      </c>
      <c r="D11" s="109" t="s">
        <v>126</v>
      </c>
      <c r="E11" s="110" t="s">
        <v>127</v>
      </c>
      <c r="F11" s="111" t="s">
        <v>128</v>
      </c>
      <c r="G11" s="112" t="s">
        <v>129</v>
      </c>
      <c r="H11" s="113" t="s">
        <v>130</v>
      </c>
    </row>
    <row r="12" customFormat="false" ht="15" hidden="false" customHeight="false" outlineLevel="0" collapsed="false">
      <c r="B12" s="6" t="s">
        <v>165</v>
      </c>
      <c r="C12" s="114" t="n">
        <v>0</v>
      </c>
      <c r="D12" s="115" t="n">
        <v>0</v>
      </c>
      <c r="E12" s="116" t="n">
        <v>0</v>
      </c>
      <c r="F12" s="117" t="n">
        <v>0</v>
      </c>
      <c r="G12" s="118" t="n">
        <v>0</v>
      </c>
      <c r="H12" s="119" t="n">
        <v>0</v>
      </c>
    </row>
    <row r="14" customFormat="false" ht="15" hidden="false" customHeight="false" outlineLevel="0" collapsed="false">
      <c r="B14" s="120" t="s">
        <v>166</v>
      </c>
      <c r="C14" s="120"/>
      <c r="D14" s="120"/>
      <c r="E14" s="120"/>
      <c r="F14" s="120"/>
      <c r="G14" s="120"/>
      <c r="H14" s="120"/>
    </row>
  </sheetData>
  <mergeCells count="4">
    <mergeCell ref="B1:H1"/>
    <mergeCell ref="B2:H2"/>
    <mergeCell ref="B10:H10"/>
    <mergeCell ref="B14:H14"/>
  </mergeCells>
  <dataValidations count="1">
    <dataValidation allowBlank="false" errorStyle="stop" operator="between" showDropDown="false" showErrorMessage="false" showInputMessage="false" sqref="C5" type="list">
      <formula1>$J$1:$J$7</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D22"/>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5" zeroHeight="false" outlineLevelRow="0" outlineLevelCol="0"/>
  <cols>
    <col collapsed="false" customWidth="true" hidden="false" outlineLevel="0" max="1" min="1" style="0" width="2"/>
    <col collapsed="false" customWidth="true" hidden="false" outlineLevel="0" max="2" min="2" style="0" width="26"/>
    <col collapsed="false" customWidth="true" hidden="false" outlineLevel="0" max="3" min="3" style="0" width="22"/>
    <col collapsed="false" customWidth="true" hidden="false" outlineLevel="0" max="4" min="4" style="0" width="14"/>
  </cols>
  <sheetData>
    <row r="1" customFormat="false" ht="25.5" hidden="false" customHeight="true" outlineLevel="0" collapsed="false">
      <c r="B1" s="62" t="s">
        <v>167</v>
      </c>
      <c r="C1" s="62"/>
      <c r="D1" s="62"/>
    </row>
    <row r="2" customFormat="false" ht="33.75" hidden="false" customHeight="true" outlineLevel="0" collapsed="false">
      <c r="B2" s="63" t="s">
        <v>168</v>
      </c>
      <c r="C2" s="63"/>
      <c r="D2" s="63"/>
    </row>
    <row r="4" customFormat="false" ht="15" hidden="false" customHeight="false" outlineLevel="0" collapsed="false">
      <c r="B4" s="6" t="s">
        <v>169</v>
      </c>
      <c r="C4" s="100" t="s">
        <v>170</v>
      </c>
    </row>
    <row r="5" customFormat="false" ht="15" hidden="false" customHeight="false" outlineLevel="0" collapsed="false">
      <c r="B5" s="6" t="s">
        <v>171</v>
      </c>
      <c r="C5" s="100" t="s">
        <v>172</v>
      </c>
    </row>
    <row r="7" customFormat="false" ht="15" hidden="false" customHeight="false" outlineLevel="0" collapsed="false">
      <c r="B7" s="78" t="s">
        <v>173</v>
      </c>
      <c r="C7" s="78" t="s">
        <v>174</v>
      </c>
      <c r="D7" s="78" t="s">
        <v>9</v>
      </c>
    </row>
    <row r="8" customFormat="false" ht="15" hidden="false" customHeight="false" outlineLevel="0" collapsed="false">
      <c r="B8" s="121" t="str">
        <f aca="false">Simulator!C5</f>
        <v>Conservatives</v>
      </c>
      <c r="C8" s="122" t="s">
        <v>175</v>
      </c>
      <c r="D8" s="13" t="n">
        <f aca="false">Simulator!C16</f>
        <v>228</v>
      </c>
    </row>
    <row r="9" customFormat="false" ht="15" hidden="false" customHeight="false" outlineLevel="0" collapsed="false">
      <c r="B9" s="123" t="str">
        <f aca="false">Simulator!C6</f>
        <v>Social-Democrats</v>
      </c>
      <c r="C9" s="122" t="s">
        <v>176</v>
      </c>
      <c r="D9" s="13" t="n">
        <f aca="false">Simulator!C17</f>
        <v>307</v>
      </c>
    </row>
    <row r="10" customFormat="false" ht="15" hidden="false" customHeight="false" outlineLevel="0" collapsed="false">
      <c r="B10" s="124" t="str">
        <f aca="false">Simulator!C7</f>
        <v>Liberals</v>
      </c>
      <c r="C10" s="122" t="s">
        <v>176</v>
      </c>
      <c r="D10" s="13" t="n">
        <f aca="false">Simulator!C18</f>
        <v>31</v>
      </c>
    </row>
    <row r="11" customFormat="false" ht="15" hidden="false" customHeight="false" outlineLevel="0" collapsed="false">
      <c r="B11" s="125" t="str">
        <f aca="false">Simulator!C8</f>
        <v>Nationalist</v>
      </c>
      <c r="C11" s="122" t="s">
        <v>175</v>
      </c>
      <c r="D11" s="13" t="n">
        <f aca="false">Simulator!C19</f>
        <v>32</v>
      </c>
    </row>
    <row r="12" customFormat="false" ht="15" hidden="false" customHeight="false" outlineLevel="0" collapsed="false">
      <c r="B12" s="126" t="str">
        <f aca="false">Simulator!C9</f>
        <v>Independent</v>
      </c>
      <c r="C12" s="122" t="s">
        <v>177</v>
      </c>
      <c r="D12" s="13" t="n">
        <f aca="false">Simulator!C20</f>
        <v>2</v>
      </c>
    </row>
    <row r="13" customFormat="false" ht="15" hidden="false" customHeight="false" outlineLevel="0" collapsed="false">
      <c r="B13" s="127" t="str">
        <f aca="false">Simulator!C10</f>
        <v>BP First</v>
      </c>
      <c r="C13" s="122" t="s">
        <v>177</v>
      </c>
      <c r="D13" s="13" t="n">
        <f aca="false">Simulator!C21</f>
        <v>2</v>
      </c>
    </row>
    <row r="15" customFormat="false" ht="15" hidden="false" customHeight="false" outlineLevel="0" collapsed="false">
      <c r="B15" s="128" t="str">
        <f aca="false">C4&amp;" seats"</f>
        <v>SD-Liberal seats</v>
      </c>
      <c r="C15" s="35" t="n">
        <f aca="false">SUMPRODUCT(($C$8:$C$13="Bloc 1")*Simulator!$C$16:$C$21)</f>
        <v>338</v>
      </c>
    </row>
    <row r="16" customFormat="false" ht="15" hidden="false" customHeight="false" outlineLevel="0" collapsed="false">
      <c r="B16" s="128" t="str">
        <f aca="false">C5&amp;" seats"</f>
        <v>Con-National seats</v>
      </c>
      <c r="C16" s="35" t="n">
        <f aca="false">SUMPRODUCT(($C$8:$C$13="Bloc 2")*Simulator!$C$16:$C$21)</f>
        <v>260</v>
      </c>
    </row>
    <row r="17" customFormat="false" ht="15" hidden="false" customHeight="false" outlineLevel="0" collapsed="false">
      <c r="B17" s="125" t="s">
        <v>178</v>
      </c>
      <c r="C17" s="13" t="n">
        <f aca="false">SUMPRODUCT(($C$8:$C$13="Unaligned")*Simulator!$C$16:$C$21)</f>
        <v>4</v>
      </c>
    </row>
    <row r="18" customFormat="false" ht="15" hidden="false" customHeight="false" outlineLevel="0" collapsed="false">
      <c r="B18" s="125" t="s">
        <v>179</v>
      </c>
      <c r="C18" s="35" t="n">
        <f aca="false">Simulator!C14</f>
        <v>302</v>
      </c>
    </row>
    <row r="20" customFormat="false" ht="15" hidden="false" customHeight="false" outlineLevel="0" collapsed="false">
      <c r="B20" s="3" t="s">
        <v>180</v>
      </c>
      <c r="C20" s="3"/>
      <c r="D20" s="3"/>
    </row>
    <row r="21" customFormat="false" ht="15" hidden="false" customHeight="false" outlineLevel="0" collapsed="false">
      <c r="B21" s="6" t="s">
        <v>181</v>
      </c>
      <c r="C21" s="129" t="str">
        <f aca="false">IF(MAX(Simulator!C16:C21)&gt;=C18,INDEX(Simulator!C5:C10,MATCH(MAX(Simulator!C16:C21),Simulator!C16:C21,0))&amp;" - single-party majority",IF(C15&gt;=C18,C4&amp;" coalition governs ("&amp;C15&amp;")",IF(C16&gt;=C18,C5&amp;" coalition governs ("&amp;C16&amp;")","Hung parliament - no majority bloc")))</f>
        <v>Social-Democrats - single-party majority</v>
      </c>
      <c r="D21" s="129"/>
    </row>
    <row r="22" customFormat="false" ht="15" hidden="false" customHeight="false" outlineLevel="0" collapsed="false">
      <c r="B22" s="6" t="s">
        <v>182</v>
      </c>
      <c r="C22" s="130" t="str">
        <f aca="false">IF(OR(MAX(Simulator!C16:C21)&gt;=C18,C15&gt;=C18,C16&gt;=C18),"-",IF(AND(C15+C17&gt;=C18,C16+C17&lt;C18),"Unaligned ("&amp;C17&amp;") can give "&amp;C4&amp;" a majority",IF(AND(C16+C17&gt;=C18,C15+C17&lt;C18),"Unaligned ("&amp;C17&amp;") can give "&amp;C5&amp;" a majority",IF(AND(C15+C17&gt;=C18,C16+C17&gt;=C18),"Unaligned ("&amp;C17&amp;") are kingmakers for either bloc","No bloc reaches "&amp;C18&amp;" even with unaligned"))))</f>
        <v>-</v>
      </c>
      <c r="D22" s="130"/>
    </row>
  </sheetData>
  <mergeCells count="5">
    <mergeCell ref="B1:D1"/>
    <mergeCell ref="B2:D2"/>
    <mergeCell ref="B20:D20"/>
    <mergeCell ref="C21:D21"/>
    <mergeCell ref="C22:D22"/>
  </mergeCells>
  <conditionalFormatting sqref="C21">
    <cfRule type="expression" priority="2" aboveAverage="0" equalAverage="0" bottom="0" percent="0" rank="0" text="" dxfId="7">
      <formula>ISNUMBER(SEARCH("Hung",$C$21))</formula>
    </cfRule>
    <cfRule type="expression" priority="3" aboveAverage="0" equalAverage="0" bottom="0" percent="0" rank="0" text="" dxfId="0">
      <formula>ISNUMBER(SEARCH("governs",$C$21))</formula>
    </cfRule>
  </conditionalFormatting>
  <dataValidations count="1">
    <dataValidation allowBlank="false" errorStyle="stop" operator="between" showDropDown="false" showErrorMessage="false" showInputMessage="false" sqref="C8:C13" type="list">
      <formula1>"Bloc 1,Bloc 2,Unaligned"</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CC4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2" ySplit="4" topLeftCell="C5" activePane="bottomRight" state="frozen"/>
      <selection pane="topLeft" activeCell="A1" activeCellId="0" sqref="A1"/>
      <selection pane="topRight" activeCell="C1" activeCellId="0" sqref="C1"/>
      <selection pane="bottomLeft" activeCell="A5" activeCellId="0" sqref="A5"/>
      <selection pane="bottomRight" activeCell="A1" activeCellId="0" sqref="A1"/>
    </sheetView>
  </sheetViews>
  <sheetFormatPr defaultColWidth="8.6796875" defaultRowHeight="15" zeroHeight="false" outlineLevelRow="0" outlineLevelCol="0"/>
  <cols>
    <col collapsed="false" customWidth="true" hidden="false" outlineLevel="0" max="1" min="1" style="0" width="2"/>
    <col collapsed="false" customWidth="true" hidden="false" outlineLevel="0" max="2" min="2" style="0" width="18"/>
    <col collapsed="false" customWidth="true" hidden="false" outlineLevel="0" max="26" min="3" style="0" width="6"/>
    <col collapsed="false" customWidth="true" hidden="false" outlineLevel="0" max="27" min="27" style="0" width="9"/>
    <col collapsed="false" customWidth="true" hidden="true" outlineLevel="0" max="81" min="29" style="0" width="13"/>
  </cols>
  <sheetData>
    <row r="1" customFormat="false" ht="25.5" hidden="false" customHeight="true" outlineLevel="0" collapsed="false">
      <c r="B1" s="62" t="s">
        <v>183</v>
      </c>
      <c r="C1" s="62"/>
      <c r="D1" s="62"/>
      <c r="E1" s="62"/>
      <c r="F1" s="62"/>
      <c r="G1" s="62"/>
      <c r="H1" s="62"/>
      <c r="I1" s="62"/>
      <c r="J1" s="62"/>
      <c r="K1" s="62"/>
      <c r="L1" s="62"/>
      <c r="M1" s="62"/>
      <c r="N1" s="62"/>
      <c r="O1" s="62"/>
      <c r="P1" s="62"/>
      <c r="Q1" s="62"/>
      <c r="R1" s="62"/>
      <c r="S1" s="62"/>
      <c r="T1" s="62"/>
      <c r="U1" s="62"/>
      <c r="V1" s="62"/>
      <c r="W1" s="62"/>
      <c r="X1" s="62"/>
      <c r="Y1" s="62"/>
      <c r="Z1" s="62"/>
      <c r="AA1" s="62"/>
    </row>
    <row r="2" customFormat="false" ht="15" hidden="false" customHeight="true" outlineLevel="0" collapsed="false">
      <c r="B2" s="63" t="s">
        <v>184</v>
      </c>
      <c r="C2" s="63"/>
      <c r="D2" s="63"/>
      <c r="E2" s="63"/>
      <c r="F2" s="63"/>
      <c r="G2" s="63"/>
      <c r="H2" s="63"/>
      <c r="I2" s="63"/>
      <c r="J2" s="63"/>
      <c r="K2" s="63"/>
      <c r="L2" s="63"/>
      <c r="M2" s="63"/>
      <c r="N2" s="63"/>
      <c r="O2" s="63"/>
      <c r="P2" s="63"/>
      <c r="Q2" s="63"/>
      <c r="R2" s="63"/>
      <c r="S2" s="63"/>
      <c r="T2" s="63"/>
      <c r="U2" s="63"/>
      <c r="V2" s="63"/>
      <c r="W2" s="63"/>
      <c r="X2" s="63"/>
      <c r="Y2" s="63"/>
      <c r="Z2" s="63"/>
      <c r="AA2" s="63"/>
    </row>
    <row r="3" customFormat="false" ht="15" hidden="false" customHeight="false" outlineLevel="0" collapsed="false">
      <c r="B3" s="6" t="s">
        <v>185</v>
      </c>
      <c r="C3" s="131" t="s">
        <v>186</v>
      </c>
      <c r="D3" s="29" t="n">
        <v>0.3</v>
      </c>
      <c r="E3" s="131" t="s">
        <v>187</v>
      </c>
      <c r="F3" s="29" t="n">
        <v>0.25</v>
      </c>
      <c r="G3" s="131" t="s">
        <v>188</v>
      </c>
      <c r="H3" s="29" t="n">
        <v>0.45</v>
      </c>
      <c r="I3" s="131" t="s">
        <v>103</v>
      </c>
      <c r="J3" s="132" t="n">
        <f aca="false">D3+F3+H3</f>
        <v>1</v>
      </c>
      <c r="K3" s="131" t="s">
        <v>189</v>
      </c>
      <c r="L3" s="101" t="n">
        <v>0.2</v>
      </c>
      <c r="M3" s="101" t="n">
        <v>0.3</v>
      </c>
      <c r="N3" s="101" t="n">
        <v>0.5</v>
      </c>
      <c r="O3" s="131" t="s">
        <v>103</v>
      </c>
      <c r="P3" s="133" t="n">
        <f aca="false">L3+M3+N3</f>
        <v>1</v>
      </c>
    </row>
    <row r="4" customFormat="false" ht="24" hidden="false" customHeight="true" outlineLevel="0" collapsed="false">
      <c r="B4" s="78" t="s">
        <v>4</v>
      </c>
      <c r="C4" s="77" t="s">
        <v>190</v>
      </c>
      <c r="D4" s="77"/>
      <c r="E4" s="77"/>
      <c r="F4" s="77"/>
      <c r="G4" s="77"/>
      <c r="H4" s="77"/>
      <c r="I4" s="77" t="s">
        <v>191</v>
      </c>
      <c r="J4" s="77"/>
      <c r="K4" s="77"/>
      <c r="L4" s="77"/>
      <c r="M4" s="77"/>
      <c r="N4" s="77"/>
      <c r="O4" s="77" t="s">
        <v>192</v>
      </c>
      <c r="P4" s="77"/>
      <c r="Q4" s="77"/>
      <c r="R4" s="77"/>
      <c r="S4" s="77"/>
      <c r="T4" s="77"/>
      <c r="U4" s="77" t="s">
        <v>193</v>
      </c>
      <c r="V4" s="77"/>
      <c r="W4" s="77"/>
      <c r="X4" s="77"/>
      <c r="Y4" s="77"/>
      <c r="Z4" s="77"/>
      <c r="AA4" s="5" t="s">
        <v>194</v>
      </c>
    </row>
    <row r="5" customFormat="false" ht="15" hidden="false" customHeight="false" outlineLevel="0" collapsed="false">
      <c r="B5" s="9" t="s">
        <v>31</v>
      </c>
      <c r="C5" s="134" t="n">
        <f aca="false">AC5/$AI5</f>
        <v>0.216266971504566</v>
      </c>
      <c r="D5" s="135" t="n">
        <f aca="false">AD5/$AI5</f>
        <v>0.330029115611369</v>
      </c>
      <c r="E5" s="136" t="n">
        <f aca="false">AE5/$AI5</f>
        <v>0.180948302021077</v>
      </c>
      <c r="F5" s="132" t="n">
        <f aca="false">AF5/$AI5</f>
        <v>0.182014828286176</v>
      </c>
      <c r="G5" s="137" t="n">
        <f aca="false">AG5/$AI5</f>
        <v>0.0907407825768132</v>
      </c>
      <c r="H5" s="138" t="n">
        <f aca="false">AH5/$AI5</f>
        <v>0</v>
      </c>
      <c r="I5" s="134" t="n">
        <f aca="false">$L$3*'Voting History'!C5+$M$3*'Voting History'!I5+$N$3*'Voting History'!O5</f>
        <v>0.306415160637686</v>
      </c>
      <c r="J5" s="135" t="n">
        <f aca="false">$L$3*'Voting History'!D5+$M$3*'Voting History'!J5+$N$3*'Voting History'!P5</f>
        <v>0.246002926917082</v>
      </c>
      <c r="K5" s="136" t="n">
        <f aca="false">$L$3*'Voting History'!E5+$M$3*'Voting History'!K5+$N$3*'Voting History'!Q5</f>
        <v>0.211425984414198</v>
      </c>
      <c r="L5" s="132" t="n">
        <f aca="false">$L$3*'Voting History'!F5+$M$3*'Voting History'!L5+$N$3*'Voting History'!R5</f>
        <v>0.139945781090068</v>
      </c>
      <c r="M5" s="137" t="n">
        <f aca="false">$L$3*'Voting History'!G5+$M$3*'Voting History'!M5+$N$3*'Voting History'!S5</f>
        <v>0.0962101469409656</v>
      </c>
      <c r="N5" s="138" t="n">
        <f aca="false">$L$3*'Voting History'!H5+$M$3*'Voting History'!N5+$N$3*'Voting History'!T5</f>
        <v>0</v>
      </c>
      <c r="O5" s="134" t="n">
        <f aca="false">Polling!C5</f>
        <v>0.215420077657554</v>
      </c>
      <c r="P5" s="135" t="n">
        <f aca="false">Polling!D5</f>
        <v>0.372027695443515</v>
      </c>
      <c r="Q5" s="136" t="n">
        <f aca="false">Polling!E5</f>
        <v>0.195378421430211</v>
      </c>
      <c r="R5" s="132" t="n">
        <f aca="false">Polling!F5</f>
        <v>0.141638353796493</v>
      </c>
      <c r="S5" s="137" t="n">
        <f aca="false">Polling!G5</f>
        <v>0.0755354516722268</v>
      </c>
      <c r="T5" s="138" t="n">
        <f aca="false">Polling!H5</f>
        <v>0</v>
      </c>
      <c r="U5" s="139" t="n">
        <f aca="false">AJ5/$AP5</f>
        <v>0.238422916556691</v>
      </c>
      <c r="V5" s="140" t="n">
        <f aca="false">AK5/$AP5</f>
        <v>0.327921929362263</v>
      </c>
      <c r="W5" s="141" t="n">
        <f aca="false">AL5/$AP5</f>
        <v>0.195061276353468</v>
      </c>
      <c r="X5" s="142" t="n">
        <f aca="false">AM5/$AP5</f>
        <v>0.153328152966792</v>
      </c>
      <c r="Y5" s="143" t="n">
        <f aca="false">AN5/$AP5</f>
        <v>0.0852657247607874</v>
      </c>
      <c r="Z5" s="144" t="n">
        <f aca="false">AO5/$AP5</f>
        <v>0</v>
      </c>
      <c r="AA5" s="55" t="n">
        <f aca="false">SUMPRODUCT(Demographics!$C5:$I5,Demographics!$C$43:$I$43)</f>
        <v>0.631650140394646</v>
      </c>
      <c r="AC5" s="145" t="n">
        <f aca="false">SUMPRODUCT(Demographics!$C5:$I5,Demographics!$C$43:$I$43,Demographics!$C$44:$I$44)</f>
        <v>0.136605062913584</v>
      </c>
      <c r="AD5" s="145" t="n">
        <f aca="false">SUMPRODUCT(Demographics!$C5:$I5,Demographics!$C$43:$I$43,Demographics!$C$45:$I$45)</f>
        <v>0.208462937210242</v>
      </c>
      <c r="AE5" s="145" t="n">
        <f aca="false">SUMPRODUCT(Demographics!$C5:$I5,Demographics!$C$43:$I$43,Demographics!$C$46:$I$46)</f>
        <v>0.114296020375786</v>
      </c>
      <c r="AF5" s="145" t="n">
        <f aca="false">SUMPRODUCT(Demographics!$C5:$I5,Demographics!$C$43:$I$43,Demographics!$C$47:$I$47)</f>
        <v>0.11496969184087</v>
      </c>
      <c r="AG5" s="145" t="n">
        <f aca="false">SUMPRODUCT(Demographics!$C5:$I5,Demographics!$C$43:$I$43,Demographics!$C$48:$I$48)</f>
        <v>0.0573164280541641</v>
      </c>
      <c r="AH5" s="145" t="n">
        <f aca="false">SUMPRODUCT(Demographics!$C5:$I5,Demographics!$C$43:$I$43,Demographics!$C$49:$I$49)</f>
        <v>0</v>
      </c>
      <c r="AI5" s="145" t="n">
        <f aca="false">SUM(AC5:AH5)</f>
        <v>0.631650140394646</v>
      </c>
      <c r="AJ5" s="145" t="n">
        <f aca="false">$D$3*C5+$F$3*I5+$H$3*O5</f>
        <v>0.238422916556691</v>
      </c>
      <c r="AK5" s="145" t="n">
        <f aca="false">$D$3*D5+$F$3*J5+$H$3*P5</f>
        <v>0.327921929362263</v>
      </c>
      <c r="AL5" s="145" t="n">
        <f aca="false">$D$3*E5+$F$3*K5+$H$3*Q5</f>
        <v>0.195061276353468</v>
      </c>
      <c r="AM5" s="145" t="n">
        <f aca="false">$D$3*F5+$F$3*L5+$H$3*R5</f>
        <v>0.153328152966792</v>
      </c>
      <c r="AN5" s="145" t="n">
        <f aca="false">$D$3*G5+$F$3*M5+$H$3*S5</f>
        <v>0.0852657247607874</v>
      </c>
      <c r="AO5" s="145" t="n">
        <f aca="false">$D$3*H5+$F$3*N5+$H$3*T5</f>
        <v>0</v>
      </c>
      <c r="AP5" s="145" t="n">
        <f aca="false">SUM(AJ5:AO5)</f>
        <v>1</v>
      </c>
      <c r="AR5" s="145" t="n">
        <f aca="false">IF(U5&lt;0.000000001,0,MAX(0.0002,U5+Incumbency!C$20*Incumbency!$C$6+'Tactical &amp; Candidate'!C$12/100))</f>
        <v>0.238422916556691</v>
      </c>
      <c r="AS5" s="145" t="n">
        <f aca="false">IF(V5&lt;0.000000001,0,MAX(0.0002,V5+Incumbency!D$20*Incumbency!$C$6+'Tactical &amp; Candidate'!D$12/100))</f>
        <v>0.351921929362263</v>
      </c>
      <c r="AT5" s="145" t="n">
        <f aca="false">IF(W5&lt;0.000000001,0,MAX(0.0002,W5+Incumbency!E$20*Incumbency!$C$6+'Tactical &amp; Candidate'!E$12/100))</f>
        <v>0.195061276353468</v>
      </c>
      <c r="AU5" s="145" t="n">
        <f aca="false">IF(X5&lt;0.000000001,0,MAX(0.0002,X5+Incumbency!F$20*Incumbency!$C$6+'Tactical &amp; Candidate'!F$12/100))</f>
        <v>0.153328152966792</v>
      </c>
      <c r="AV5" s="145" t="n">
        <f aca="false">IF(Y5&lt;0.000000001,0,MAX(0.0002,Y5+Incumbency!G$20*Incumbency!$C$6+'Tactical &amp; Candidate'!G$12/100))</f>
        <v>0.0852657247607874</v>
      </c>
      <c r="AW5" s="145" t="n">
        <f aca="false">IF(Z5&lt;0.000000001,0,MAX(0.0002,Z5+Incumbency!H$20*Incumbency!$C$6+'Tactical &amp; Candidate'!H$12/100))</f>
        <v>0</v>
      </c>
      <c r="AX5" s="145" t="n">
        <f aca="false">SUM(AR5:AW5)</f>
        <v>1.024</v>
      </c>
      <c r="AY5" s="145" t="n">
        <f aca="false">AR5/$AX5</f>
        <v>0.232834879449893</v>
      </c>
      <c r="AZ5" s="145" t="n">
        <f aca="false">AS5/$AX5</f>
        <v>0.343673759142835</v>
      </c>
      <c r="BA5" s="145" t="n">
        <f aca="false">AT5/$AX5</f>
        <v>0.190489527688933</v>
      </c>
      <c r="BB5" s="145" t="n">
        <f aca="false">AU5/$AX5</f>
        <v>0.149734524381633</v>
      </c>
      <c r="BC5" s="145" t="n">
        <f aca="false">AV5/$AX5</f>
        <v>0.0832673093367065</v>
      </c>
      <c r="BD5" s="145" t="n">
        <f aca="false">AW5/$AX5</f>
        <v>0</v>
      </c>
      <c r="BF5" s="145" t="n">
        <f aca="false">AY5*(1-'Tactical &amp; Candidate'!C$8)</f>
        <v>0.232834879449893</v>
      </c>
      <c r="BG5" s="145" t="n">
        <f aca="false">AZ5*(1-'Tactical &amp; Candidate'!D$8)</f>
        <v>0.343673759142835</v>
      </c>
      <c r="BH5" s="145" t="n">
        <f aca="false">BA5*(1-'Tactical &amp; Candidate'!E$8)</f>
        <v>0.190489527688933</v>
      </c>
      <c r="BI5" s="145" t="n">
        <f aca="false">BB5*(1-'Tactical &amp; Candidate'!F$8)</f>
        <v>0.149734524381633</v>
      </c>
      <c r="BJ5" s="145" t="n">
        <f aca="false">BC5*(1-'Tactical &amp; Candidate'!G$8)</f>
        <v>0.0832673093367065</v>
      </c>
      <c r="BK5" s="145" t="n">
        <f aca="false">BD5*(1-'Tactical &amp; Candidate'!H$8)</f>
        <v>0</v>
      </c>
      <c r="BL5" s="145" t="n">
        <f aca="false">LARGE(AY5:BD5,2)</f>
        <v>0.232834879449893</v>
      </c>
      <c r="BM5" s="145" t="n">
        <f aca="false">SUMPRODUCT((AY5:BD5&lt;$BL5)*AY5:BD5)*'Tactical &amp; Candidate'!$C$6</f>
        <v>0</v>
      </c>
      <c r="BN5" s="145" t="n">
        <f aca="false">MAX(BF5:BK5)</f>
        <v>0.343673759142835</v>
      </c>
      <c r="BO5" s="146" t="n">
        <f aca="false">SUMPRODUCT((BF5:BK5=$BN5)*1)</f>
        <v>1</v>
      </c>
      <c r="BQ5" s="145" t="n">
        <f aca="false">AY5*(1-'Tactical &amp; Candidate'!$C$6*(AY5&lt;$BL5))+IF(BF5=$BN5,$BM5/$BO5,0)</f>
        <v>0.232834879449893</v>
      </c>
      <c r="BR5" s="145" t="n">
        <f aca="false">AZ5*(1-'Tactical &amp; Candidate'!$C$6*(AZ5&lt;$BL5))+IF(BG5=$BN5,$BM5/$BO5,0)</f>
        <v>0.343673759142835</v>
      </c>
      <c r="BS5" s="145" t="n">
        <f aca="false">BA5*(1-'Tactical &amp; Candidate'!$C$6*(BA5&lt;$BL5))+IF(BH5=$BN5,$BM5/$BO5,0)</f>
        <v>0.190489527688933</v>
      </c>
      <c r="BT5" s="145" t="n">
        <f aca="false">BB5*(1-'Tactical &amp; Candidate'!$C$6*(BB5&lt;$BL5))+IF(BI5=$BN5,$BM5/$BO5,0)</f>
        <v>0.149734524381633</v>
      </c>
      <c r="BU5" s="145" t="n">
        <f aca="false">BC5*(1-'Tactical &amp; Candidate'!$C$6*(BC5&lt;$BL5))+IF(BJ5=$BN5,$BM5/$BO5,0)</f>
        <v>0.0832673093367065</v>
      </c>
      <c r="BV5" s="145" t="n">
        <f aca="false">BD5*(1-'Tactical &amp; Candidate'!$C$6*(BD5&lt;$BL5))+IF(BK5=$BN5,$BM5/$BO5,0)</f>
        <v>0</v>
      </c>
      <c r="BW5" s="145" t="n">
        <f aca="false">SUM(BQ5:BV5)</f>
        <v>1</v>
      </c>
      <c r="BX5" s="145" t="n">
        <f aca="false">BQ5/$BW5</f>
        <v>0.232834879449893</v>
      </c>
      <c r="BY5" s="145" t="n">
        <f aca="false">BR5/$BW5</f>
        <v>0.343673759142835</v>
      </c>
      <c r="BZ5" s="145" t="n">
        <f aca="false">BS5/$BW5</f>
        <v>0.190489527688933</v>
      </c>
      <c r="CA5" s="145" t="n">
        <f aca="false">BT5/$BW5</f>
        <v>0.149734524381633</v>
      </c>
      <c r="CB5" s="145" t="n">
        <f aca="false">BU5/$BW5</f>
        <v>0.0832673093367065</v>
      </c>
      <c r="CC5" s="145" t="n">
        <f aca="false">BV5/$BW5</f>
        <v>0</v>
      </c>
    </row>
    <row r="6" customFormat="false" ht="15" hidden="false" customHeight="false" outlineLevel="0" collapsed="false">
      <c r="B6" s="22" t="s">
        <v>34</v>
      </c>
      <c r="C6" s="147" t="n">
        <f aca="false">AC6/$AI6</f>
        <v>0.224155992880763</v>
      </c>
      <c r="D6" s="148" t="n">
        <f aca="false">AD6/$AI6</f>
        <v>0.315592735242524</v>
      </c>
      <c r="E6" s="149" t="n">
        <f aca="false">AE6/$AI6</f>
        <v>0.194343890854454</v>
      </c>
      <c r="F6" s="150" t="n">
        <f aca="false">AF6/$AI6</f>
        <v>0.173857126646916</v>
      </c>
      <c r="G6" s="151" t="n">
        <f aca="false">AG6/$AI6</f>
        <v>0.0920502543753426</v>
      </c>
      <c r="H6" s="152" t="n">
        <f aca="false">AH6/$AI6</f>
        <v>0</v>
      </c>
      <c r="I6" s="147" t="n">
        <f aca="false">$L$3*'Voting History'!C6+$M$3*'Voting History'!I6+$N$3*'Voting History'!O6</f>
        <v>0.271963069914867</v>
      </c>
      <c r="J6" s="148" t="n">
        <f aca="false">$L$3*'Voting History'!D6+$M$3*'Voting History'!J6+$N$3*'Voting History'!P6</f>
        <v>0.258141429149148</v>
      </c>
      <c r="K6" s="149" t="n">
        <f aca="false">$L$3*'Voting History'!E6+$M$3*'Voting History'!K6+$N$3*'Voting History'!Q6</f>
        <v>0.248733162973553</v>
      </c>
      <c r="L6" s="150" t="n">
        <f aca="false">$L$3*'Voting History'!F6+$M$3*'Voting History'!L6+$N$3*'Voting History'!R6</f>
        <v>0.0992304056772666</v>
      </c>
      <c r="M6" s="151" t="n">
        <f aca="false">$L$3*'Voting History'!G6+$M$3*'Voting History'!M6+$N$3*'Voting History'!S6</f>
        <v>0.121931932285166</v>
      </c>
      <c r="N6" s="152" t="n">
        <f aca="false">$L$3*'Voting History'!H6+$M$3*'Voting History'!N6+$N$3*'Voting History'!T6</f>
        <v>0</v>
      </c>
      <c r="O6" s="147" t="n">
        <f aca="false">Polling!C6</f>
        <v>0.192771775108034</v>
      </c>
      <c r="P6" s="148" t="n">
        <f aca="false">Polling!D6</f>
        <v>0.388682492042315</v>
      </c>
      <c r="Q6" s="149" t="n">
        <f aca="false">Polling!E6</f>
        <v>0.212086295238372</v>
      </c>
      <c r="R6" s="150" t="n">
        <f aca="false">Polling!F6</f>
        <v>0.11281056594061</v>
      </c>
      <c r="S6" s="151" t="n">
        <f aca="false">Polling!G6</f>
        <v>0.0936488716706689</v>
      </c>
      <c r="T6" s="152" t="n">
        <f aca="false">Polling!H6</f>
        <v>0</v>
      </c>
      <c r="U6" s="153" t="n">
        <f aca="false">AJ6/$AP6</f>
        <v>0.221984864141561</v>
      </c>
      <c r="V6" s="154" t="n">
        <f aca="false">AK6/$AP6</f>
        <v>0.334120299279086</v>
      </c>
      <c r="W6" s="155" t="n">
        <f aca="false">AL6/$AP6</f>
        <v>0.215925290856992</v>
      </c>
      <c r="X6" s="156" t="n">
        <f aca="false">AM6/$AP6</f>
        <v>0.127729494086666</v>
      </c>
      <c r="Y6" s="157" t="n">
        <f aca="false">AN6/$AP6</f>
        <v>0.100240051635695</v>
      </c>
      <c r="Z6" s="158" t="n">
        <f aca="false">AO6/$AP6</f>
        <v>0</v>
      </c>
      <c r="AA6" s="66" t="n">
        <f aca="false">SUMPRODUCT(Demographics!$C6:$I6,Demographics!$C$43:$I$43)</f>
        <v>0.622874869681613</v>
      </c>
      <c r="AC6" s="145" t="n">
        <f aca="false">SUMPRODUCT(Demographics!$C6:$I6,Demographics!$C$43:$I$43,Demographics!$C$44:$I$44)</f>
        <v>0.139621134853958</v>
      </c>
      <c r="AD6" s="145" t="n">
        <f aca="false">SUMPRODUCT(Demographics!$C6:$I6,Demographics!$C$43:$I$43,Demographics!$C$45:$I$45)</f>
        <v>0.196574783836651</v>
      </c>
      <c r="AE6" s="145" t="n">
        <f aca="false">SUMPRODUCT(Demographics!$C6:$I6,Demographics!$C$43:$I$43,Demographics!$C$46:$I$46)</f>
        <v>0.121051925689386</v>
      </c>
      <c r="AF6" s="145" t="n">
        <f aca="false">SUMPRODUCT(Demographics!$C6:$I6,Demographics!$C$43:$I$43,Demographics!$C$47:$I$47)</f>
        <v>0.108291235103418</v>
      </c>
      <c r="AG6" s="145" t="n">
        <f aca="false">SUMPRODUCT(Demographics!$C6:$I6,Demographics!$C$43:$I$43,Demographics!$C$48:$I$48)</f>
        <v>0.0573357901982009</v>
      </c>
      <c r="AH6" s="145" t="n">
        <f aca="false">SUMPRODUCT(Demographics!$C6:$I6,Demographics!$C$43:$I$43,Demographics!$C$49:$I$49)</f>
        <v>0</v>
      </c>
      <c r="AI6" s="145" t="n">
        <f aca="false">SUM(AC6:AH6)</f>
        <v>0.622874869681613</v>
      </c>
      <c r="AJ6" s="145" t="n">
        <f aca="false">$D$3*C6+$F$3*I6+$H$3*O6</f>
        <v>0.221984864141561</v>
      </c>
      <c r="AK6" s="145" t="n">
        <f aca="false">$D$3*D6+$F$3*J6+$H$3*P6</f>
        <v>0.334120299279086</v>
      </c>
      <c r="AL6" s="145" t="n">
        <f aca="false">$D$3*E6+$F$3*K6+$H$3*Q6</f>
        <v>0.215925290856992</v>
      </c>
      <c r="AM6" s="145" t="n">
        <f aca="false">$D$3*F6+$F$3*L6+$H$3*R6</f>
        <v>0.127729494086666</v>
      </c>
      <c r="AN6" s="145" t="n">
        <f aca="false">$D$3*G6+$F$3*M6+$H$3*S6</f>
        <v>0.100240051635695</v>
      </c>
      <c r="AO6" s="145" t="n">
        <f aca="false">$D$3*H6+$F$3*N6+$H$3*T6</f>
        <v>0</v>
      </c>
      <c r="AP6" s="145" t="n">
        <f aca="false">SUM(AJ6:AO6)</f>
        <v>1</v>
      </c>
      <c r="AR6" s="145" t="n">
        <f aca="false">IF(U6&lt;0.000000001,0,MAX(0.0002,U6+Incumbency!C$20*Incumbency!$C$6+'Tactical &amp; Candidate'!C$12/100))</f>
        <v>0.221984864141561</v>
      </c>
      <c r="AS6" s="145" t="n">
        <f aca="false">IF(V6&lt;0.000000001,0,MAX(0.0002,V6+Incumbency!D$20*Incumbency!$C$6+'Tactical &amp; Candidate'!D$12/100))</f>
        <v>0.358120299279086</v>
      </c>
      <c r="AT6" s="145" t="n">
        <f aca="false">IF(W6&lt;0.000000001,0,MAX(0.0002,W6+Incumbency!E$20*Incumbency!$C$6+'Tactical &amp; Candidate'!E$12/100))</f>
        <v>0.215925290856992</v>
      </c>
      <c r="AU6" s="145" t="n">
        <f aca="false">IF(X6&lt;0.000000001,0,MAX(0.0002,X6+Incumbency!F$20*Incumbency!$C$6+'Tactical &amp; Candidate'!F$12/100))</f>
        <v>0.127729494086666</v>
      </c>
      <c r="AV6" s="145" t="n">
        <f aca="false">IF(Y6&lt;0.000000001,0,MAX(0.0002,Y6+Incumbency!G$20*Incumbency!$C$6+'Tactical &amp; Candidate'!G$12/100))</f>
        <v>0.100240051635695</v>
      </c>
      <c r="AW6" s="145" t="n">
        <f aca="false">IF(Z6&lt;0.000000001,0,MAX(0.0002,Z6+Incumbency!H$20*Incumbency!$C$6+'Tactical &amp; Candidate'!H$12/100))</f>
        <v>0</v>
      </c>
      <c r="AX6" s="145" t="n">
        <f aca="false">SUM(AR6:AW6)</f>
        <v>1.024</v>
      </c>
      <c r="AY6" s="145" t="n">
        <f aca="false">AR6/$AX6</f>
        <v>0.216782093888243</v>
      </c>
      <c r="AZ6" s="145" t="n">
        <f aca="false">AS6/$AX6</f>
        <v>0.349726854764732</v>
      </c>
      <c r="BA6" s="145" t="n">
        <f aca="false">AT6/$AX6</f>
        <v>0.210864541852531</v>
      </c>
      <c r="BB6" s="145" t="n">
        <f aca="false">AU6/$AX6</f>
        <v>0.12473583406901</v>
      </c>
      <c r="BC6" s="145" t="n">
        <f aca="false">AV6/$AX6</f>
        <v>0.0978906754254837</v>
      </c>
      <c r="BD6" s="145" t="n">
        <f aca="false">AW6/$AX6</f>
        <v>0</v>
      </c>
      <c r="BF6" s="145" t="n">
        <f aca="false">AY6*(1-'Tactical &amp; Candidate'!C$8)</f>
        <v>0.216782093888243</v>
      </c>
      <c r="BG6" s="145" t="n">
        <f aca="false">AZ6*(1-'Tactical &amp; Candidate'!D$8)</f>
        <v>0.349726854764732</v>
      </c>
      <c r="BH6" s="145" t="n">
        <f aca="false">BA6*(1-'Tactical &amp; Candidate'!E$8)</f>
        <v>0.210864541852531</v>
      </c>
      <c r="BI6" s="145" t="n">
        <f aca="false">BB6*(1-'Tactical &amp; Candidate'!F$8)</f>
        <v>0.12473583406901</v>
      </c>
      <c r="BJ6" s="145" t="n">
        <f aca="false">BC6*(1-'Tactical &amp; Candidate'!G$8)</f>
        <v>0.0978906754254837</v>
      </c>
      <c r="BK6" s="145" t="n">
        <f aca="false">BD6*(1-'Tactical &amp; Candidate'!H$8)</f>
        <v>0</v>
      </c>
      <c r="BL6" s="145" t="n">
        <f aca="false">LARGE(AY6:BD6,2)</f>
        <v>0.216782093888243</v>
      </c>
      <c r="BM6" s="145" t="n">
        <f aca="false">SUMPRODUCT((AY6:BD6&lt;$BL6)*AY6:BD6)*'Tactical &amp; Candidate'!$C$6</f>
        <v>0</v>
      </c>
      <c r="BN6" s="145" t="n">
        <f aca="false">MAX(BF6:BK6)</f>
        <v>0.349726854764732</v>
      </c>
      <c r="BO6" s="146" t="n">
        <f aca="false">SUMPRODUCT((BF6:BK6=$BN6)*1)</f>
        <v>1</v>
      </c>
      <c r="BQ6" s="145" t="n">
        <f aca="false">AY6*(1-'Tactical &amp; Candidate'!$C$6*(AY6&lt;$BL6))+IF(BF6=$BN6,$BM6/$BO6,0)</f>
        <v>0.216782093888243</v>
      </c>
      <c r="BR6" s="145" t="n">
        <f aca="false">AZ6*(1-'Tactical &amp; Candidate'!$C$6*(AZ6&lt;$BL6))+IF(BG6=$BN6,$BM6/$BO6,0)</f>
        <v>0.349726854764732</v>
      </c>
      <c r="BS6" s="145" t="n">
        <f aca="false">BA6*(1-'Tactical &amp; Candidate'!$C$6*(BA6&lt;$BL6))+IF(BH6=$BN6,$BM6/$BO6,0)</f>
        <v>0.210864541852531</v>
      </c>
      <c r="BT6" s="145" t="n">
        <f aca="false">BB6*(1-'Tactical &amp; Candidate'!$C$6*(BB6&lt;$BL6))+IF(BI6=$BN6,$BM6/$BO6,0)</f>
        <v>0.12473583406901</v>
      </c>
      <c r="BU6" s="145" t="n">
        <f aca="false">BC6*(1-'Tactical &amp; Candidate'!$C$6*(BC6&lt;$BL6))+IF(BJ6=$BN6,$BM6/$BO6,0)</f>
        <v>0.0978906754254837</v>
      </c>
      <c r="BV6" s="145" t="n">
        <f aca="false">BD6*(1-'Tactical &amp; Candidate'!$C$6*(BD6&lt;$BL6))+IF(BK6=$BN6,$BM6/$BO6,0)</f>
        <v>0</v>
      </c>
      <c r="BW6" s="145" t="n">
        <f aca="false">SUM(BQ6:BV6)</f>
        <v>1</v>
      </c>
      <c r="BX6" s="145" t="n">
        <f aca="false">BQ6/$BW6</f>
        <v>0.216782093888243</v>
      </c>
      <c r="BY6" s="145" t="n">
        <f aca="false">BR6/$BW6</f>
        <v>0.349726854764732</v>
      </c>
      <c r="BZ6" s="145" t="n">
        <f aca="false">BS6/$BW6</f>
        <v>0.210864541852531</v>
      </c>
      <c r="CA6" s="145" t="n">
        <f aca="false">BT6/$BW6</f>
        <v>0.12473583406901</v>
      </c>
      <c r="CB6" s="145" t="n">
        <f aca="false">BU6/$BW6</f>
        <v>0.0978906754254837</v>
      </c>
      <c r="CC6" s="145" t="n">
        <f aca="false">BV6/$BW6</f>
        <v>0</v>
      </c>
    </row>
    <row r="7" customFormat="false" ht="15" hidden="false" customHeight="false" outlineLevel="0" collapsed="false">
      <c r="B7" s="9" t="s">
        <v>37</v>
      </c>
      <c r="C7" s="134" t="n">
        <f aca="false">AC7/$AI7</f>
        <v>0.222172456791776</v>
      </c>
      <c r="D7" s="135" t="n">
        <f aca="false">AD7/$AI7</f>
        <v>0.314853458270304</v>
      </c>
      <c r="E7" s="136" t="n">
        <f aca="false">AE7/$AI7</f>
        <v>0.173112856868034</v>
      </c>
      <c r="F7" s="132" t="n">
        <f aca="false">AF7/$AI7</f>
        <v>0.197266411082302</v>
      </c>
      <c r="G7" s="137" t="n">
        <f aca="false">AG7/$AI7</f>
        <v>0.092594816987584</v>
      </c>
      <c r="H7" s="138" t="n">
        <f aca="false">AH7/$AI7</f>
        <v>0</v>
      </c>
      <c r="I7" s="134" t="n">
        <f aca="false">$L$3*'Voting History'!C7+$M$3*'Voting History'!I7+$N$3*'Voting History'!O7</f>
        <v>0.333307106377263</v>
      </c>
      <c r="J7" s="135" t="n">
        <f aca="false">$L$3*'Voting History'!D7+$M$3*'Voting History'!J7+$N$3*'Voting History'!P7</f>
        <v>0.260386606991497</v>
      </c>
      <c r="K7" s="136" t="n">
        <f aca="false">$L$3*'Voting History'!E7+$M$3*'Voting History'!K7+$N$3*'Voting History'!Q7</f>
        <v>0.183885775819235</v>
      </c>
      <c r="L7" s="132" t="n">
        <f aca="false">$L$3*'Voting History'!F7+$M$3*'Voting History'!L7+$N$3*'Voting History'!R7</f>
        <v>0.135499367155084</v>
      </c>
      <c r="M7" s="137" t="n">
        <f aca="false">$L$3*'Voting History'!G7+$M$3*'Voting History'!M7+$N$3*'Voting History'!S7</f>
        <v>0.0869211436569209</v>
      </c>
      <c r="N7" s="138" t="n">
        <f aca="false">$L$3*'Voting History'!H7+$M$3*'Voting History'!N7+$N$3*'Voting History'!T7</f>
        <v>0</v>
      </c>
      <c r="O7" s="134" t="n">
        <f aca="false">Polling!C7</f>
        <v>0.238721841666062</v>
      </c>
      <c r="P7" s="135" t="n">
        <f aca="false">Polling!D7</f>
        <v>0.380928238945286</v>
      </c>
      <c r="Q7" s="136" t="n">
        <f aca="false">Polling!E7</f>
        <v>0.178098847697757</v>
      </c>
      <c r="R7" s="132" t="n">
        <f aca="false">Polling!F7</f>
        <v>0.138658759773195</v>
      </c>
      <c r="S7" s="137" t="n">
        <f aca="false">Polling!G7</f>
        <v>0.0635923119176997</v>
      </c>
      <c r="T7" s="138" t="n">
        <f aca="false">Polling!H7</f>
        <v>0</v>
      </c>
      <c r="U7" s="139" t="n">
        <f aca="false">AJ7/$AP7</f>
        <v>0.257403342381576</v>
      </c>
      <c r="V7" s="140" t="n">
        <f aca="false">AK7/$AP7</f>
        <v>0.330970396754344</v>
      </c>
      <c r="W7" s="141" t="n">
        <f aca="false">AL7/$AP7</f>
        <v>0.17804978247921</v>
      </c>
      <c r="X7" s="142" t="n">
        <f aca="false">AM7/$AP7</f>
        <v>0.155451207011399</v>
      </c>
      <c r="Y7" s="143" t="n">
        <f aca="false">AN7/$AP7</f>
        <v>0.0781252713734703</v>
      </c>
      <c r="Z7" s="144" t="n">
        <f aca="false">AO7/$AP7</f>
        <v>0</v>
      </c>
      <c r="AA7" s="55" t="n">
        <f aca="false">SUMPRODUCT(Demographics!$C7:$I7,Demographics!$C$43:$I$43)</f>
        <v>0.627180228620882</v>
      </c>
      <c r="AC7" s="145" t="n">
        <f aca="false">SUMPRODUCT(Demographics!$C7:$I7,Demographics!$C$43:$I$43,Demographics!$C$44:$I$44)</f>
        <v>0.139342172243929</v>
      </c>
      <c r="AD7" s="145" t="n">
        <f aca="false">SUMPRODUCT(Demographics!$C7:$I7,Demographics!$C$43:$I$43,Demographics!$C$45:$I$45)</f>
        <v>0.197469863940045</v>
      </c>
      <c r="AE7" s="145" t="n">
        <f aca="false">SUMPRODUCT(Demographics!$C7:$I7,Demographics!$C$43:$I$43,Demographics!$C$46:$I$46)</f>
        <v>0.108572961147708</v>
      </c>
      <c r="AF7" s="145" t="n">
        <f aca="false">SUMPRODUCT(Demographics!$C7:$I7,Demographics!$C$43:$I$43,Demographics!$C$47:$I$47)</f>
        <v>0.123721592801819</v>
      </c>
      <c r="AG7" s="145" t="n">
        <f aca="false">SUMPRODUCT(Demographics!$C7:$I7,Demographics!$C$43:$I$43,Demographics!$C$48:$I$48)</f>
        <v>0.0580736384873817</v>
      </c>
      <c r="AH7" s="145" t="n">
        <f aca="false">SUMPRODUCT(Demographics!$C7:$I7,Demographics!$C$43:$I$43,Demographics!$C$49:$I$49)</f>
        <v>0</v>
      </c>
      <c r="AI7" s="145" t="n">
        <f aca="false">SUM(AC7:AH7)</f>
        <v>0.627180228620882</v>
      </c>
      <c r="AJ7" s="145" t="n">
        <f aca="false">$D$3*C7+$F$3*I7+$H$3*O7</f>
        <v>0.257403342381576</v>
      </c>
      <c r="AK7" s="145" t="n">
        <f aca="false">$D$3*D7+$F$3*J7+$H$3*P7</f>
        <v>0.330970396754344</v>
      </c>
      <c r="AL7" s="145" t="n">
        <f aca="false">$D$3*E7+$F$3*K7+$H$3*Q7</f>
        <v>0.17804978247921</v>
      </c>
      <c r="AM7" s="145" t="n">
        <f aca="false">$D$3*F7+$F$3*L7+$H$3*R7</f>
        <v>0.155451207011399</v>
      </c>
      <c r="AN7" s="145" t="n">
        <f aca="false">$D$3*G7+$F$3*M7+$H$3*S7</f>
        <v>0.0781252713734703</v>
      </c>
      <c r="AO7" s="145" t="n">
        <f aca="false">$D$3*H7+$F$3*N7+$H$3*T7</f>
        <v>0</v>
      </c>
      <c r="AP7" s="145" t="n">
        <f aca="false">SUM(AJ7:AO7)</f>
        <v>1</v>
      </c>
      <c r="AR7" s="145" t="n">
        <f aca="false">IF(U7&lt;0.000000001,0,MAX(0.0002,U7+Incumbency!C$20*Incumbency!$C$6+'Tactical &amp; Candidate'!C$12/100))</f>
        <v>0.257403342381576</v>
      </c>
      <c r="AS7" s="145" t="n">
        <f aca="false">IF(V7&lt;0.000000001,0,MAX(0.0002,V7+Incumbency!D$20*Incumbency!$C$6+'Tactical &amp; Candidate'!D$12/100))</f>
        <v>0.354970396754344</v>
      </c>
      <c r="AT7" s="145" t="n">
        <f aca="false">IF(W7&lt;0.000000001,0,MAX(0.0002,W7+Incumbency!E$20*Incumbency!$C$6+'Tactical &amp; Candidate'!E$12/100))</f>
        <v>0.17804978247921</v>
      </c>
      <c r="AU7" s="145" t="n">
        <f aca="false">IF(X7&lt;0.000000001,0,MAX(0.0002,X7+Incumbency!F$20*Incumbency!$C$6+'Tactical &amp; Candidate'!F$12/100))</f>
        <v>0.155451207011399</v>
      </c>
      <c r="AV7" s="145" t="n">
        <f aca="false">IF(Y7&lt;0.000000001,0,MAX(0.0002,Y7+Incumbency!G$20*Incumbency!$C$6+'Tactical &amp; Candidate'!G$12/100))</f>
        <v>0.0781252713734703</v>
      </c>
      <c r="AW7" s="145" t="n">
        <f aca="false">IF(Z7&lt;0.000000001,0,MAX(0.0002,Z7+Incumbency!H$20*Incumbency!$C$6+'Tactical &amp; Candidate'!H$12/100))</f>
        <v>0</v>
      </c>
      <c r="AX7" s="145" t="n">
        <f aca="false">SUM(AR7:AW7)</f>
        <v>1.024</v>
      </c>
      <c r="AY7" s="145" t="n">
        <f aca="false">AR7/$AX7</f>
        <v>0.251370451544508</v>
      </c>
      <c r="AZ7" s="145" t="n">
        <f aca="false">AS7/$AX7</f>
        <v>0.346650778080414</v>
      </c>
      <c r="BA7" s="145" t="n">
        <f aca="false">AT7/$AX7</f>
        <v>0.173876740702353</v>
      </c>
      <c r="BB7" s="145" t="n">
        <f aca="false">AU7/$AX7</f>
        <v>0.15180781934707</v>
      </c>
      <c r="BC7" s="145" t="n">
        <f aca="false">AV7/$AX7</f>
        <v>0.0762942103256546</v>
      </c>
      <c r="BD7" s="145" t="n">
        <f aca="false">AW7/$AX7</f>
        <v>0</v>
      </c>
      <c r="BF7" s="145" t="n">
        <f aca="false">AY7*(1-'Tactical &amp; Candidate'!C$8)</f>
        <v>0.251370451544508</v>
      </c>
      <c r="BG7" s="145" t="n">
        <f aca="false">AZ7*(1-'Tactical &amp; Candidate'!D$8)</f>
        <v>0.346650778080414</v>
      </c>
      <c r="BH7" s="145" t="n">
        <f aca="false">BA7*(1-'Tactical &amp; Candidate'!E$8)</f>
        <v>0.173876740702353</v>
      </c>
      <c r="BI7" s="145" t="n">
        <f aca="false">BB7*(1-'Tactical &amp; Candidate'!F$8)</f>
        <v>0.15180781934707</v>
      </c>
      <c r="BJ7" s="145" t="n">
        <f aca="false">BC7*(1-'Tactical &amp; Candidate'!G$8)</f>
        <v>0.0762942103256546</v>
      </c>
      <c r="BK7" s="145" t="n">
        <f aca="false">BD7*(1-'Tactical &amp; Candidate'!H$8)</f>
        <v>0</v>
      </c>
      <c r="BL7" s="145" t="n">
        <f aca="false">LARGE(AY7:BD7,2)</f>
        <v>0.251370451544508</v>
      </c>
      <c r="BM7" s="145" t="n">
        <f aca="false">SUMPRODUCT((AY7:BD7&lt;$BL7)*AY7:BD7)*'Tactical &amp; Candidate'!$C$6</f>
        <v>0</v>
      </c>
      <c r="BN7" s="145" t="n">
        <f aca="false">MAX(BF7:BK7)</f>
        <v>0.346650778080414</v>
      </c>
      <c r="BO7" s="146" t="n">
        <f aca="false">SUMPRODUCT((BF7:BK7=$BN7)*1)</f>
        <v>1</v>
      </c>
      <c r="BQ7" s="145" t="n">
        <f aca="false">AY7*(1-'Tactical &amp; Candidate'!$C$6*(AY7&lt;$BL7))+IF(BF7=$BN7,$BM7/$BO7,0)</f>
        <v>0.251370451544508</v>
      </c>
      <c r="BR7" s="145" t="n">
        <f aca="false">AZ7*(1-'Tactical &amp; Candidate'!$C$6*(AZ7&lt;$BL7))+IF(BG7=$BN7,$BM7/$BO7,0)</f>
        <v>0.346650778080414</v>
      </c>
      <c r="BS7" s="145" t="n">
        <f aca="false">BA7*(1-'Tactical &amp; Candidate'!$C$6*(BA7&lt;$BL7))+IF(BH7=$BN7,$BM7/$BO7,0)</f>
        <v>0.173876740702353</v>
      </c>
      <c r="BT7" s="145" t="n">
        <f aca="false">BB7*(1-'Tactical &amp; Candidate'!$C$6*(BB7&lt;$BL7))+IF(BI7=$BN7,$BM7/$BO7,0)</f>
        <v>0.15180781934707</v>
      </c>
      <c r="BU7" s="145" t="n">
        <f aca="false">BC7*(1-'Tactical &amp; Candidate'!$C$6*(BC7&lt;$BL7))+IF(BJ7=$BN7,$BM7/$BO7,0)</f>
        <v>0.0762942103256546</v>
      </c>
      <c r="BV7" s="145" t="n">
        <f aca="false">BD7*(1-'Tactical &amp; Candidate'!$C$6*(BD7&lt;$BL7))+IF(BK7=$BN7,$BM7/$BO7,0)</f>
        <v>0</v>
      </c>
      <c r="BW7" s="145" t="n">
        <f aca="false">SUM(BQ7:BV7)</f>
        <v>1</v>
      </c>
      <c r="BX7" s="145" t="n">
        <f aca="false">BQ7/$BW7</f>
        <v>0.251370451544508</v>
      </c>
      <c r="BY7" s="145" t="n">
        <f aca="false">BR7/$BW7</f>
        <v>0.346650778080414</v>
      </c>
      <c r="BZ7" s="145" t="n">
        <f aca="false">BS7/$BW7</f>
        <v>0.173876740702353</v>
      </c>
      <c r="CA7" s="145" t="n">
        <f aca="false">BT7/$BW7</f>
        <v>0.15180781934707</v>
      </c>
      <c r="CB7" s="145" t="n">
        <f aca="false">BU7/$BW7</f>
        <v>0.0762942103256546</v>
      </c>
      <c r="CC7" s="145" t="n">
        <f aca="false">BV7/$BW7</f>
        <v>0</v>
      </c>
    </row>
    <row r="8" customFormat="false" ht="15" hidden="false" customHeight="false" outlineLevel="0" collapsed="false">
      <c r="B8" s="22" t="s">
        <v>40</v>
      </c>
      <c r="C8" s="147" t="n">
        <f aca="false">AC8/$AI8</f>
        <v>0.214060832144513</v>
      </c>
      <c r="D8" s="148" t="n">
        <f aca="false">AD8/$AI8</f>
        <v>0.338413148223745</v>
      </c>
      <c r="E8" s="149" t="n">
        <f aca="false">AE8/$AI8</f>
        <v>0.184109000383423</v>
      </c>
      <c r="F8" s="150" t="n">
        <f aca="false">AF8/$AI8</f>
        <v>0.173911815321971</v>
      </c>
      <c r="G8" s="151" t="n">
        <f aca="false">AG8/$AI8</f>
        <v>0.0895052039263485</v>
      </c>
      <c r="H8" s="152" t="n">
        <f aca="false">AH8/$AI8</f>
        <v>0</v>
      </c>
      <c r="I8" s="147" t="n">
        <f aca="false">$L$3*'Voting History'!C8+$M$3*'Voting History'!I8+$N$3*'Voting History'!O8</f>
        <v>0.282170776215602</v>
      </c>
      <c r="J8" s="148" t="n">
        <f aca="false">$L$3*'Voting History'!D8+$M$3*'Voting History'!J8+$N$3*'Voting History'!P8</f>
        <v>0.273418196326422</v>
      </c>
      <c r="K8" s="149" t="n">
        <f aca="false">$L$3*'Voting History'!E8+$M$3*'Voting History'!K8+$N$3*'Voting History'!Q8</f>
        <v>0.221547445733762</v>
      </c>
      <c r="L8" s="150" t="n">
        <f aca="false">$L$3*'Voting History'!F8+$M$3*'Voting History'!L8+$N$3*'Voting History'!R8</f>
        <v>0.136169958032837</v>
      </c>
      <c r="M8" s="151" t="n">
        <f aca="false">$L$3*'Voting History'!G8+$M$3*'Voting History'!M8+$N$3*'Voting History'!S8</f>
        <v>0.0866936236913777</v>
      </c>
      <c r="N8" s="152" t="n">
        <f aca="false">$L$3*'Voting History'!H8+$M$3*'Voting History'!N8+$N$3*'Voting History'!T8</f>
        <v>0</v>
      </c>
      <c r="O8" s="147" t="n">
        <f aca="false">Polling!C8</f>
        <v>0.19664962571499</v>
      </c>
      <c r="P8" s="148" t="n">
        <f aca="false">Polling!D8</f>
        <v>0.410385316280022</v>
      </c>
      <c r="Q8" s="149" t="n">
        <f aca="false">Polling!E8</f>
        <v>0.188311347088848</v>
      </c>
      <c r="R8" s="150" t="n">
        <f aca="false">Polling!F8</f>
        <v>0.135613231203846</v>
      </c>
      <c r="S8" s="151" t="n">
        <f aca="false">Polling!G8</f>
        <v>0.0690404797122945</v>
      </c>
      <c r="T8" s="152" t="n">
        <f aca="false">Polling!H8</f>
        <v>0</v>
      </c>
      <c r="U8" s="153" t="n">
        <f aca="false">AJ8/$AP8</f>
        <v>0.223253275269</v>
      </c>
      <c r="V8" s="154" t="n">
        <f aca="false">AK8/$AP8</f>
        <v>0.354551885874739</v>
      </c>
      <c r="W8" s="155" t="n">
        <f aca="false">AL8/$AP8</f>
        <v>0.195359667738449</v>
      </c>
      <c r="X8" s="156" t="n">
        <f aca="false">AM8/$AP8</f>
        <v>0.147241988146531</v>
      </c>
      <c r="Y8" s="157" t="n">
        <f aca="false">AN8/$AP8</f>
        <v>0.0795931829712815</v>
      </c>
      <c r="Z8" s="158" t="n">
        <f aca="false">AO8/$AP8</f>
        <v>0</v>
      </c>
      <c r="AA8" s="66" t="n">
        <f aca="false">SUMPRODUCT(Demographics!$C8:$I8,Demographics!$C$43:$I$43)</f>
        <v>0.630967267470641</v>
      </c>
      <c r="AC8" s="145" t="n">
        <f aca="false">SUMPRODUCT(Demographics!$C8:$I8,Demographics!$C$43:$I$43,Demographics!$C$44:$I$44)</f>
        <v>0.135065378330715</v>
      </c>
      <c r="AD8" s="145" t="n">
        <f aca="false">SUMPRODUCT(Demographics!$C8:$I8,Demographics!$C$43:$I$43,Demographics!$C$45:$I$45)</f>
        <v>0.213527619410873</v>
      </c>
      <c r="AE8" s="145" t="n">
        <f aca="false">SUMPRODUCT(Demographics!$C8:$I8,Demographics!$C$43:$I$43,Demographics!$C$46:$I$46)</f>
        <v>0.11616675288868</v>
      </c>
      <c r="AF8" s="145" t="n">
        <f aca="false">SUMPRODUCT(Demographics!$C8:$I8,Demographics!$C$43:$I$43,Demographics!$C$47:$I$47)</f>
        <v>0.109732662894563</v>
      </c>
      <c r="AG8" s="145" t="n">
        <f aca="false">SUMPRODUCT(Demographics!$C8:$I8,Demographics!$C$43:$I$43,Demographics!$C$48:$I$48)</f>
        <v>0.0564748539458106</v>
      </c>
      <c r="AH8" s="145" t="n">
        <f aca="false">SUMPRODUCT(Demographics!$C8:$I8,Demographics!$C$43:$I$43,Demographics!$C$49:$I$49)</f>
        <v>0</v>
      </c>
      <c r="AI8" s="145" t="n">
        <f aca="false">SUM(AC8:AH8)</f>
        <v>0.630967267470641</v>
      </c>
      <c r="AJ8" s="145" t="n">
        <f aca="false">$D$3*C8+$F$3*I8+$H$3*O8</f>
        <v>0.223253275269</v>
      </c>
      <c r="AK8" s="145" t="n">
        <f aca="false">$D$3*D8+$F$3*J8+$H$3*P8</f>
        <v>0.354551885874739</v>
      </c>
      <c r="AL8" s="145" t="n">
        <f aca="false">$D$3*E8+$F$3*K8+$H$3*Q8</f>
        <v>0.195359667738449</v>
      </c>
      <c r="AM8" s="145" t="n">
        <f aca="false">$D$3*F8+$F$3*L8+$H$3*R8</f>
        <v>0.147241988146531</v>
      </c>
      <c r="AN8" s="145" t="n">
        <f aca="false">$D$3*G8+$F$3*M8+$H$3*S8</f>
        <v>0.0795931829712815</v>
      </c>
      <c r="AO8" s="145" t="n">
        <f aca="false">$D$3*H8+$F$3*N8+$H$3*T8</f>
        <v>0</v>
      </c>
      <c r="AP8" s="145" t="n">
        <f aca="false">SUM(AJ8:AO8)</f>
        <v>1</v>
      </c>
      <c r="AR8" s="145" t="n">
        <f aca="false">IF(U8&lt;0.000000001,0,MAX(0.0002,U8+Incumbency!C$20*Incumbency!$C$6+'Tactical &amp; Candidate'!C$12/100))</f>
        <v>0.223253275269</v>
      </c>
      <c r="AS8" s="145" t="n">
        <f aca="false">IF(V8&lt;0.000000001,0,MAX(0.0002,V8+Incumbency!D$20*Incumbency!$C$6+'Tactical &amp; Candidate'!D$12/100))</f>
        <v>0.378551885874739</v>
      </c>
      <c r="AT8" s="145" t="n">
        <f aca="false">IF(W8&lt;0.000000001,0,MAX(0.0002,W8+Incumbency!E$20*Incumbency!$C$6+'Tactical &amp; Candidate'!E$12/100))</f>
        <v>0.195359667738449</v>
      </c>
      <c r="AU8" s="145" t="n">
        <f aca="false">IF(X8&lt;0.000000001,0,MAX(0.0002,X8+Incumbency!F$20*Incumbency!$C$6+'Tactical &amp; Candidate'!F$12/100))</f>
        <v>0.147241988146531</v>
      </c>
      <c r="AV8" s="145" t="n">
        <f aca="false">IF(Y8&lt;0.000000001,0,MAX(0.0002,Y8+Incumbency!G$20*Incumbency!$C$6+'Tactical &amp; Candidate'!G$12/100))</f>
        <v>0.0795931829712815</v>
      </c>
      <c r="AW8" s="145" t="n">
        <f aca="false">IF(Z8&lt;0.000000001,0,MAX(0.0002,Z8+Incumbency!H$20*Incumbency!$C$6+'Tactical &amp; Candidate'!H$12/100))</f>
        <v>0</v>
      </c>
      <c r="AX8" s="145" t="n">
        <f aca="false">SUM(AR8:AW8)</f>
        <v>1.024</v>
      </c>
      <c r="AY8" s="145" t="n">
        <f aca="false">AR8/$AX8</f>
        <v>0.218020776629883</v>
      </c>
      <c r="AZ8" s="145" t="n">
        <f aca="false">AS8/$AX8</f>
        <v>0.36967957604955</v>
      </c>
      <c r="BA8" s="145" t="n">
        <f aca="false">AT8/$AX8</f>
        <v>0.190780925525829</v>
      </c>
      <c r="BB8" s="145" t="n">
        <f aca="false">AU8/$AX8</f>
        <v>0.143791004049347</v>
      </c>
      <c r="BC8" s="145" t="n">
        <f aca="false">AV8/$AX8</f>
        <v>0.0777277177453921</v>
      </c>
      <c r="BD8" s="145" t="n">
        <f aca="false">AW8/$AX8</f>
        <v>0</v>
      </c>
      <c r="BF8" s="145" t="n">
        <f aca="false">AY8*(1-'Tactical &amp; Candidate'!C$8)</f>
        <v>0.218020776629883</v>
      </c>
      <c r="BG8" s="145" t="n">
        <f aca="false">AZ8*(1-'Tactical &amp; Candidate'!D$8)</f>
        <v>0.36967957604955</v>
      </c>
      <c r="BH8" s="145" t="n">
        <f aca="false">BA8*(1-'Tactical &amp; Candidate'!E$8)</f>
        <v>0.190780925525829</v>
      </c>
      <c r="BI8" s="145" t="n">
        <f aca="false">BB8*(1-'Tactical &amp; Candidate'!F$8)</f>
        <v>0.143791004049347</v>
      </c>
      <c r="BJ8" s="145" t="n">
        <f aca="false">BC8*(1-'Tactical &amp; Candidate'!G$8)</f>
        <v>0.0777277177453921</v>
      </c>
      <c r="BK8" s="145" t="n">
        <f aca="false">BD8*(1-'Tactical &amp; Candidate'!H$8)</f>
        <v>0</v>
      </c>
      <c r="BL8" s="145" t="n">
        <f aca="false">LARGE(AY8:BD8,2)</f>
        <v>0.218020776629883</v>
      </c>
      <c r="BM8" s="145" t="n">
        <f aca="false">SUMPRODUCT((AY8:BD8&lt;$BL8)*AY8:BD8)*'Tactical &amp; Candidate'!$C$6</f>
        <v>0</v>
      </c>
      <c r="BN8" s="145" t="n">
        <f aca="false">MAX(BF8:BK8)</f>
        <v>0.36967957604955</v>
      </c>
      <c r="BO8" s="146" t="n">
        <f aca="false">SUMPRODUCT((BF8:BK8=$BN8)*1)</f>
        <v>1</v>
      </c>
      <c r="BQ8" s="145" t="n">
        <f aca="false">AY8*(1-'Tactical &amp; Candidate'!$C$6*(AY8&lt;$BL8))+IF(BF8=$BN8,$BM8/$BO8,0)</f>
        <v>0.218020776629883</v>
      </c>
      <c r="BR8" s="145" t="n">
        <f aca="false">AZ8*(1-'Tactical &amp; Candidate'!$C$6*(AZ8&lt;$BL8))+IF(BG8=$BN8,$BM8/$BO8,0)</f>
        <v>0.36967957604955</v>
      </c>
      <c r="BS8" s="145" t="n">
        <f aca="false">BA8*(1-'Tactical &amp; Candidate'!$C$6*(BA8&lt;$BL8))+IF(BH8=$BN8,$BM8/$BO8,0)</f>
        <v>0.190780925525829</v>
      </c>
      <c r="BT8" s="145" t="n">
        <f aca="false">BB8*(1-'Tactical &amp; Candidate'!$C$6*(BB8&lt;$BL8))+IF(BI8=$BN8,$BM8/$BO8,0)</f>
        <v>0.143791004049347</v>
      </c>
      <c r="BU8" s="145" t="n">
        <f aca="false">BC8*(1-'Tactical &amp; Candidate'!$C$6*(BC8&lt;$BL8))+IF(BJ8=$BN8,$BM8/$BO8,0)</f>
        <v>0.0777277177453921</v>
      </c>
      <c r="BV8" s="145" t="n">
        <f aca="false">BD8*(1-'Tactical &amp; Candidate'!$C$6*(BD8&lt;$BL8))+IF(BK8=$BN8,$BM8/$BO8,0)</f>
        <v>0</v>
      </c>
      <c r="BW8" s="145" t="n">
        <f aca="false">SUM(BQ8:BV8)</f>
        <v>1</v>
      </c>
      <c r="BX8" s="145" t="n">
        <f aca="false">BQ8/$BW8</f>
        <v>0.218020776629883</v>
      </c>
      <c r="BY8" s="145" t="n">
        <f aca="false">BR8/$BW8</f>
        <v>0.36967957604955</v>
      </c>
      <c r="BZ8" s="145" t="n">
        <f aca="false">BS8/$BW8</f>
        <v>0.190780925525829</v>
      </c>
      <c r="CA8" s="145" t="n">
        <f aca="false">BT8/$BW8</f>
        <v>0.143791004049347</v>
      </c>
      <c r="CB8" s="145" t="n">
        <f aca="false">BU8/$BW8</f>
        <v>0.0777277177453921</v>
      </c>
      <c r="CC8" s="145" t="n">
        <f aca="false">BV8/$BW8</f>
        <v>0</v>
      </c>
    </row>
    <row r="9" customFormat="false" ht="15" hidden="false" customHeight="false" outlineLevel="0" collapsed="false">
      <c r="B9" s="9" t="s">
        <v>43</v>
      </c>
      <c r="C9" s="134" t="n">
        <f aca="false">AC9/$AI9</f>
        <v>0.233561393066041</v>
      </c>
      <c r="D9" s="135" t="n">
        <f aca="false">AD9/$AI9</f>
        <v>0.286001537403412</v>
      </c>
      <c r="E9" s="136" t="n">
        <f aca="false">AE9/$AI9</f>
        <v>0.155587762010647</v>
      </c>
      <c r="F9" s="132" t="n">
        <f aca="false">AF9/$AI9</f>
        <v>0.228761893613791</v>
      </c>
      <c r="G9" s="137" t="n">
        <f aca="false">AG9/$AI9</f>
        <v>0.0960874139061095</v>
      </c>
      <c r="H9" s="138" t="n">
        <f aca="false">AH9/$AI9</f>
        <v>0</v>
      </c>
      <c r="I9" s="134" t="n">
        <f aca="false">$L$3*'Voting History'!C9+$M$3*'Voting History'!I9+$N$3*'Voting History'!O9</f>
        <v>0.427670706619092</v>
      </c>
      <c r="J9" s="135" t="n">
        <f aca="false">$L$3*'Voting History'!D9+$M$3*'Voting History'!J9+$N$3*'Voting History'!P9</f>
        <v>0.114935819532914</v>
      </c>
      <c r="K9" s="136" t="n">
        <f aca="false">$L$3*'Voting History'!E9+$M$3*'Voting History'!K9+$N$3*'Voting History'!Q9</f>
        <v>0.101420977411231</v>
      </c>
      <c r="L9" s="132" t="n">
        <f aca="false">$L$3*'Voting History'!F9+$M$3*'Voting History'!L9+$N$3*'Voting History'!R9</f>
        <v>0.245717485012817</v>
      </c>
      <c r="M9" s="137" t="n">
        <f aca="false">$L$3*'Voting History'!G9+$M$3*'Voting History'!M9+$N$3*'Voting History'!S9</f>
        <v>0.110255011423948</v>
      </c>
      <c r="N9" s="138" t="n">
        <f aca="false">$L$3*'Voting History'!H9+$M$3*'Voting History'!N9+$N$3*'Voting History'!T9</f>
        <v>0</v>
      </c>
      <c r="O9" s="134" t="n">
        <f aca="false">Polling!C9</f>
        <v>0.354592138921458</v>
      </c>
      <c r="P9" s="135" t="n">
        <f aca="false">Polling!D9</f>
        <v>0.197021277706796</v>
      </c>
      <c r="Q9" s="136" t="n">
        <f aca="false">Polling!E9</f>
        <v>0.0932033550522604</v>
      </c>
      <c r="R9" s="132" t="n">
        <f aca="false">Polling!F9</f>
        <v>0.282559818938121</v>
      </c>
      <c r="S9" s="137" t="n">
        <f aca="false">Polling!G9</f>
        <v>0.0726234093813647</v>
      </c>
      <c r="T9" s="138" t="n">
        <f aca="false">Polling!H9</f>
        <v>0</v>
      </c>
      <c r="U9" s="139" t="n">
        <f aca="false">AJ9/$AP9</f>
        <v>0.336552557089241</v>
      </c>
      <c r="V9" s="140" t="n">
        <f aca="false">AK9/$AP9</f>
        <v>0.20319399107231</v>
      </c>
      <c r="W9" s="141" t="n">
        <f aca="false">AL9/$AP9</f>
        <v>0.113973082729519</v>
      </c>
      <c r="X9" s="142" t="n">
        <f aca="false">AM9/$AP9</f>
        <v>0.257209857859496</v>
      </c>
      <c r="Y9" s="143" t="n">
        <f aca="false">AN9/$AP9</f>
        <v>0.0890705112494338</v>
      </c>
      <c r="Z9" s="144" t="n">
        <f aca="false">AO9/$AP9</f>
        <v>0</v>
      </c>
      <c r="AA9" s="55" t="n">
        <f aca="false">SUMPRODUCT(Demographics!$C9:$I9,Demographics!$C$43:$I$43)</f>
        <v>0.619718743186112</v>
      </c>
      <c r="AC9" s="145" t="n">
        <f aca="false">SUMPRODUCT(Demographics!$C9:$I9,Demographics!$C$43:$I$43,Demographics!$C$44:$I$44)</f>
        <v>0.144742372967684</v>
      </c>
      <c r="AD9" s="145" t="n">
        <f aca="false">SUMPRODUCT(Demographics!$C9:$I9,Demographics!$C$43:$I$43,Demographics!$C$45:$I$45)</f>
        <v>0.177240513308938</v>
      </c>
      <c r="AE9" s="145" t="n">
        <f aca="false">SUMPRODUCT(Demographics!$C9:$I9,Demographics!$C$43:$I$43,Demographics!$C$46:$I$46)</f>
        <v>0.0964206523283782</v>
      </c>
      <c r="AF9" s="145" t="n">
        <f aca="false">SUMPRODUCT(Demographics!$C9:$I9,Demographics!$C$43:$I$43,Demographics!$C$47:$I$47)</f>
        <v>0.141768033199214</v>
      </c>
      <c r="AG9" s="145" t="n">
        <f aca="false">SUMPRODUCT(Demographics!$C9:$I9,Demographics!$C$43:$I$43,Demographics!$C$48:$I$48)</f>
        <v>0.059547171381898</v>
      </c>
      <c r="AH9" s="145" t="n">
        <f aca="false">SUMPRODUCT(Demographics!$C9:$I9,Demographics!$C$43:$I$43,Demographics!$C$49:$I$49)</f>
        <v>0</v>
      </c>
      <c r="AI9" s="145" t="n">
        <f aca="false">SUM(AC9:AH9)</f>
        <v>0.619718743186112</v>
      </c>
      <c r="AJ9" s="145" t="n">
        <f aca="false">$D$3*C9+$F$3*I9+$H$3*O9</f>
        <v>0.336552557089241</v>
      </c>
      <c r="AK9" s="145" t="n">
        <f aca="false">$D$3*D9+$F$3*J9+$H$3*P9</f>
        <v>0.20319399107231</v>
      </c>
      <c r="AL9" s="145" t="n">
        <f aca="false">$D$3*E9+$F$3*K9+$H$3*Q9</f>
        <v>0.113973082729519</v>
      </c>
      <c r="AM9" s="145" t="n">
        <f aca="false">$D$3*F9+$F$3*L9+$H$3*R9</f>
        <v>0.257209857859496</v>
      </c>
      <c r="AN9" s="145" t="n">
        <f aca="false">$D$3*G9+$F$3*M9+$H$3*S9</f>
        <v>0.0890705112494338</v>
      </c>
      <c r="AO9" s="145" t="n">
        <f aca="false">$D$3*H9+$F$3*N9+$H$3*T9</f>
        <v>0</v>
      </c>
      <c r="AP9" s="145" t="n">
        <f aca="false">SUM(AJ9:AO9)</f>
        <v>1</v>
      </c>
      <c r="AR9" s="145" t="n">
        <f aca="false">IF(U9&lt;0.000000001,0,MAX(0.0002,U9+Incumbency!C$20*Incumbency!$C$6+'Tactical &amp; Candidate'!C$12/100))</f>
        <v>0.336552557089241</v>
      </c>
      <c r="AS9" s="145" t="n">
        <f aca="false">IF(V9&lt;0.000000001,0,MAX(0.0002,V9+Incumbency!D$20*Incumbency!$C$6+'Tactical &amp; Candidate'!D$12/100))</f>
        <v>0.22719399107231</v>
      </c>
      <c r="AT9" s="145" t="n">
        <f aca="false">IF(W9&lt;0.000000001,0,MAX(0.0002,W9+Incumbency!E$20*Incumbency!$C$6+'Tactical &amp; Candidate'!E$12/100))</f>
        <v>0.113973082729519</v>
      </c>
      <c r="AU9" s="145" t="n">
        <f aca="false">IF(X9&lt;0.000000001,0,MAX(0.0002,X9+Incumbency!F$20*Incumbency!$C$6+'Tactical &amp; Candidate'!F$12/100))</f>
        <v>0.257209857859496</v>
      </c>
      <c r="AV9" s="145" t="n">
        <f aca="false">IF(Y9&lt;0.000000001,0,MAX(0.0002,Y9+Incumbency!G$20*Incumbency!$C$6+'Tactical &amp; Candidate'!G$12/100))</f>
        <v>0.0890705112494338</v>
      </c>
      <c r="AW9" s="145" t="n">
        <f aca="false">IF(Z9&lt;0.000000001,0,MAX(0.0002,Z9+Incumbency!H$20*Incumbency!$C$6+'Tactical &amp; Candidate'!H$12/100))</f>
        <v>0</v>
      </c>
      <c r="AX9" s="145" t="n">
        <f aca="false">SUM(AR9:AW9)</f>
        <v>1.024</v>
      </c>
      <c r="AY9" s="145" t="n">
        <f aca="false">AR9/$AX9</f>
        <v>0.328664606532462</v>
      </c>
      <c r="AZ9" s="145" t="n">
        <f aca="false">AS9/$AX9</f>
        <v>0.221869131906553</v>
      </c>
      <c r="BA9" s="145" t="n">
        <f aca="false">AT9/$AX9</f>
        <v>0.111301838603046</v>
      </c>
      <c r="BB9" s="145" t="n">
        <f aca="false">AU9/$AX9</f>
        <v>0.251181501815914</v>
      </c>
      <c r="BC9" s="145" t="n">
        <f aca="false">AV9/$AX9</f>
        <v>0.0869829211420252</v>
      </c>
      <c r="BD9" s="145" t="n">
        <f aca="false">AW9/$AX9</f>
        <v>0</v>
      </c>
      <c r="BF9" s="145" t="n">
        <f aca="false">AY9*(1-'Tactical &amp; Candidate'!C$8)</f>
        <v>0.328664606532462</v>
      </c>
      <c r="BG9" s="145" t="n">
        <f aca="false">AZ9*(1-'Tactical &amp; Candidate'!D$8)</f>
        <v>0.221869131906553</v>
      </c>
      <c r="BH9" s="145" t="n">
        <f aca="false">BA9*(1-'Tactical &amp; Candidate'!E$8)</f>
        <v>0.111301838603046</v>
      </c>
      <c r="BI9" s="145" t="n">
        <f aca="false">BB9*(1-'Tactical &amp; Candidate'!F$8)</f>
        <v>0.251181501815914</v>
      </c>
      <c r="BJ9" s="145" t="n">
        <f aca="false">BC9*(1-'Tactical &amp; Candidate'!G$8)</f>
        <v>0.0869829211420252</v>
      </c>
      <c r="BK9" s="145" t="n">
        <f aca="false">BD9*(1-'Tactical &amp; Candidate'!H$8)</f>
        <v>0</v>
      </c>
      <c r="BL9" s="145" t="n">
        <f aca="false">LARGE(AY9:BD9,2)</f>
        <v>0.251181501815914</v>
      </c>
      <c r="BM9" s="145" t="n">
        <f aca="false">SUMPRODUCT((AY9:BD9&lt;$BL9)*AY9:BD9)*'Tactical &amp; Candidate'!$C$6</f>
        <v>0</v>
      </c>
      <c r="BN9" s="145" t="n">
        <f aca="false">MAX(BF9:BK9)</f>
        <v>0.328664606532462</v>
      </c>
      <c r="BO9" s="146" t="n">
        <f aca="false">SUMPRODUCT((BF9:BK9=$BN9)*1)</f>
        <v>1</v>
      </c>
      <c r="BQ9" s="145" t="n">
        <f aca="false">AY9*(1-'Tactical &amp; Candidate'!$C$6*(AY9&lt;$BL9))+IF(BF9=$BN9,$BM9/$BO9,0)</f>
        <v>0.328664606532462</v>
      </c>
      <c r="BR9" s="145" t="n">
        <f aca="false">AZ9*(1-'Tactical &amp; Candidate'!$C$6*(AZ9&lt;$BL9))+IF(BG9=$BN9,$BM9/$BO9,0)</f>
        <v>0.221869131906553</v>
      </c>
      <c r="BS9" s="145" t="n">
        <f aca="false">BA9*(1-'Tactical &amp; Candidate'!$C$6*(BA9&lt;$BL9))+IF(BH9=$BN9,$BM9/$BO9,0)</f>
        <v>0.111301838603046</v>
      </c>
      <c r="BT9" s="145" t="n">
        <f aca="false">BB9*(1-'Tactical &amp; Candidate'!$C$6*(BB9&lt;$BL9))+IF(BI9=$BN9,$BM9/$BO9,0)</f>
        <v>0.251181501815914</v>
      </c>
      <c r="BU9" s="145" t="n">
        <f aca="false">BC9*(1-'Tactical &amp; Candidate'!$C$6*(BC9&lt;$BL9))+IF(BJ9=$BN9,$BM9/$BO9,0)</f>
        <v>0.0869829211420252</v>
      </c>
      <c r="BV9" s="145" t="n">
        <f aca="false">BD9*(1-'Tactical &amp; Candidate'!$C$6*(BD9&lt;$BL9))+IF(BK9=$BN9,$BM9/$BO9,0)</f>
        <v>0</v>
      </c>
      <c r="BW9" s="145" t="n">
        <f aca="false">SUM(BQ9:BV9)</f>
        <v>1</v>
      </c>
      <c r="BX9" s="145" t="n">
        <f aca="false">BQ9/$BW9</f>
        <v>0.328664606532462</v>
      </c>
      <c r="BY9" s="145" t="n">
        <f aca="false">BR9/$BW9</f>
        <v>0.221869131906553</v>
      </c>
      <c r="BZ9" s="145" t="n">
        <f aca="false">BS9/$BW9</f>
        <v>0.111301838603046</v>
      </c>
      <c r="CA9" s="145" t="n">
        <f aca="false">BT9/$BW9</f>
        <v>0.251181501815914</v>
      </c>
      <c r="CB9" s="145" t="n">
        <f aca="false">BU9/$BW9</f>
        <v>0.0869829211420252</v>
      </c>
      <c r="CC9" s="145" t="n">
        <f aca="false">BV9/$BW9</f>
        <v>0</v>
      </c>
    </row>
    <row r="10" customFormat="false" ht="15" hidden="false" customHeight="false" outlineLevel="0" collapsed="false">
      <c r="B10" s="22" t="s">
        <v>46</v>
      </c>
      <c r="C10" s="147" t="n">
        <f aca="false">AC10/$AI10</f>
        <v>0.220710597946258</v>
      </c>
      <c r="D10" s="148" t="n">
        <f aca="false">AD10/$AI10</f>
        <v>0.319769164703592</v>
      </c>
      <c r="E10" s="149" t="n">
        <f aca="false">AE10/$AI10</f>
        <v>0.153190375833665</v>
      </c>
      <c r="F10" s="150" t="n">
        <f aca="false">AF10/$AI10</f>
        <v>0.214425814046455</v>
      </c>
      <c r="G10" s="151" t="n">
        <f aca="false">AG10/$AI10</f>
        <v>0.09190404747003</v>
      </c>
      <c r="H10" s="152" t="n">
        <f aca="false">AH10/$AI10</f>
        <v>0</v>
      </c>
      <c r="I10" s="147" t="n">
        <f aca="false">$L$3*'Voting History'!C10+$M$3*'Voting History'!I10+$N$3*'Voting History'!O10</f>
        <v>0.390477215687364</v>
      </c>
      <c r="J10" s="148" t="n">
        <f aca="false">$L$3*'Voting History'!D10+$M$3*'Voting History'!J10+$N$3*'Voting History'!P10</f>
        <v>0.16017537228994</v>
      </c>
      <c r="K10" s="149" t="n">
        <f aca="false">$L$3*'Voting History'!E10+$M$3*'Voting History'!K10+$N$3*'Voting History'!Q10</f>
        <v>0.130023126738197</v>
      </c>
      <c r="L10" s="150" t="n">
        <f aca="false">$L$3*'Voting History'!F10+$M$3*'Voting History'!L10+$N$3*'Voting History'!R10</f>
        <v>0.225975525520949</v>
      </c>
      <c r="M10" s="151" t="n">
        <f aca="false">$L$3*'Voting History'!G10+$M$3*'Voting History'!M10+$N$3*'Voting History'!S10</f>
        <v>0.0933487597635503</v>
      </c>
      <c r="N10" s="152" t="n">
        <f aca="false">$L$3*'Voting History'!H10+$M$3*'Voting History'!N10+$N$3*'Voting History'!T10</f>
        <v>0</v>
      </c>
      <c r="O10" s="147" t="n">
        <f aca="false">Polling!C10</f>
        <v>0.295573329415532</v>
      </c>
      <c r="P10" s="148" t="n">
        <f aca="false">Polling!D10</f>
        <v>0.243772968863193</v>
      </c>
      <c r="Q10" s="149" t="n">
        <f aca="false">Polling!E10</f>
        <v>0.12476824900056</v>
      </c>
      <c r="R10" s="150" t="n">
        <f aca="false">Polling!F10</f>
        <v>0.259896325149562</v>
      </c>
      <c r="S10" s="151" t="n">
        <f aca="false">Polling!G10</f>
        <v>0.0759891275711542</v>
      </c>
      <c r="T10" s="152" t="n">
        <f aca="false">Polling!H10</f>
        <v>0</v>
      </c>
      <c r="U10" s="153" t="n">
        <f aca="false">AJ10/$AP10</f>
        <v>0.296840481542708</v>
      </c>
      <c r="V10" s="154" t="n">
        <f aca="false">AK10/$AP10</f>
        <v>0.245672428471999</v>
      </c>
      <c r="W10" s="155" t="n">
        <f aca="false">AL10/$AP10</f>
        <v>0.134608606484901</v>
      </c>
      <c r="X10" s="156" t="n">
        <f aca="false">AM10/$AP10</f>
        <v>0.237774971911476</v>
      </c>
      <c r="Y10" s="157" t="n">
        <f aca="false">AN10/$AP10</f>
        <v>0.085103511588916</v>
      </c>
      <c r="Z10" s="158" t="n">
        <f aca="false">AO10/$AP10</f>
        <v>0</v>
      </c>
      <c r="AA10" s="66" t="n">
        <f aca="false">SUMPRODUCT(Demographics!$C10:$I10,Demographics!$C$43:$I$43)</f>
        <v>0.625599993093486</v>
      </c>
      <c r="AC10" s="145" t="n">
        <f aca="false">SUMPRODUCT(Demographics!$C10:$I10,Demographics!$C$43:$I$43,Demographics!$C$44:$I$44)</f>
        <v>0.138076548550838</v>
      </c>
      <c r="AD10" s="145" t="n">
        <f aca="false">SUMPRODUCT(Demographics!$C10:$I10,Demographics!$C$43:$I$43,Demographics!$C$45:$I$45)</f>
        <v>0.200047587230077</v>
      </c>
      <c r="AE10" s="145" t="n">
        <f aca="false">SUMPRODUCT(Demographics!$C10:$I10,Demographics!$C$43:$I$43,Demographics!$C$46:$I$46)</f>
        <v>0.0958358980635296</v>
      </c>
      <c r="AF10" s="145" t="n">
        <f aca="false">SUMPRODUCT(Demographics!$C10:$I10,Demographics!$C$43:$I$43,Demographics!$C$47:$I$47)</f>
        <v>0.134144787786527</v>
      </c>
      <c r="AG10" s="145" t="n">
        <f aca="false">SUMPRODUCT(Demographics!$C10:$I10,Demographics!$C$43:$I$43,Demographics!$C$48:$I$48)</f>
        <v>0.0574951714625142</v>
      </c>
      <c r="AH10" s="145" t="n">
        <f aca="false">SUMPRODUCT(Demographics!$C10:$I10,Demographics!$C$43:$I$43,Demographics!$C$49:$I$49)</f>
        <v>0</v>
      </c>
      <c r="AI10" s="145" t="n">
        <f aca="false">SUM(AC10:AH10)</f>
        <v>0.625599993093486</v>
      </c>
      <c r="AJ10" s="145" t="n">
        <f aca="false">$D$3*C10+$F$3*I10+$H$3*O10</f>
        <v>0.296840481542708</v>
      </c>
      <c r="AK10" s="145" t="n">
        <f aca="false">$D$3*D10+$F$3*J10+$H$3*P10</f>
        <v>0.245672428471999</v>
      </c>
      <c r="AL10" s="145" t="n">
        <f aca="false">$D$3*E10+$F$3*K10+$H$3*Q10</f>
        <v>0.134608606484901</v>
      </c>
      <c r="AM10" s="145" t="n">
        <f aca="false">$D$3*F10+$F$3*L10+$H$3*R10</f>
        <v>0.237774971911476</v>
      </c>
      <c r="AN10" s="145" t="n">
        <f aca="false">$D$3*G10+$F$3*M10+$H$3*S10</f>
        <v>0.085103511588916</v>
      </c>
      <c r="AO10" s="145" t="n">
        <f aca="false">$D$3*H10+$F$3*N10+$H$3*T10</f>
        <v>0</v>
      </c>
      <c r="AP10" s="145" t="n">
        <f aca="false">SUM(AJ10:AO10)</f>
        <v>1</v>
      </c>
      <c r="AR10" s="145" t="n">
        <f aca="false">IF(U10&lt;0.000000001,0,MAX(0.0002,U10+Incumbency!C$20*Incumbency!$C$6+'Tactical &amp; Candidate'!C$12/100))</f>
        <v>0.296840481542708</v>
      </c>
      <c r="AS10" s="145" t="n">
        <f aca="false">IF(V10&lt;0.000000001,0,MAX(0.0002,V10+Incumbency!D$20*Incumbency!$C$6+'Tactical &amp; Candidate'!D$12/100))</f>
        <v>0.269672428471999</v>
      </c>
      <c r="AT10" s="145" t="n">
        <f aca="false">IF(W10&lt;0.000000001,0,MAX(0.0002,W10+Incumbency!E$20*Incumbency!$C$6+'Tactical &amp; Candidate'!E$12/100))</f>
        <v>0.134608606484901</v>
      </c>
      <c r="AU10" s="145" t="n">
        <f aca="false">IF(X10&lt;0.000000001,0,MAX(0.0002,X10+Incumbency!F$20*Incumbency!$C$6+'Tactical &amp; Candidate'!F$12/100))</f>
        <v>0.237774971911476</v>
      </c>
      <c r="AV10" s="145" t="n">
        <f aca="false">IF(Y10&lt;0.000000001,0,MAX(0.0002,Y10+Incumbency!G$20*Incumbency!$C$6+'Tactical &amp; Candidate'!G$12/100))</f>
        <v>0.085103511588916</v>
      </c>
      <c r="AW10" s="145" t="n">
        <f aca="false">IF(Z10&lt;0.000000001,0,MAX(0.0002,Z10+Incumbency!H$20*Incumbency!$C$6+'Tactical &amp; Candidate'!H$12/100))</f>
        <v>0</v>
      </c>
      <c r="AX10" s="145" t="n">
        <f aca="false">SUM(AR10:AW10)</f>
        <v>1.024</v>
      </c>
      <c r="AY10" s="145" t="n">
        <f aca="false">AR10/$AX10</f>
        <v>0.289883282756551</v>
      </c>
      <c r="AZ10" s="145" t="n">
        <f aca="false">AS10/$AX10</f>
        <v>0.263351980929687</v>
      </c>
      <c r="BA10" s="145" t="n">
        <f aca="false">AT10/$AX10</f>
        <v>0.131453717270411</v>
      </c>
      <c r="BB10" s="145" t="n">
        <f aca="false">AU10/$AX10</f>
        <v>0.232202121007301</v>
      </c>
      <c r="BC10" s="145" t="n">
        <f aca="false">AV10/$AX10</f>
        <v>0.0831088980360508</v>
      </c>
      <c r="BD10" s="145" t="n">
        <f aca="false">AW10/$AX10</f>
        <v>0</v>
      </c>
      <c r="BF10" s="145" t="n">
        <f aca="false">AY10*(1-'Tactical &amp; Candidate'!C$8)</f>
        <v>0.289883282756551</v>
      </c>
      <c r="BG10" s="145" t="n">
        <f aca="false">AZ10*(1-'Tactical &amp; Candidate'!D$8)</f>
        <v>0.263351980929687</v>
      </c>
      <c r="BH10" s="145" t="n">
        <f aca="false">BA10*(1-'Tactical &amp; Candidate'!E$8)</f>
        <v>0.131453717270411</v>
      </c>
      <c r="BI10" s="145" t="n">
        <f aca="false">BB10*(1-'Tactical &amp; Candidate'!F$8)</f>
        <v>0.232202121007301</v>
      </c>
      <c r="BJ10" s="145" t="n">
        <f aca="false">BC10*(1-'Tactical &amp; Candidate'!G$8)</f>
        <v>0.0831088980360508</v>
      </c>
      <c r="BK10" s="145" t="n">
        <f aca="false">BD10*(1-'Tactical &amp; Candidate'!H$8)</f>
        <v>0</v>
      </c>
      <c r="BL10" s="145" t="n">
        <f aca="false">LARGE(AY10:BD10,2)</f>
        <v>0.263351980929687</v>
      </c>
      <c r="BM10" s="145" t="n">
        <f aca="false">SUMPRODUCT((AY10:BD10&lt;$BL10)*AY10:BD10)*'Tactical &amp; Candidate'!$C$6</f>
        <v>0</v>
      </c>
      <c r="BN10" s="145" t="n">
        <f aca="false">MAX(BF10:BK10)</f>
        <v>0.289883282756551</v>
      </c>
      <c r="BO10" s="146" t="n">
        <f aca="false">SUMPRODUCT((BF10:BK10=$BN10)*1)</f>
        <v>1</v>
      </c>
      <c r="BQ10" s="145" t="n">
        <f aca="false">AY10*(1-'Tactical &amp; Candidate'!$C$6*(AY10&lt;$BL10))+IF(BF10=$BN10,$BM10/$BO10,0)</f>
        <v>0.289883282756551</v>
      </c>
      <c r="BR10" s="145" t="n">
        <f aca="false">AZ10*(1-'Tactical &amp; Candidate'!$C$6*(AZ10&lt;$BL10))+IF(BG10=$BN10,$BM10/$BO10,0)</f>
        <v>0.263351980929687</v>
      </c>
      <c r="BS10" s="145" t="n">
        <f aca="false">BA10*(1-'Tactical &amp; Candidate'!$C$6*(BA10&lt;$BL10))+IF(BH10=$BN10,$BM10/$BO10,0)</f>
        <v>0.131453717270411</v>
      </c>
      <c r="BT10" s="145" t="n">
        <f aca="false">BB10*(1-'Tactical &amp; Candidate'!$C$6*(BB10&lt;$BL10))+IF(BI10=$BN10,$BM10/$BO10,0)</f>
        <v>0.232202121007301</v>
      </c>
      <c r="BU10" s="145" t="n">
        <f aca="false">BC10*(1-'Tactical &amp; Candidate'!$C$6*(BC10&lt;$BL10))+IF(BJ10=$BN10,$BM10/$BO10,0)</f>
        <v>0.0831088980360508</v>
      </c>
      <c r="BV10" s="145" t="n">
        <f aca="false">BD10*(1-'Tactical &amp; Candidate'!$C$6*(BD10&lt;$BL10))+IF(BK10=$BN10,$BM10/$BO10,0)</f>
        <v>0</v>
      </c>
      <c r="BW10" s="145" t="n">
        <f aca="false">SUM(BQ10:BV10)</f>
        <v>1</v>
      </c>
      <c r="BX10" s="145" t="n">
        <f aca="false">BQ10/$BW10</f>
        <v>0.289883282756551</v>
      </c>
      <c r="BY10" s="145" t="n">
        <f aca="false">BR10/$BW10</f>
        <v>0.263351980929687</v>
      </c>
      <c r="BZ10" s="145" t="n">
        <f aca="false">BS10/$BW10</f>
        <v>0.131453717270411</v>
      </c>
      <c r="CA10" s="145" t="n">
        <f aca="false">BT10/$BW10</f>
        <v>0.232202121007301</v>
      </c>
      <c r="CB10" s="145" t="n">
        <f aca="false">BU10/$BW10</f>
        <v>0.0831088980360508</v>
      </c>
      <c r="CC10" s="145" t="n">
        <f aca="false">BV10/$BW10</f>
        <v>0</v>
      </c>
    </row>
    <row r="11" customFormat="false" ht="15" hidden="false" customHeight="false" outlineLevel="0" collapsed="false">
      <c r="B11" s="9" t="s">
        <v>47</v>
      </c>
      <c r="C11" s="134" t="n">
        <f aca="false">AC11/$AI11</f>
        <v>0.213619144782341</v>
      </c>
      <c r="D11" s="135" t="n">
        <f aca="false">AD11/$AI11</f>
        <v>0.348739200236732</v>
      </c>
      <c r="E11" s="136" t="n">
        <f aca="false">AE11/$AI11</f>
        <v>0.162493226835203</v>
      </c>
      <c r="F11" s="132" t="n">
        <f aca="false">AF11/$AI11</f>
        <v>0.187620097149538</v>
      </c>
      <c r="G11" s="137" t="n">
        <f aca="false">AG11/$AI11</f>
        <v>0.0875283309961853</v>
      </c>
      <c r="H11" s="138" t="n">
        <f aca="false">AH11/$AI11</f>
        <v>0</v>
      </c>
      <c r="I11" s="134" t="n">
        <f aca="false">$L$3*'Voting History'!C11+$M$3*'Voting History'!I11+$N$3*'Voting History'!O11</f>
        <v>0.345858981513001</v>
      </c>
      <c r="J11" s="135" t="n">
        <f aca="false">$L$3*'Voting History'!D11+$M$3*'Voting History'!J11+$N$3*'Voting History'!P11</f>
        <v>0.203664916576576</v>
      </c>
      <c r="K11" s="136" t="n">
        <f aca="false">$L$3*'Voting History'!E11+$M$3*'Voting History'!K11+$N$3*'Voting History'!Q11</f>
        <v>0.158078599760144</v>
      </c>
      <c r="L11" s="132" t="n">
        <f aca="false">$L$3*'Voting History'!F11+$M$3*'Voting History'!L11+$N$3*'Voting History'!R11</f>
        <v>0.199286532655755</v>
      </c>
      <c r="M11" s="137" t="n">
        <f aca="false">$L$3*'Voting History'!G11+$M$3*'Voting History'!M11+$N$3*'Voting History'!S11</f>
        <v>0.0931109694945248</v>
      </c>
      <c r="N11" s="138" t="n">
        <f aca="false">$L$3*'Voting History'!H11+$M$3*'Voting History'!N11+$N$3*'Voting History'!T11</f>
        <v>0</v>
      </c>
      <c r="O11" s="134" t="n">
        <f aca="false">Polling!C11</f>
        <v>0.251914452341113</v>
      </c>
      <c r="P11" s="135" t="n">
        <f aca="false">Polling!D11</f>
        <v>0.299793465389592</v>
      </c>
      <c r="Q11" s="136" t="n">
        <f aca="false">Polling!E11</f>
        <v>0.155945266116601</v>
      </c>
      <c r="R11" s="132" t="n">
        <f aca="false">Polling!F11</f>
        <v>0.216494933930095</v>
      </c>
      <c r="S11" s="137" t="n">
        <f aca="false">Polling!G11</f>
        <v>0.0758518822226002</v>
      </c>
      <c r="T11" s="138" t="n">
        <f aca="false">Polling!H11</f>
        <v>0</v>
      </c>
      <c r="U11" s="139" t="n">
        <f aca="false">AJ11/$AP11</f>
        <v>0.263911992366453</v>
      </c>
      <c r="V11" s="140" t="n">
        <f aca="false">AK11/$AP11</f>
        <v>0.29044504864048</v>
      </c>
      <c r="W11" s="141" t="n">
        <f aca="false">AL11/$AP11</f>
        <v>0.158442987743067</v>
      </c>
      <c r="X11" s="142" t="n">
        <f aca="false">AM11/$AP11</f>
        <v>0.203530382577343</v>
      </c>
      <c r="Y11" s="143" t="n">
        <f aca="false">AN11/$AP11</f>
        <v>0.0836695886726569</v>
      </c>
      <c r="Z11" s="144" t="n">
        <f aca="false">AO11/$AP11</f>
        <v>0</v>
      </c>
      <c r="AA11" s="55" t="n">
        <f aca="false">SUMPRODUCT(Demographics!$C11:$I11,Demographics!$C$43:$I$43)</f>
        <v>0.598069390921743</v>
      </c>
      <c r="AC11" s="145" t="n">
        <f aca="false">SUMPRODUCT(Demographics!$C11:$I11,Demographics!$C$43:$I$43,Demographics!$C$44:$I$44)</f>
        <v>0.127759071809199</v>
      </c>
      <c r="AD11" s="145" t="n">
        <f aca="false">SUMPRODUCT(Demographics!$C11:$I11,Demographics!$C$43:$I$43,Demographics!$C$45:$I$45)</f>
        <v>0.208570241076118</v>
      </c>
      <c r="AE11" s="145" t="n">
        <f aca="false">SUMPRODUCT(Demographics!$C11:$I11,Demographics!$C$43:$I$43,Demographics!$C$46:$I$46)</f>
        <v>0.0971822252022388</v>
      </c>
      <c r="AF11" s="145" t="n">
        <f aca="false">SUMPRODUCT(Demographics!$C11:$I11,Demographics!$C$43:$I$43,Demographics!$C$47:$I$47)</f>
        <v>0.112209837226902</v>
      </c>
      <c r="AG11" s="145" t="n">
        <f aca="false">SUMPRODUCT(Demographics!$C11:$I11,Demographics!$C$43:$I$43,Demographics!$C$48:$I$48)</f>
        <v>0.0523480156072853</v>
      </c>
      <c r="AH11" s="145" t="n">
        <f aca="false">SUMPRODUCT(Demographics!$C11:$I11,Demographics!$C$43:$I$43,Demographics!$C$49:$I$49)</f>
        <v>0</v>
      </c>
      <c r="AI11" s="145" t="n">
        <f aca="false">SUM(AC11:AH11)</f>
        <v>0.598069390921743</v>
      </c>
      <c r="AJ11" s="145" t="n">
        <f aca="false">$D$3*C11+$F$3*I11+$H$3*O11</f>
        <v>0.263911992366453</v>
      </c>
      <c r="AK11" s="145" t="n">
        <f aca="false">$D$3*D11+$F$3*J11+$H$3*P11</f>
        <v>0.29044504864048</v>
      </c>
      <c r="AL11" s="145" t="n">
        <f aca="false">$D$3*E11+$F$3*K11+$H$3*Q11</f>
        <v>0.158442987743067</v>
      </c>
      <c r="AM11" s="145" t="n">
        <f aca="false">$D$3*F11+$F$3*L11+$H$3*R11</f>
        <v>0.203530382577343</v>
      </c>
      <c r="AN11" s="145" t="n">
        <f aca="false">$D$3*G11+$F$3*M11+$H$3*S11</f>
        <v>0.0836695886726569</v>
      </c>
      <c r="AO11" s="145" t="n">
        <f aca="false">$D$3*H11+$F$3*N11+$H$3*T11</f>
        <v>0</v>
      </c>
      <c r="AP11" s="145" t="n">
        <f aca="false">SUM(AJ11:AO11)</f>
        <v>1</v>
      </c>
      <c r="AR11" s="145" t="n">
        <f aca="false">IF(U11&lt;0.000000001,0,MAX(0.0002,U11+Incumbency!C$20*Incumbency!$C$6+'Tactical &amp; Candidate'!C$12/100))</f>
        <v>0.263911992366453</v>
      </c>
      <c r="AS11" s="145" t="n">
        <f aca="false">IF(V11&lt;0.000000001,0,MAX(0.0002,V11+Incumbency!D$20*Incumbency!$C$6+'Tactical &amp; Candidate'!D$12/100))</f>
        <v>0.31444504864048</v>
      </c>
      <c r="AT11" s="145" t="n">
        <f aca="false">IF(W11&lt;0.000000001,0,MAX(0.0002,W11+Incumbency!E$20*Incumbency!$C$6+'Tactical &amp; Candidate'!E$12/100))</f>
        <v>0.158442987743067</v>
      </c>
      <c r="AU11" s="145" t="n">
        <f aca="false">IF(X11&lt;0.000000001,0,MAX(0.0002,X11+Incumbency!F$20*Incumbency!$C$6+'Tactical &amp; Candidate'!F$12/100))</f>
        <v>0.203530382577343</v>
      </c>
      <c r="AV11" s="145" t="n">
        <f aca="false">IF(Y11&lt;0.000000001,0,MAX(0.0002,Y11+Incumbency!G$20*Incumbency!$C$6+'Tactical &amp; Candidate'!G$12/100))</f>
        <v>0.0836695886726569</v>
      </c>
      <c r="AW11" s="145" t="n">
        <f aca="false">IF(Z11&lt;0.000000001,0,MAX(0.0002,Z11+Incumbency!H$20*Incumbency!$C$6+'Tactical &amp; Candidate'!H$12/100))</f>
        <v>0</v>
      </c>
      <c r="AX11" s="145" t="n">
        <f aca="false">SUM(AR11:AW11)</f>
        <v>1.024</v>
      </c>
      <c r="AY11" s="145" t="n">
        <f aca="false">AR11/$AX11</f>
        <v>0.257726555045364</v>
      </c>
      <c r="AZ11" s="145" t="n">
        <f aca="false">AS11/$AX11</f>
        <v>0.307075242812969</v>
      </c>
      <c r="BA11" s="145" t="n">
        <f aca="false">AT11/$AX11</f>
        <v>0.154729480217839</v>
      </c>
      <c r="BB11" s="145" t="n">
        <f aca="false">AU11/$AX11</f>
        <v>0.198760139235686</v>
      </c>
      <c r="BC11" s="145" t="n">
        <f aca="false">AV11/$AX11</f>
        <v>0.0817085826881415</v>
      </c>
      <c r="BD11" s="145" t="n">
        <f aca="false">AW11/$AX11</f>
        <v>0</v>
      </c>
      <c r="BF11" s="145" t="n">
        <f aca="false">AY11*(1-'Tactical &amp; Candidate'!C$8)</f>
        <v>0.257726555045364</v>
      </c>
      <c r="BG11" s="145" t="n">
        <f aca="false">AZ11*(1-'Tactical &amp; Candidate'!D$8)</f>
        <v>0.307075242812969</v>
      </c>
      <c r="BH11" s="145" t="n">
        <f aca="false">BA11*(1-'Tactical &amp; Candidate'!E$8)</f>
        <v>0.154729480217839</v>
      </c>
      <c r="BI11" s="145" t="n">
        <f aca="false">BB11*(1-'Tactical &amp; Candidate'!F$8)</f>
        <v>0.198760139235686</v>
      </c>
      <c r="BJ11" s="145" t="n">
        <f aca="false">BC11*(1-'Tactical &amp; Candidate'!G$8)</f>
        <v>0.0817085826881415</v>
      </c>
      <c r="BK11" s="145" t="n">
        <f aca="false">BD11*(1-'Tactical &amp; Candidate'!H$8)</f>
        <v>0</v>
      </c>
      <c r="BL11" s="145" t="n">
        <f aca="false">LARGE(AY11:BD11,2)</f>
        <v>0.257726555045364</v>
      </c>
      <c r="BM11" s="145" t="n">
        <f aca="false">SUMPRODUCT((AY11:BD11&lt;$BL11)*AY11:BD11)*'Tactical &amp; Candidate'!$C$6</f>
        <v>0</v>
      </c>
      <c r="BN11" s="145" t="n">
        <f aca="false">MAX(BF11:BK11)</f>
        <v>0.307075242812969</v>
      </c>
      <c r="BO11" s="146" t="n">
        <f aca="false">SUMPRODUCT((BF11:BK11=$BN11)*1)</f>
        <v>1</v>
      </c>
      <c r="BQ11" s="145" t="n">
        <f aca="false">AY11*(1-'Tactical &amp; Candidate'!$C$6*(AY11&lt;$BL11))+IF(BF11=$BN11,$BM11/$BO11,0)</f>
        <v>0.257726555045364</v>
      </c>
      <c r="BR11" s="145" t="n">
        <f aca="false">AZ11*(1-'Tactical &amp; Candidate'!$C$6*(AZ11&lt;$BL11))+IF(BG11=$BN11,$BM11/$BO11,0)</f>
        <v>0.307075242812969</v>
      </c>
      <c r="BS11" s="145" t="n">
        <f aca="false">BA11*(1-'Tactical &amp; Candidate'!$C$6*(BA11&lt;$BL11))+IF(BH11=$BN11,$BM11/$BO11,0)</f>
        <v>0.154729480217839</v>
      </c>
      <c r="BT11" s="145" t="n">
        <f aca="false">BB11*(1-'Tactical &amp; Candidate'!$C$6*(BB11&lt;$BL11))+IF(BI11=$BN11,$BM11/$BO11,0)</f>
        <v>0.198760139235686</v>
      </c>
      <c r="BU11" s="145" t="n">
        <f aca="false">BC11*(1-'Tactical &amp; Candidate'!$C$6*(BC11&lt;$BL11))+IF(BJ11=$BN11,$BM11/$BO11,0)</f>
        <v>0.0817085826881415</v>
      </c>
      <c r="BV11" s="145" t="n">
        <f aca="false">BD11*(1-'Tactical &amp; Candidate'!$C$6*(BD11&lt;$BL11))+IF(BK11=$BN11,$BM11/$BO11,0)</f>
        <v>0</v>
      </c>
      <c r="BW11" s="145" t="n">
        <f aca="false">SUM(BQ11:BV11)</f>
        <v>1</v>
      </c>
      <c r="BX11" s="145" t="n">
        <f aca="false">BQ11/$BW11</f>
        <v>0.257726555045364</v>
      </c>
      <c r="BY11" s="145" t="n">
        <f aca="false">BR11/$BW11</f>
        <v>0.307075242812969</v>
      </c>
      <c r="BZ11" s="145" t="n">
        <f aca="false">BS11/$BW11</f>
        <v>0.154729480217839</v>
      </c>
      <c r="CA11" s="145" t="n">
        <f aca="false">BT11/$BW11</f>
        <v>0.198760139235686</v>
      </c>
      <c r="CB11" s="145" t="n">
        <f aca="false">BU11/$BW11</f>
        <v>0.0817085826881415</v>
      </c>
      <c r="CC11" s="145" t="n">
        <f aca="false">BV11/$BW11</f>
        <v>0</v>
      </c>
    </row>
    <row r="12" customFormat="false" ht="15" hidden="false" customHeight="false" outlineLevel="0" collapsed="false">
      <c r="B12" s="22" t="s">
        <v>49</v>
      </c>
      <c r="C12" s="147" t="n">
        <f aca="false">AC12/$AI12</f>
        <v>0.22042850147449</v>
      </c>
      <c r="D12" s="148" t="n">
        <f aca="false">AD12/$AI12</f>
        <v>0.328241940522996</v>
      </c>
      <c r="E12" s="149" t="n">
        <f aca="false">AE12/$AI12</f>
        <v>0.168067577386178</v>
      </c>
      <c r="F12" s="150" t="n">
        <f aca="false">AF12/$AI12</f>
        <v>0.192996069015834</v>
      </c>
      <c r="G12" s="151" t="n">
        <f aca="false">AG12/$AI12</f>
        <v>0.0902659116005028</v>
      </c>
      <c r="H12" s="152" t="n">
        <f aca="false">AH12/$AI12</f>
        <v>0</v>
      </c>
      <c r="I12" s="147" t="n">
        <f aca="false">$L$3*'Voting History'!C12+$M$3*'Voting History'!I12+$N$3*'Voting History'!O12</f>
        <v>0.342344689586621</v>
      </c>
      <c r="J12" s="148" t="n">
        <f aca="false">$L$3*'Voting History'!D12+$M$3*'Voting History'!J12+$N$3*'Voting History'!P12</f>
        <v>0.220030602829469</v>
      </c>
      <c r="K12" s="149" t="n">
        <f aca="false">$L$3*'Voting History'!E12+$M$3*'Voting History'!K12+$N$3*'Voting History'!Q12</f>
        <v>0.148822609309856</v>
      </c>
      <c r="L12" s="150" t="n">
        <f aca="false">$L$3*'Voting History'!F12+$M$3*'Voting History'!L12+$N$3*'Voting History'!R12</f>
        <v>0.189370600458308</v>
      </c>
      <c r="M12" s="151" t="n">
        <f aca="false">$L$3*'Voting History'!G12+$M$3*'Voting History'!M12+$N$3*'Voting History'!S12</f>
        <v>0.0994314978157452</v>
      </c>
      <c r="N12" s="152" t="n">
        <f aca="false">$L$3*'Voting History'!H12+$M$3*'Voting History'!N12+$N$3*'Voting History'!T12</f>
        <v>0</v>
      </c>
      <c r="O12" s="147" t="n">
        <f aca="false">Polling!C12</f>
        <v>0.25285526594941</v>
      </c>
      <c r="P12" s="148" t="n">
        <f aca="false">Polling!D12</f>
        <v>0.336337947703928</v>
      </c>
      <c r="Q12" s="149" t="n">
        <f aca="false">Polling!E12</f>
        <v>0.132714245060716</v>
      </c>
      <c r="R12" s="150" t="n">
        <f aca="false">Polling!F12</f>
        <v>0.203373106906855</v>
      </c>
      <c r="S12" s="151" t="n">
        <f aca="false">Polling!G12</f>
        <v>0.0747194343790912</v>
      </c>
      <c r="T12" s="152" t="n">
        <f aca="false">Polling!H12</f>
        <v>0</v>
      </c>
      <c r="U12" s="153" t="n">
        <f aca="false">AJ12/$AP12</f>
        <v>0.265499592516237</v>
      </c>
      <c r="V12" s="154" t="n">
        <f aca="false">AK12/$AP12</f>
        <v>0.304832309331034</v>
      </c>
      <c r="W12" s="155" t="n">
        <f aca="false">AL12/$AP12</f>
        <v>0.147347335820639</v>
      </c>
      <c r="X12" s="156" t="n">
        <f aca="false">AM12/$AP12</f>
        <v>0.196759368927412</v>
      </c>
      <c r="Y12" s="157" t="n">
        <f aca="false">AN12/$AP12</f>
        <v>0.0855613934046782</v>
      </c>
      <c r="Z12" s="158" t="n">
        <f aca="false">AO12/$AP12</f>
        <v>0</v>
      </c>
      <c r="AA12" s="66" t="n">
        <f aca="false">SUMPRODUCT(Demographics!$C12:$I12,Demographics!$C$43:$I$43)</f>
        <v>0.616210735919829</v>
      </c>
      <c r="AC12" s="145" t="n">
        <f aca="false">SUMPRODUCT(Demographics!$C12:$I12,Demographics!$C$43:$I$43,Demographics!$C$44:$I$44)</f>
        <v>0.1358304091113</v>
      </c>
      <c r="AD12" s="145" t="n">
        <f aca="false">SUMPRODUCT(Demographics!$C12:$I12,Demographics!$C$43:$I$43,Demographics!$C$45:$I$45)</f>
        <v>0.202266207729428</v>
      </c>
      <c r="AE12" s="145" t="n">
        <f aca="false">SUMPRODUCT(Demographics!$C12:$I12,Demographics!$C$43:$I$43,Demographics!$C$46:$I$46)</f>
        <v>0.103565045545399</v>
      </c>
      <c r="AF12" s="145" t="n">
        <f aca="false">SUMPRODUCT(Demographics!$C12:$I12,Demographics!$C$43:$I$43,Demographics!$C$47:$I$47)</f>
        <v>0.118926249717881</v>
      </c>
      <c r="AG12" s="145" t="n">
        <f aca="false">SUMPRODUCT(Demographics!$C12:$I12,Demographics!$C$43:$I$43,Demographics!$C$48:$I$48)</f>
        <v>0.05562282381582</v>
      </c>
      <c r="AH12" s="145" t="n">
        <f aca="false">SUMPRODUCT(Demographics!$C12:$I12,Demographics!$C$43:$I$43,Demographics!$C$49:$I$49)</f>
        <v>0</v>
      </c>
      <c r="AI12" s="145" t="n">
        <f aca="false">SUM(AC12:AH12)</f>
        <v>0.616210735919829</v>
      </c>
      <c r="AJ12" s="145" t="n">
        <f aca="false">$D$3*C12+$F$3*I12+$H$3*O12</f>
        <v>0.265499592516237</v>
      </c>
      <c r="AK12" s="145" t="n">
        <f aca="false">$D$3*D12+$F$3*J12+$H$3*P12</f>
        <v>0.304832309331034</v>
      </c>
      <c r="AL12" s="145" t="n">
        <f aca="false">$D$3*E12+$F$3*K12+$H$3*Q12</f>
        <v>0.147347335820639</v>
      </c>
      <c r="AM12" s="145" t="n">
        <f aca="false">$D$3*F12+$F$3*L12+$H$3*R12</f>
        <v>0.196759368927412</v>
      </c>
      <c r="AN12" s="145" t="n">
        <f aca="false">$D$3*G12+$F$3*M12+$H$3*S12</f>
        <v>0.0855613934046782</v>
      </c>
      <c r="AO12" s="145" t="n">
        <f aca="false">$D$3*H12+$F$3*N12+$H$3*T12</f>
        <v>0</v>
      </c>
      <c r="AP12" s="145" t="n">
        <f aca="false">SUM(AJ12:AO12)</f>
        <v>1</v>
      </c>
      <c r="AR12" s="145" t="n">
        <f aca="false">IF(U12&lt;0.000000001,0,MAX(0.0002,U12+Incumbency!C$20*Incumbency!$C$6+'Tactical &amp; Candidate'!C$12/100))</f>
        <v>0.265499592516237</v>
      </c>
      <c r="AS12" s="145" t="n">
        <f aca="false">IF(V12&lt;0.000000001,0,MAX(0.0002,V12+Incumbency!D$20*Incumbency!$C$6+'Tactical &amp; Candidate'!D$12/100))</f>
        <v>0.328832309331034</v>
      </c>
      <c r="AT12" s="145" t="n">
        <f aca="false">IF(W12&lt;0.000000001,0,MAX(0.0002,W12+Incumbency!E$20*Incumbency!$C$6+'Tactical &amp; Candidate'!E$12/100))</f>
        <v>0.147347335820639</v>
      </c>
      <c r="AU12" s="145" t="n">
        <f aca="false">IF(X12&lt;0.000000001,0,MAX(0.0002,X12+Incumbency!F$20*Incumbency!$C$6+'Tactical &amp; Candidate'!F$12/100))</f>
        <v>0.196759368927412</v>
      </c>
      <c r="AV12" s="145" t="n">
        <f aca="false">IF(Y12&lt;0.000000001,0,MAX(0.0002,Y12+Incumbency!G$20*Incumbency!$C$6+'Tactical &amp; Candidate'!G$12/100))</f>
        <v>0.0855613934046782</v>
      </c>
      <c r="AW12" s="145" t="n">
        <f aca="false">IF(Z12&lt;0.000000001,0,MAX(0.0002,Z12+Incumbency!H$20*Incumbency!$C$6+'Tactical &amp; Candidate'!H$12/100))</f>
        <v>0</v>
      </c>
      <c r="AX12" s="145" t="n">
        <f aca="false">SUM(AR12:AW12)</f>
        <v>1.024</v>
      </c>
      <c r="AY12" s="145" t="n">
        <f aca="false">AR12/$AX12</f>
        <v>0.259276945816638</v>
      </c>
      <c r="AZ12" s="145" t="n">
        <f aca="false">AS12/$AX12</f>
        <v>0.321125302081088</v>
      </c>
      <c r="BA12" s="145" t="n">
        <f aca="false">AT12/$AX12</f>
        <v>0.143893882637343</v>
      </c>
      <c r="BB12" s="145" t="n">
        <f aca="false">AU12/$AX12</f>
        <v>0.192147821218175</v>
      </c>
      <c r="BC12" s="145" t="n">
        <f aca="false">AV12/$AX12</f>
        <v>0.083556048246756</v>
      </c>
      <c r="BD12" s="145" t="n">
        <f aca="false">AW12/$AX12</f>
        <v>0</v>
      </c>
      <c r="BF12" s="145" t="n">
        <f aca="false">AY12*(1-'Tactical &amp; Candidate'!C$8)</f>
        <v>0.259276945816638</v>
      </c>
      <c r="BG12" s="145" t="n">
        <f aca="false">AZ12*(1-'Tactical &amp; Candidate'!D$8)</f>
        <v>0.321125302081088</v>
      </c>
      <c r="BH12" s="145" t="n">
        <f aca="false">BA12*(1-'Tactical &amp; Candidate'!E$8)</f>
        <v>0.143893882637343</v>
      </c>
      <c r="BI12" s="145" t="n">
        <f aca="false">BB12*(1-'Tactical &amp; Candidate'!F$8)</f>
        <v>0.192147821218175</v>
      </c>
      <c r="BJ12" s="145" t="n">
        <f aca="false">BC12*(1-'Tactical &amp; Candidate'!G$8)</f>
        <v>0.083556048246756</v>
      </c>
      <c r="BK12" s="145" t="n">
        <f aca="false">BD12*(1-'Tactical &amp; Candidate'!H$8)</f>
        <v>0</v>
      </c>
      <c r="BL12" s="145" t="n">
        <f aca="false">LARGE(AY12:BD12,2)</f>
        <v>0.259276945816638</v>
      </c>
      <c r="BM12" s="145" t="n">
        <f aca="false">SUMPRODUCT((AY12:BD12&lt;$BL12)*AY12:BD12)*'Tactical &amp; Candidate'!$C$6</f>
        <v>0</v>
      </c>
      <c r="BN12" s="145" t="n">
        <f aca="false">MAX(BF12:BK12)</f>
        <v>0.321125302081088</v>
      </c>
      <c r="BO12" s="146" t="n">
        <f aca="false">SUMPRODUCT((BF12:BK12=$BN12)*1)</f>
        <v>1</v>
      </c>
      <c r="BQ12" s="145" t="n">
        <f aca="false">AY12*(1-'Tactical &amp; Candidate'!$C$6*(AY12&lt;$BL12))+IF(BF12=$BN12,$BM12/$BO12,0)</f>
        <v>0.259276945816638</v>
      </c>
      <c r="BR12" s="145" t="n">
        <f aca="false">AZ12*(1-'Tactical &amp; Candidate'!$C$6*(AZ12&lt;$BL12))+IF(BG12=$BN12,$BM12/$BO12,0)</f>
        <v>0.321125302081088</v>
      </c>
      <c r="BS12" s="145" t="n">
        <f aca="false">BA12*(1-'Tactical &amp; Candidate'!$C$6*(BA12&lt;$BL12))+IF(BH12=$BN12,$BM12/$BO12,0)</f>
        <v>0.143893882637343</v>
      </c>
      <c r="BT12" s="145" t="n">
        <f aca="false">BB12*(1-'Tactical &amp; Candidate'!$C$6*(BB12&lt;$BL12))+IF(BI12=$BN12,$BM12/$BO12,0)</f>
        <v>0.192147821218175</v>
      </c>
      <c r="BU12" s="145" t="n">
        <f aca="false">BC12*(1-'Tactical &amp; Candidate'!$C$6*(BC12&lt;$BL12))+IF(BJ12=$BN12,$BM12/$BO12,0)</f>
        <v>0.083556048246756</v>
      </c>
      <c r="BV12" s="145" t="n">
        <f aca="false">BD12*(1-'Tactical &amp; Candidate'!$C$6*(BD12&lt;$BL12))+IF(BK12=$BN12,$BM12/$BO12,0)</f>
        <v>0</v>
      </c>
      <c r="BW12" s="145" t="n">
        <f aca="false">SUM(BQ12:BV12)</f>
        <v>1</v>
      </c>
      <c r="BX12" s="145" t="n">
        <f aca="false">BQ12/$BW12</f>
        <v>0.259276945816638</v>
      </c>
      <c r="BY12" s="145" t="n">
        <f aca="false">BR12/$BW12</f>
        <v>0.321125302081088</v>
      </c>
      <c r="BZ12" s="145" t="n">
        <f aca="false">BS12/$BW12</f>
        <v>0.143893882637343</v>
      </c>
      <c r="CA12" s="145" t="n">
        <f aca="false">BT12/$BW12</f>
        <v>0.192147821218175</v>
      </c>
      <c r="CB12" s="145" t="n">
        <f aca="false">BU12/$BW12</f>
        <v>0.083556048246756</v>
      </c>
      <c r="CC12" s="145" t="n">
        <f aca="false">BV12/$BW12</f>
        <v>0</v>
      </c>
    </row>
    <row r="13" customFormat="false" ht="15" hidden="false" customHeight="false" outlineLevel="0" collapsed="false">
      <c r="B13" s="9" t="s">
        <v>51</v>
      </c>
      <c r="C13" s="134" t="n">
        <f aca="false">AC13/$AI13</f>
        <v>0.236539027972489</v>
      </c>
      <c r="D13" s="135" t="n">
        <f aca="false">AD13/$AI13</f>
        <v>0.275204970558698</v>
      </c>
      <c r="E13" s="136" t="n">
        <f aca="false">AE13/$AI13</f>
        <v>0.146100675869895</v>
      </c>
      <c r="F13" s="132" t="n">
        <f aca="false">AF13/$AI13</f>
        <v>0.244504125305155</v>
      </c>
      <c r="G13" s="137" t="n">
        <f aca="false">AG13/$AI13</f>
        <v>0.0976512002937626</v>
      </c>
      <c r="H13" s="138" t="n">
        <f aca="false">AH13/$AI13</f>
        <v>0</v>
      </c>
      <c r="I13" s="134" t="n">
        <f aca="false">$L$3*'Voting History'!C13+$M$3*'Voting History'!I13+$N$3*'Voting History'!O13</f>
        <v>0.366089481077699</v>
      </c>
      <c r="J13" s="135" t="n">
        <f aca="false">$L$3*'Voting History'!D13+$M$3*'Voting History'!J13+$N$3*'Voting History'!P13</f>
        <v>0.1346507394799</v>
      </c>
      <c r="K13" s="136" t="n">
        <f aca="false">$L$3*'Voting History'!E13+$M$3*'Voting History'!K13+$N$3*'Voting History'!Q13</f>
        <v>0.111165269075149</v>
      </c>
      <c r="L13" s="132" t="n">
        <f aca="false">$L$3*'Voting History'!F13+$M$3*'Voting History'!L13+$N$3*'Voting History'!R13</f>
        <v>0.282359761673135</v>
      </c>
      <c r="M13" s="137" t="n">
        <f aca="false">$L$3*'Voting History'!G13+$M$3*'Voting History'!M13+$N$3*'Voting History'!S13</f>
        <v>0.105734748694117</v>
      </c>
      <c r="N13" s="138" t="n">
        <f aca="false">$L$3*'Voting History'!H13+$M$3*'Voting History'!N13+$N$3*'Voting History'!T13</f>
        <v>0</v>
      </c>
      <c r="O13" s="134" t="n">
        <f aca="false">Polling!C13</f>
        <v>0.277172703528054</v>
      </c>
      <c r="P13" s="135" t="n">
        <f aca="false">Polling!D13</f>
        <v>0.235595885050773</v>
      </c>
      <c r="Q13" s="136" t="n">
        <f aca="false">Polling!E13</f>
        <v>0.105349990545946</v>
      </c>
      <c r="R13" s="132" t="n">
        <f aca="false">Polling!F13</f>
        <v>0.296913834862268</v>
      </c>
      <c r="S13" s="137" t="n">
        <f aca="false">Polling!G13</f>
        <v>0.0849675860129594</v>
      </c>
      <c r="T13" s="138" t="n">
        <f aca="false">Polling!H13</f>
        <v>0</v>
      </c>
      <c r="U13" s="139" t="n">
        <f aca="false">AJ13/$AP13</f>
        <v>0.287211795248796</v>
      </c>
      <c r="V13" s="140" t="n">
        <f aca="false">AK13/$AP13</f>
        <v>0.222242324310432</v>
      </c>
      <c r="W13" s="141" t="n">
        <f aca="false">AL13/$AP13</f>
        <v>0.119029015775431</v>
      </c>
      <c r="X13" s="142" t="n">
        <f aca="false">AM13/$AP13</f>
        <v>0.277552403697851</v>
      </c>
      <c r="Y13" s="143" t="n">
        <f aca="false">AN13/$AP13</f>
        <v>0.0939644609674898</v>
      </c>
      <c r="Z13" s="144" t="n">
        <f aca="false">AO13/$AP13</f>
        <v>0</v>
      </c>
      <c r="AA13" s="55" t="n">
        <f aca="false">SUMPRODUCT(Demographics!$C13:$I13,Demographics!$C$43:$I$43)</f>
        <v>0.622189766335453</v>
      </c>
      <c r="AC13" s="145" t="n">
        <f aca="false">SUMPRODUCT(Demographics!$C13:$I13,Demographics!$C$43:$I$43,Demographics!$C$44:$I$44)</f>
        <v>0.147172162543418</v>
      </c>
      <c r="AD13" s="145" t="n">
        <f aca="false">SUMPRODUCT(Demographics!$C13:$I13,Demographics!$C$43:$I$43,Demographics!$C$45:$I$45)</f>
        <v>0.171229716326272</v>
      </c>
      <c r="AE13" s="145" t="n">
        <f aca="false">SUMPRODUCT(Demographics!$C13:$I13,Demographics!$C$43:$I$43,Demographics!$C$46:$I$46)</f>
        <v>0.0909023453809417</v>
      </c>
      <c r="AF13" s="145" t="n">
        <f aca="false">SUMPRODUCT(Demographics!$C13:$I13,Demographics!$C$43:$I$43,Demographics!$C$47:$I$47)</f>
        <v>0.152127964591669</v>
      </c>
      <c r="AG13" s="145" t="n">
        <f aca="false">SUMPRODUCT(Demographics!$C13:$I13,Demographics!$C$43:$I$43,Demographics!$C$48:$I$48)</f>
        <v>0.0607575774931526</v>
      </c>
      <c r="AH13" s="145" t="n">
        <f aca="false">SUMPRODUCT(Demographics!$C13:$I13,Demographics!$C$43:$I$43,Demographics!$C$49:$I$49)</f>
        <v>0</v>
      </c>
      <c r="AI13" s="145" t="n">
        <f aca="false">SUM(AC13:AH13)</f>
        <v>0.622189766335453</v>
      </c>
      <c r="AJ13" s="145" t="n">
        <f aca="false">$D$3*C13+$F$3*I13+$H$3*O13</f>
        <v>0.287211795248796</v>
      </c>
      <c r="AK13" s="145" t="n">
        <f aca="false">$D$3*D13+$F$3*J13+$H$3*P13</f>
        <v>0.222242324310432</v>
      </c>
      <c r="AL13" s="145" t="n">
        <f aca="false">$D$3*E13+$F$3*K13+$H$3*Q13</f>
        <v>0.119029015775431</v>
      </c>
      <c r="AM13" s="145" t="n">
        <f aca="false">$D$3*F13+$F$3*L13+$H$3*R13</f>
        <v>0.277552403697851</v>
      </c>
      <c r="AN13" s="145" t="n">
        <f aca="false">$D$3*G13+$F$3*M13+$H$3*S13</f>
        <v>0.0939644609674898</v>
      </c>
      <c r="AO13" s="145" t="n">
        <f aca="false">$D$3*H13+$F$3*N13+$H$3*T13</f>
        <v>0</v>
      </c>
      <c r="AP13" s="145" t="n">
        <f aca="false">SUM(AJ13:AO13)</f>
        <v>1</v>
      </c>
      <c r="AR13" s="145" t="n">
        <f aca="false">IF(U13&lt;0.000000001,0,MAX(0.0002,U13+Incumbency!C$20*Incumbency!$C$6+'Tactical &amp; Candidate'!C$12/100))</f>
        <v>0.287211795248796</v>
      </c>
      <c r="AS13" s="145" t="n">
        <f aca="false">IF(V13&lt;0.000000001,0,MAX(0.0002,V13+Incumbency!D$20*Incumbency!$C$6+'Tactical &amp; Candidate'!D$12/100))</f>
        <v>0.246242324310432</v>
      </c>
      <c r="AT13" s="145" t="n">
        <f aca="false">IF(W13&lt;0.000000001,0,MAX(0.0002,W13+Incumbency!E$20*Incumbency!$C$6+'Tactical &amp; Candidate'!E$12/100))</f>
        <v>0.119029015775431</v>
      </c>
      <c r="AU13" s="145" t="n">
        <f aca="false">IF(X13&lt;0.000000001,0,MAX(0.0002,X13+Incumbency!F$20*Incumbency!$C$6+'Tactical &amp; Candidate'!F$12/100))</f>
        <v>0.277552403697851</v>
      </c>
      <c r="AV13" s="145" t="n">
        <f aca="false">IF(Y13&lt;0.000000001,0,MAX(0.0002,Y13+Incumbency!G$20*Incumbency!$C$6+'Tactical &amp; Candidate'!G$12/100))</f>
        <v>0.0939644609674898</v>
      </c>
      <c r="AW13" s="145" t="n">
        <f aca="false">IF(Z13&lt;0.000000001,0,MAX(0.0002,Z13+Incumbency!H$20*Incumbency!$C$6+'Tactical &amp; Candidate'!H$12/100))</f>
        <v>0</v>
      </c>
      <c r="AX13" s="145" t="n">
        <f aca="false">SUM(AR13:AW13)</f>
        <v>1.024</v>
      </c>
      <c r="AY13" s="145" t="n">
        <f aca="false">AR13/$AX13</f>
        <v>0.280480268797652</v>
      </c>
      <c r="AZ13" s="145" t="n">
        <f aca="false">AS13/$AX13</f>
        <v>0.240471019834407</v>
      </c>
      <c r="BA13" s="145" t="n">
        <f aca="false">AT13/$AX13</f>
        <v>0.116239273218195</v>
      </c>
      <c r="BB13" s="145" t="n">
        <f aca="false">AU13/$AX13</f>
        <v>0.271047269236183</v>
      </c>
      <c r="BC13" s="145" t="n">
        <f aca="false">AV13/$AX13</f>
        <v>0.0917621689135643</v>
      </c>
      <c r="BD13" s="145" t="n">
        <f aca="false">AW13/$AX13</f>
        <v>0</v>
      </c>
      <c r="BF13" s="145" t="n">
        <f aca="false">AY13*(1-'Tactical &amp; Candidate'!C$8)</f>
        <v>0.280480268797652</v>
      </c>
      <c r="BG13" s="145" t="n">
        <f aca="false">AZ13*(1-'Tactical &amp; Candidate'!D$8)</f>
        <v>0.240471019834407</v>
      </c>
      <c r="BH13" s="145" t="n">
        <f aca="false">BA13*(1-'Tactical &amp; Candidate'!E$8)</f>
        <v>0.116239273218195</v>
      </c>
      <c r="BI13" s="145" t="n">
        <f aca="false">BB13*(1-'Tactical &amp; Candidate'!F$8)</f>
        <v>0.271047269236183</v>
      </c>
      <c r="BJ13" s="145" t="n">
        <f aca="false">BC13*(1-'Tactical &amp; Candidate'!G$8)</f>
        <v>0.0917621689135643</v>
      </c>
      <c r="BK13" s="145" t="n">
        <f aca="false">BD13*(1-'Tactical &amp; Candidate'!H$8)</f>
        <v>0</v>
      </c>
      <c r="BL13" s="145" t="n">
        <f aca="false">LARGE(AY13:BD13,2)</f>
        <v>0.271047269236183</v>
      </c>
      <c r="BM13" s="145" t="n">
        <f aca="false">SUMPRODUCT((AY13:BD13&lt;$BL13)*AY13:BD13)*'Tactical &amp; Candidate'!$C$6</f>
        <v>0</v>
      </c>
      <c r="BN13" s="145" t="n">
        <f aca="false">MAX(BF13:BK13)</f>
        <v>0.280480268797652</v>
      </c>
      <c r="BO13" s="146" t="n">
        <f aca="false">SUMPRODUCT((BF13:BK13=$BN13)*1)</f>
        <v>1</v>
      </c>
      <c r="BQ13" s="145" t="n">
        <f aca="false">AY13*(1-'Tactical &amp; Candidate'!$C$6*(AY13&lt;$BL13))+IF(BF13=$BN13,$BM13/$BO13,0)</f>
        <v>0.280480268797652</v>
      </c>
      <c r="BR13" s="145" t="n">
        <f aca="false">AZ13*(1-'Tactical &amp; Candidate'!$C$6*(AZ13&lt;$BL13))+IF(BG13=$BN13,$BM13/$BO13,0)</f>
        <v>0.240471019834407</v>
      </c>
      <c r="BS13" s="145" t="n">
        <f aca="false">BA13*(1-'Tactical &amp; Candidate'!$C$6*(BA13&lt;$BL13))+IF(BH13=$BN13,$BM13/$BO13,0)</f>
        <v>0.116239273218195</v>
      </c>
      <c r="BT13" s="145" t="n">
        <f aca="false">BB13*(1-'Tactical &amp; Candidate'!$C$6*(BB13&lt;$BL13))+IF(BI13=$BN13,$BM13/$BO13,0)</f>
        <v>0.271047269236183</v>
      </c>
      <c r="BU13" s="145" t="n">
        <f aca="false">BC13*(1-'Tactical &amp; Candidate'!$C$6*(BC13&lt;$BL13))+IF(BJ13=$BN13,$BM13/$BO13,0)</f>
        <v>0.0917621689135643</v>
      </c>
      <c r="BV13" s="145" t="n">
        <f aca="false">BD13*(1-'Tactical &amp; Candidate'!$C$6*(BD13&lt;$BL13))+IF(BK13=$BN13,$BM13/$BO13,0)</f>
        <v>0</v>
      </c>
      <c r="BW13" s="145" t="n">
        <f aca="false">SUM(BQ13:BV13)</f>
        <v>1</v>
      </c>
      <c r="BX13" s="145" t="n">
        <f aca="false">BQ13/$BW13</f>
        <v>0.280480268797652</v>
      </c>
      <c r="BY13" s="145" t="n">
        <f aca="false">BR13/$BW13</f>
        <v>0.240471019834407</v>
      </c>
      <c r="BZ13" s="145" t="n">
        <f aca="false">BS13/$BW13</f>
        <v>0.116239273218195</v>
      </c>
      <c r="CA13" s="145" t="n">
        <f aca="false">BT13/$BW13</f>
        <v>0.271047269236183</v>
      </c>
      <c r="CB13" s="145" t="n">
        <f aca="false">BU13/$BW13</f>
        <v>0.0917621689135643</v>
      </c>
      <c r="CC13" s="145" t="n">
        <f aca="false">BV13/$BW13</f>
        <v>0</v>
      </c>
    </row>
    <row r="14" customFormat="false" ht="15" hidden="false" customHeight="false" outlineLevel="0" collapsed="false">
      <c r="B14" s="22" t="s">
        <v>53</v>
      </c>
      <c r="C14" s="147" t="n">
        <f aca="false">AC14/$AI14</f>
        <v>0.214342302960464</v>
      </c>
      <c r="D14" s="148" t="n">
        <f aca="false">AD14/$AI14</f>
        <v>0.335241950898165</v>
      </c>
      <c r="E14" s="149" t="n">
        <f aca="false">AE14/$AI14</f>
        <v>0.176824519920763</v>
      </c>
      <c r="F14" s="150" t="n">
        <f aca="false">AF14/$AI14</f>
        <v>0.183508076992333</v>
      </c>
      <c r="G14" s="151" t="n">
        <f aca="false">AG14/$AI14</f>
        <v>0.0900831492282742</v>
      </c>
      <c r="H14" s="152" t="n">
        <f aca="false">AH14/$AI14</f>
        <v>0</v>
      </c>
      <c r="I14" s="147" t="n">
        <f aca="false">$L$3*'Voting History'!C14+$M$3*'Voting History'!I14+$N$3*'Voting History'!O14</f>
        <v>0.296042804271194</v>
      </c>
      <c r="J14" s="148" t="n">
        <f aca="false">$L$3*'Voting History'!D14+$M$3*'Voting History'!J14+$N$3*'Voting History'!P14</f>
        <v>0.279649964173565</v>
      </c>
      <c r="K14" s="149" t="n">
        <f aca="false">$L$3*'Voting History'!E14+$M$3*'Voting History'!K14+$N$3*'Voting History'!Q14</f>
        <v>0.180216583954769</v>
      </c>
      <c r="L14" s="150" t="n">
        <f aca="false">$L$3*'Voting History'!F14+$M$3*'Voting History'!L14+$N$3*'Voting History'!R14</f>
        <v>0.158008390971292</v>
      </c>
      <c r="M14" s="151" t="n">
        <f aca="false">$L$3*'Voting History'!G14+$M$3*'Voting History'!M14+$N$3*'Voting History'!S14</f>
        <v>0.08608225662918</v>
      </c>
      <c r="N14" s="152" t="n">
        <f aca="false">$L$3*'Voting History'!H14+$M$3*'Voting History'!N14+$N$3*'Voting History'!T14</f>
        <v>0</v>
      </c>
      <c r="O14" s="147" t="n">
        <f aca="false">Polling!C14</f>
        <v>0.231438984963838</v>
      </c>
      <c r="P14" s="148" t="n">
        <f aca="false">Polling!D14</f>
        <v>0.398265438586076</v>
      </c>
      <c r="Q14" s="149" t="n">
        <f aca="false">Polling!E14</f>
        <v>0.166441510643957</v>
      </c>
      <c r="R14" s="150" t="n">
        <f aca="false">Polling!F14</f>
        <v>0.144359975924537</v>
      </c>
      <c r="S14" s="151" t="n">
        <f aca="false">Polling!G14</f>
        <v>0.0594940898815928</v>
      </c>
      <c r="T14" s="152" t="n">
        <f aca="false">Polling!H14</f>
        <v>0</v>
      </c>
      <c r="U14" s="153" t="n">
        <f aca="false">AJ14/$AP14</f>
        <v>0.242460935189665</v>
      </c>
      <c r="V14" s="154" t="n">
        <f aca="false">AK14/$AP14</f>
        <v>0.349704523676575</v>
      </c>
      <c r="W14" s="155" t="n">
        <f aca="false">AL14/$AP14</f>
        <v>0.173000181754702</v>
      </c>
      <c r="X14" s="156" t="n">
        <f aca="false">AM14/$AP14</f>
        <v>0.159516510006564</v>
      </c>
      <c r="Y14" s="157" t="n">
        <f aca="false">AN14/$AP14</f>
        <v>0.0753178493724941</v>
      </c>
      <c r="Z14" s="158" t="n">
        <f aca="false">AO14/$AP14</f>
        <v>0</v>
      </c>
      <c r="AA14" s="66" t="n">
        <f aca="false">SUMPRODUCT(Demographics!$C14:$I14,Demographics!$C$43:$I$43)</f>
        <v>0.631946048354913</v>
      </c>
      <c r="AC14" s="145" t="n">
        <f aca="false">SUMPRODUCT(Demographics!$C14:$I14,Demographics!$C$43:$I$43,Demographics!$C$44:$I$44)</f>
        <v>0.135452771351157</v>
      </c>
      <c r="AD14" s="145" t="n">
        <f aca="false">SUMPRODUCT(Demographics!$C14:$I14,Demographics!$C$43:$I$43,Demographics!$C$45:$I$45)</f>
        <v>0.211854826112887</v>
      </c>
      <c r="AE14" s="145" t="n">
        <f aca="false">SUMPRODUCT(Demographics!$C14:$I14,Demographics!$C$43:$I$43,Demographics!$C$46:$I$46)</f>
        <v>0.111743556616181</v>
      </c>
      <c r="AF14" s="145" t="n">
        <f aca="false">SUMPRODUCT(Demographics!$C14:$I14,Demographics!$C$43:$I$43,Demographics!$C$47:$I$47)</f>
        <v>0.115967204096514</v>
      </c>
      <c r="AG14" s="145" t="n">
        <f aca="false">SUMPRODUCT(Demographics!$C14:$I14,Demographics!$C$43:$I$43,Demographics!$C$48:$I$48)</f>
        <v>0.0569276901781738</v>
      </c>
      <c r="AH14" s="145" t="n">
        <f aca="false">SUMPRODUCT(Demographics!$C14:$I14,Demographics!$C$43:$I$43,Demographics!$C$49:$I$49)</f>
        <v>0</v>
      </c>
      <c r="AI14" s="145" t="n">
        <f aca="false">SUM(AC14:AH14)</f>
        <v>0.631946048354913</v>
      </c>
      <c r="AJ14" s="145" t="n">
        <f aca="false">$D$3*C14+$F$3*I14+$H$3*O14</f>
        <v>0.242460935189665</v>
      </c>
      <c r="AK14" s="145" t="n">
        <f aca="false">$D$3*D14+$F$3*J14+$H$3*P14</f>
        <v>0.349704523676575</v>
      </c>
      <c r="AL14" s="145" t="n">
        <f aca="false">$D$3*E14+$F$3*K14+$H$3*Q14</f>
        <v>0.173000181754702</v>
      </c>
      <c r="AM14" s="145" t="n">
        <f aca="false">$D$3*F14+$F$3*L14+$H$3*R14</f>
        <v>0.159516510006564</v>
      </c>
      <c r="AN14" s="145" t="n">
        <f aca="false">$D$3*G14+$F$3*M14+$H$3*S14</f>
        <v>0.075317849372494</v>
      </c>
      <c r="AO14" s="145" t="n">
        <f aca="false">$D$3*H14+$F$3*N14+$H$3*T14</f>
        <v>0</v>
      </c>
      <c r="AP14" s="145" t="n">
        <f aca="false">SUM(AJ14:AO14)</f>
        <v>1</v>
      </c>
      <c r="AR14" s="145" t="n">
        <f aca="false">IF(U14&lt;0.000000001,0,MAX(0.0002,U14+Incumbency!C$20*Incumbency!$C$6+'Tactical &amp; Candidate'!C$12/100))</f>
        <v>0.242460935189665</v>
      </c>
      <c r="AS14" s="145" t="n">
        <f aca="false">IF(V14&lt;0.000000001,0,MAX(0.0002,V14+Incumbency!D$20*Incumbency!$C$6+'Tactical &amp; Candidate'!D$12/100))</f>
        <v>0.373704523676575</v>
      </c>
      <c r="AT14" s="145" t="n">
        <f aca="false">IF(W14&lt;0.000000001,0,MAX(0.0002,W14+Incumbency!E$20*Incumbency!$C$6+'Tactical &amp; Candidate'!E$12/100))</f>
        <v>0.173000181754702</v>
      </c>
      <c r="AU14" s="145" t="n">
        <f aca="false">IF(X14&lt;0.000000001,0,MAX(0.0002,X14+Incumbency!F$20*Incumbency!$C$6+'Tactical &amp; Candidate'!F$12/100))</f>
        <v>0.159516510006564</v>
      </c>
      <c r="AV14" s="145" t="n">
        <f aca="false">IF(Y14&lt;0.000000001,0,MAX(0.0002,Y14+Incumbency!G$20*Incumbency!$C$6+'Tactical &amp; Candidate'!G$12/100))</f>
        <v>0.0753178493724941</v>
      </c>
      <c r="AW14" s="145" t="n">
        <f aca="false">IF(Z14&lt;0.000000001,0,MAX(0.0002,Z14+Incumbency!H$20*Incumbency!$C$6+'Tactical &amp; Candidate'!H$12/100))</f>
        <v>0</v>
      </c>
      <c r="AX14" s="145" t="n">
        <f aca="false">SUM(AR14:AW14)</f>
        <v>1.024</v>
      </c>
      <c r="AY14" s="145" t="n">
        <f aca="false">AR14/$AX14</f>
        <v>0.236778257021157</v>
      </c>
      <c r="AZ14" s="145" t="n">
        <f aca="false">AS14/$AX14</f>
        <v>0.364945823902905</v>
      </c>
      <c r="BA14" s="145" t="n">
        <f aca="false">AT14/$AX14</f>
        <v>0.168945489994826</v>
      </c>
      <c r="BB14" s="145" t="n">
        <f aca="false">AU14/$AX14</f>
        <v>0.155777841803286</v>
      </c>
      <c r="BC14" s="145" t="n">
        <f aca="false">AV14/$AX14</f>
        <v>0.0735525872778262</v>
      </c>
      <c r="BD14" s="145" t="n">
        <f aca="false">AW14/$AX14</f>
        <v>0</v>
      </c>
      <c r="BF14" s="145" t="n">
        <f aca="false">AY14*(1-'Tactical &amp; Candidate'!C$8)</f>
        <v>0.236778257021157</v>
      </c>
      <c r="BG14" s="145" t="n">
        <f aca="false">AZ14*(1-'Tactical &amp; Candidate'!D$8)</f>
        <v>0.364945823902905</v>
      </c>
      <c r="BH14" s="145" t="n">
        <f aca="false">BA14*(1-'Tactical &amp; Candidate'!E$8)</f>
        <v>0.168945489994826</v>
      </c>
      <c r="BI14" s="145" t="n">
        <f aca="false">BB14*(1-'Tactical &amp; Candidate'!F$8)</f>
        <v>0.155777841803286</v>
      </c>
      <c r="BJ14" s="145" t="n">
        <f aca="false">BC14*(1-'Tactical &amp; Candidate'!G$8)</f>
        <v>0.0735525872778262</v>
      </c>
      <c r="BK14" s="145" t="n">
        <f aca="false">BD14*(1-'Tactical &amp; Candidate'!H$8)</f>
        <v>0</v>
      </c>
      <c r="BL14" s="145" t="n">
        <f aca="false">LARGE(AY14:BD14,2)</f>
        <v>0.236778257021157</v>
      </c>
      <c r="BM14" s="145" t="n">
        <f aca="false">SUMPRODUCT((AY14:BD14&lt;$BL14)*AY14:BD14)*'Tactical &amp; Candidate'!$C$6</f>
        <v>0</v>
      </c>
      <c r="BN14" s="145" t="n">
        <f aca="false">MAX(BF14:BK14)</f>
        <v>0.364945823902905</v>
      </c>
      <c r="BO14" s="146" t="n">
        <f aca="false">SUMPRODUCT((BF14:BK14=$BN14)*1)</f>
        <v>1</v>
      </c>
      <c r="BQ14" s="145" t="n">
        <f aca="false">AY14*(1-'Tactical &amp; Candidate'!$C$6*(AY14&lt;$BL14))+IF(BF14=$BN14,$BM14/$BO14,0)</f>
        <v>0.236778257021157</v>
      </c>
      <c r="BR14" s="145" t="n">
        <f aca="false">AZ14*(1-'Tactical &amp; Candidate'!$C$6*(AZ14&lt;$BL14))+IF(BG14=$BN14,$BM14/$BO14,0)</f>
        <v>0.364945823902905</v>
      </c>
      <c r="BS14" s="145" t="n">
        <f aca="false">BA14*(1-'Tactical &amp; Candidate'!$C$6*(BA14&lt;$BL14))+IF(BH14=$BN14,$BM14/$BO14,0)</f>
        <v>0.168945489994826</v>
      </c>
      <c r="BT14" s="145" t="n">
        <f aca="false">BB14*(1-'Tactical &amp; Candidate'!$C$6*(BB14&lt;$BL14))+IF(BI14=$BN14,$BM14/$BO14,0)</f>
        <v>0.155777841803286</v>
      </c>
      <c r="BU14" s="145" t="n">
        <f aca="false">BC14*(1-'Tactical &amp; Candidate'!$C$6*(BC14&lt;$BL14))+IF(BJ14=$BN14,$BM14/$BO14,0)</f>
        <v>0.0735525872778262</v>
      </c>
      <c r="BV14" s="145" t="n">
        <f aca="false">BD14*(1-'Tactical &amp; Candidate'!$C$6*(BD14&lt;$BL14))+IF(BK14=$BN14,$BM14/$BO14,0)</f>
        <v>0</v>
      </c>
      <c r="BW14" s="145" t="n">
        <f aca="false">SUM(BQ14:BV14)</f>
        <v>1</v>
      </c>
      <c r="BX14" s="145" t="n">
        <f aca="false">BQ14/$BW14</f>
        <v>0.236778257021157</v>
      </c>
      <c r="BY14" s="145" t="n">
        <f aca="false">BR14/$BW14</f>
        <v>0.364945823902905</v>
      </c>
      <c r="BZ14" s="145" t="n">
        <f aca="false">BS14/$BW14</f>
        <v>0.168945489994826</v>
      </c>
      <c r="CA14" s="145" t="n">
        <f aca="false">BT14/$BW14</f>
        <v>0.155777841803286</v>
      </c>
      <c r="CB14" s="145" t="n">
        <f aca="false">BU14/$BW14</f>
        <v>0.0735525872778262</v>
      </c>
      <c r="CC14" s="145" t="n">
        <f aca="false">BV14/$BW14</f>
        <v>0</v>
      </c>
    </row>
    <row r="15" customFormat="false" ht="15" hidden="false" customHeight="false" outlineLevel="0" collapsed="false">
      <c r="B15" s="9" t="s">
        <v>54</v>
      </c>
      <c r="C15" s="134" t="n">
        <f aca="false">AC15/$AI15</f>
        <v>0.2314330917077</v>
      </c>
      <c r="D15" s="135" t="n">
        <f aca="false">AD15/$AI15</f>
        <v>0.291695106350241</v>
      </c>
      <c r="E15" s="136" t="n">
        <f aca="false">AE15/$AI15</f>
        <v>0.185417055340687</v>
      </c>
      <c r="F15" s="132" t="n">
        <f aca="false">AF15/$AI15</f>
        <v>0.196080386212961</v>
      </c>
      <c r="G15" s="137" t="n">
        <f aca="false">AG15/$AI15</f>
        <v>0.0953743603884119</v>
      </c>
      <c r="H15" s="138" t="n">
        <f aca="false">AH15/$AI15</f>
        <v>0</v>
      </c>
      <c r="I15" s="134" t="n">
        <f aca="false">$L$3*'Voting History'!C15+$M$3*'Voting History'!I15+$N$3*'Voting History'!O15</f>
        <v>0.411725170934765</v>
      </c>
      <c r="J15" s="135" t="n">
        <f aca="false">$L$3*'Voting History'!D15+$M$3*'Voting History'!J15+$N$3*'Voting History'!P15</f>
        <v>0.229484884547395</v>
      </c>
      <c r="K15" s="136" t="n">
        <f aca="false">$L$3*'Voting History'!E15+$M$3*'Voting History'!K15+$N$3*'Voting History'!Q15</f>
        <v>0.15919171283897</v>
      </c>
      <c r="L15" s="132" t="n">
        <f aca="false">$L$3*'Voting History'!F15+$M$3*'Voting History'!L15+$N$3*'Voting History'!R15</f>
        <v>0.120304329586968</v>
      </c>
      <c r="M15" s="137" t="n">
        <f aca="false">$L$3*'Voting History'!G15+$M$3*'Voting History'!M15+$N$3*'Voting History'!S15</f>
        <v>0.0792939020919017</v>
      </c>
      <c r="N15" s="138" t="n">
        <f aca="false">$L$3*'Voting History'!H15+$M$3*'Voting History'!N15+$N$3*'Voting History'!T15</f>
        <v>0</v>
      </c>
      <c r="O15" s="134" t="n">
        <f aca="false">Polling!C15</f>
        <v>0.308446147321489</v>
      </c>
      <c r="P15" s="135" t="n">
        <f aca="false">Polling!D15</f>
        <v>0.354980075355748</v>
      </c>
      <c r="Q15" s="136" t="n">
        <f aca="false">Polling!E15</f>
        <v>0.148293366432061</v>
      </c>
      <c r="R15" s="132" t="n">
        <f aca="false">Polling!F15</f>
        <v>0.126756560873865</v>
      </c>
      <c r="S15" s="137" t="n">
        <f aca="false">Polling!G15</f>
        <v>0.0615238500168381</v>
      </c>
      <c r="T15" s="138" t="n">
        <f aca="false">Polling!H15</f>
        <v>0</v>
      </c>
      <c r="U15" s="139" t="n">
        <f aca="false">AJ15/$AP15</f>
        <v>0.311161986540671</v>
      </c>
      <c r="V15" s="140" t="n">
        <f aca="false">AK15/$AP15</f>
        <v>0.304620786952007</v>
      </c>
      <c r="W15" s="141" t="n">
        <f aca="false">AL15/$AP15</f>
        <v>0.162155059706376</v>
      </c>
      <c r="X15" s="142" t="n">
        <f aca="false">AM15/$AP15</f>
        <v>0.145940650653869</v>
      </c>
      <c r="Y15" s="143" t="n">
        <f aca="false">AN15/$AP15</f>
        <v>0.0761215161470761</v>
      </c>
      <c r="Z15" s="144" t="n">
        <f aca="false">AO15/$AP15</f>
        <v>0</v>
      </c>
      <c r="AA15" s="55" t="n">
        <f aca="false">SUMPRODUCT(Demographics!$C15:$I15,Demographics!$C$43:$I$43)</f>
        <v>0.643774820788182</v>
      </c>
      <c r="AC15" s="145" t="n">
        <f aca="false">SUMPRODUCT(Demographics!$C15:$I15,Demographics!$C$43:$I$43,Demographics!$C$44:$I$44)</f>
        <v>0.148990797138579</v>
      </c>
      <c r="AD15" s="145" t="n">
        <f aca="false">SUMPRODUCT(Demographics!$C15:$I15,Demographics!$C$43:$I$43,Demographics!$C$45:$I$45)</f>
        <v>0.187785964815416</v>
      </c>
      <c r="AE15" s="145" t="n">
        <f aca="false">SUMPRODUCT(Demographics!$C15:$I15,Demographics!$C$43:$I$43,Demographics!$C$46:$I$46)</f>
        <v>0.119366831573023</v>
      </c>
      <c r="AF15" s="145" t="n">
        <f aca="false">SUMPRODUCT(Demographics!$C15:$I15,Demographics!$C$43:$I$43,Demographics!$C$47:$I$47)</f>
        <v>0.126231615494326</v>
      </c>
      <c r="AG15" s="145" t="n">
        <f aca="false">SUMPRODUCT(Demographics!$C15:$I15,Demographics!$C$43:$I$43,Demographics!$C$48:$I$48)</f>
        <v>0.0613996117668374</v>
      </c>
      <c r="AH15" s="145" t="n">
        <f aca="false">SUMPRODUCT(Demographics!$C15:$I15,Demographics!$C$43:$I$43,Demographics!$C$49:$I$49)</f>
        <v>0</v>
      </c>
      <c r="AI15" s="145" t="n">
        <f aca="false">SUM(AC15:AH15)</f>
        <v>0.643774820788182</v>
      </c>
      <c r="AJ15" s="145" t="n">
        <f aca="false">$D$3*C15+$F$3*I15+$H$3*O15</f>
        <v>0.311161986540671</v>
      </c>
      <c r="AK15" s="145" t="n">
        <f aca="false">$D$3*D15+$F$3*J15+$H$3*P15</f>
        <v>0.304620786952007</v>
      </c>
      <c r="AL15" s="145" t="n">
        <f aca="false">$D$3*E15+$F$3*K15+$H$3*Q15</f>
        <v>0.162155059706376</v>
      </c>
      <c r="AM15" s="145" t="n">
        <f aca="false">$D$3*F15+$F$3*L15+$H$3*R15</f>
        <v>0.145940650653869</v>
      </c>
      <c r="AN15" s="145" t="n">
        <f aca="false">$D$3*G15+$F$3*M15+$H$3*S15</f>
        <v>0.0761215161470761</v>
      </c>
      <c r="AO15" s="145" t="n">
        <f aca="false">$D$3*H15+$F$3*N15+$H$3*T15</f>
        <v>0</v>
      </c>
      <c r="AP15" s="145" t="n">
        <f aca="false">SUM(AJ15:AO15)</f>
        <v>1</v>
      </c>
      <c r="AR15" s="145" t="n">
        <f aca="false">IF(U15&lt;0.000000001,0,MAX(0.0002,U15+Incumbency!C$20*Incumbency!$C$6+'Tactical &amp; Candidate'!C$12/100))</f>
        <v>0.311161986540671</v>
      </c>
      <c r="AS15" s="145" t="n">
        <f aca="false">IF(V15&lt;0.000000001,0,MAX(0.0002,V15+Incumbency!D$20*Incumbency!$C$6+'Tactical &amp; Candidate'!D$12/100))</f>
        <v>0.328620786952007</v>
      </c>
      <c r="AT15" s="145" t="n">
        <f aca="false">IF(W15&lt;0.000000001,0,MAX(0.0002,W15+Incumbency!E$20*Incumbency!$C$6+'Tactical &amp; Candidate'!E$12/100))</f>
        <v>0.162155059706376</v>
      </c>
      <c r="AU15" s="145" t="n">
        <f aca="false">IF(X15&lt;0.000000001,0,MAX(0.0002,X15+Incumbency!F$20*Incumbency!$C$6+'Tactical &amp; Candidate'!F$12/100))</f>
        <v>0.145940650653869</v>
      </c>
      <c r="AV15" s="145" t="n">
        <f aca="false">IF(Y15&lt;0.000000001,0,MAX(0.0002,Y15+Incumbency!G$20*Incumbency!$C$6+'Tactical &amp; Candidate'!G$12/100))</f>
        <v>0.0761215161470761</v>
      </c>
      <c r="AW15" s="145" t="n">
        <f aca="false">IF(Z15&lt;0.000000001,0,MAX(0.0002,Z15+Incumbency!H$20*Incumbency!$C$6+'Tactical &amp; Candidate'!H$12/100))</f>
        <v>0</v>
      </c>
      <c r="AX15" s="145" t="n">
        <f aca="false">SUM(AR15:AW15)</f>
        <v>1.024</v>
      </c>
      <c r="AY15" s="145" t="n">
        <f aca="false">AR15/$AX15</f>
        <v>0.303869127481124</v>
      </c>
      <c r="AZ15" s="145" t="n">
        <f aca="false">AS15/$AX15</f>
        <v>0.32091873725782</v>
      </c>
      <c r="BA15" s="145" t="n">
        <f aca="false">AT15/$AX15</f>
        <v>0.158354550494508</v>
      </c>
      <c r="BB15" s="145" t="n">
        <f aca="false">AU15/$AX15</f>
        <v>0.142520166654169</v>
      </c>
      <c r="BC15" s="145" t="n">
        <f aca="false">AV15/$AX15</f>
        <v>0.074337418112379</v>
      </c>
      <c r="BD15" s="145" t="n">
        <f aca="false">AW15/$AX15</f>
        <v>0</v>
      </c>
      <c r="BF15" s="145" t="n">
        <f aca="false">AY15*(1-'Tactical &amp; Candidate'!C$8)</f>
        <v>0.303869127481124</v>
      </c>
      <c r="BG15" s="145" t="n">
        <f aca="false">AZ15*(1-'Tactical &amp; Candidate'!D$8)</f>
        <v>0.32091873725782</v>
      </c>
      <c r="BH15" s="145" t="n">
        <f aca="false">BA15*(1-'Tactical &amp; Candidate'!E$8)</f>
        <v>0.158354550494508</v>
      </c>
      <c r="BI15" s="145" t="n">
        <f aca="false">BB15*(1-'Tactical &amp; Candidate'!F$8)</f>
        <v>0.142520166654169</v>
      </c>
      <c r="BJ15" s="145" t="n">
        <f aca="false">BC15*(1-'Tactical &amp; Candidate'!G$8)</f>
        <v>0.074337418112379</v>
      </c>
      <c r="BK15" s="145" t="n">
        <f aca="false">BD15*(1-'Tactical &amp; Candidate'!H$8)</f>
        <v>0</v>
      </c>
      <c r="BL15" s="145" t="n">
        <f aca="false">LARGE(AY15:BD15,2)</f>
        <v>0.303869127481124</v>
      </c>
      <c r="BM15" s="145" t="n">
        <f aca="false">SUMPRODUCT((AY15:BD15&lt;$BL15)*AY15:BD15)*'Tactical &amp; Candidate'!$C$6</f>
        <v>0</v>
      </c>
      <c r="BN15" s="145" t="n">
        <f aca="false">MAX(BF15:BK15)</f>
        <v>0.32091873725782</v>
      </c>
      <c r="BO15" s="146" t="n">
        <f aca="false">SUMPRODUCT((BF15:BK15=$BN15)*1)</f>
        <v>1</v>
      </c>
      <c r="BQ15" s="145" t="n">
        <f aca="false">AY15*(1-'Tactical &amp; Candidate'!$C$6*(AY15&lt;$BL15))+IF(BF15=$BN15,$BM15/$BO15,0)</f>
        <v>0.303869127481124</v>
      </c>
      <c r="BR15" s="145" t="n">
        <f aca="false">AZ15*(1-'Tactical &amp; Candidate'!$C$6*(AZ15&lt;$BL15))+IF(BG15=$BN15,$BM15/$BO15,0)</f>
        <v>0.32091873725782</v>
      </c>
      <c r="BS15" s="145" t="n">
        <f aca="false">BA15*(1-'Tactical &amp; Candidate'!$C$6*(BA15&lt;$BL15))+IF(BH15=$BN15,$BM15/$BO15,0)</f>
        <v>0.158354550494508</v>
      </c>
      <c r="BT15" s="145" t="n">
        <f aca="false">BB15*(1-'Tactical &amp; Candidate'!$C$6*(BB15&lt;$BL15))+IF(BI15=$BN15,$BM15/$BO15,0)</f>
        <v>0.142520166654169</v>
      </c>
      <c r="BU15" s="145" t="n">
        <f aca="false">BC15*(1-'Tactical &amp; Candidate'!$C$6*(BC15&lt;$BL15))+IF(BJ15=$BN15,$BM15/$BO15,0)</f>
        <v>0.074337418112379</v>
      </c>
      <c r="BV15" s="145" t="n">
        <f aca="false">BD15*(1-'Tactical &amp; Candidate'!$C$6*(BD15&lt;$BL15))+IF(BK15=$BN15,$BM15/$BO15,0)</f>
        <v>0</v>
      </c>
      <c r="BW15" s="145" t="n">
        <f aca="false">SUM(BQ15:BV15)</f>
        <v>1</v>
      </c>
      <c r="BX15" s="145" t="n">
        <f aca="false">BQ15/$BW15</f>
        <v>0.303869127481124</v>
      </c>
      <c r="BY15" s="145" t="n">
        <f aca="false">BR15/$BW15</f>
        <v>0.32091873725782</v>
      </c>
      <c r="BZ15" s="145" t="n">
        <f aca="false">BS15/$BW15</f>
        <v>0.158354550494508</v>
      </c>
      <c r="CA15" s="145" t="n">
        <f aca="false">BT15/$BW15</f>
        <v>0.142520166654169</v>
      </c>
      <c r="CB15" s="145" t="n">
        <f aca="false">BU15/$BW15</f>
        <v>0.074337418112379</v>
      </c>
      <c r="CC15" s="145" t="n">
        <f aca="false">BV15/$BW15</f>
        <v>0</v>
      </c>
    </row>
    <row r="16" customFormat="false" ht="15" hidden="false" customHeight="false" outlineLevel="0" collapsed="false">
      <c r="B16" s="22" t="s">
        <v>55</v>
      </c>
      <c r="C16" s="147" t="n">
        <f aca="false">AC16/$AI16</f>
        <v>0.232776745841404</v>
      </c>
      <c r="D16" s="148" t="n">
        <f aca="false">AD16/$AI16</f>
        <v>0.290350349717794</v>
      </c>
      <c r="E16" s="149" t="n">
        <f aca="false">AE16/$AI16</f>
        <v>0.204588131017439</v>
      </c>
      <c r="F16" s="150" t="n">
        <f aca="false">AF16/$AI16</f>
        <v>0.176910192535203</v>
      </c>
      <c r="G16" s="151" t="n">
        <f aca="false">AG16/$AI16</f>
        <v>0.0953745808881605</v>
      </c>
      <c r="H16" s="152" t="n">
        <f aca="false">AH16/$AI16</f>
        <v>0</v>
      </c>
      <c r="I16" s="147" t="n">
        <f aca="false">$L$3*'Voting History'!C16+$M$3*'Voting History'!I16+$N$3*'Voting History'!O16</f>
        <v>0.342403080628929</v>
      </c>
      <c r="J16" s="148" t="n">
        <f aca="false">$L$3*'Voting History'!D16+$M$3*'Voting History'!J16+$N$3*'Voting History'!P16</f>
        <v>0.253018212523992</v>
      </c>
      <c r="K16" s="149" t="n">
        <f aca="false">$L$3*'Voting History'!E16+$M$3*'Voting History'!K16+$N$3*'Voting History'!Q16</f>
        <v>0.192649364842764</v>
      </c>
      <c r="L16" s="150" t="n">
        <f aca="false">$L$3*'Voting History'!F16+$M$3*'Voting History'!L16+$N$3*'Voting History'!R16</f>
        <v>0.131451553860443</v>
      </c>
      <c r="M16" s="151" t="n">
        <f aca="false">$L$3*'Voting History'!G16+$M$3*'Voting History'!M16+$N$3*'Voting History'!S16</f>
        <v>0.0804777881438717</v>
      </c>
      <c r="N16" s="152" t="n">
        <f aca="false">$L$3*'Voting History'!H16+$M$3*'Voting History'!N16+$N$3*'Voting History'!T16</f>
        <v>0</v>
      </c>
      <c r="O16" s="147" t="n">
        <f aca="false">Polling!C16</f>
        <v>0.248735416511717</v>
      </c>
      <c r="P16" s="148" t="n">
        <f aca="false">Polling!D16</f>
        <v>0.394119829089836</v>
      </c>
      <c r="Q16" s="149" t="n">
        <f aca="false">Polling!E16</f>
        <v>0.183684889594925</v>
      </c>
      <c r="R16" s="150" t="n">
        <f aca="false">Polling!F16</f>
        <v>0.119950830711431</v>
      </c>
      <c r="S16" s="151" t="n">
        <f aca="false">Polling!G16</f>
        <v>0.0535090340920902</v>
      </c>
      <c r="T16" s="152" t="n">
        <f aca="false">Polling!H16</f>
        <v>0</v>
      </c>
      <c r="U16" s="153" t="n">
        <f aca="false">AJ16/$AP16</f>
        <v>0.267364731339926</v>
      </c>
      <c r="V16" s="154" t="n">
        <f aca="false">AK16/$AP16</f>
        <v>0.327713581136763</v>
      </c>
      <c r="W16" s="155" t="n">
        <f aca="false">AL16/$AP16</f>
        <v>0.192196980833639</v>
      </c>
      <c r="X16" s="156" t="n">
        <f aca="false">AM16/$AP16</f>
        <v>0.139913820045816</v>
      </c>
      <c r="Y16" s="157" t="n">
        <f aca="false">AN16/$AP16</f>
        <v>0.0728108866438567</v>
      </c>
      <c r="Z16" s="158" t="n">
        <f aca="false">AO16/$AP16</f>
        <v>0</v>
      </c>
      <c r="AA16" s="66" t="n">
        <f aca="false">SUMPRODUCT(Demographics!$C16:$I16,Demographics!$C$43:$I$43)</f>
        <v>0.651062247883145</v>
      </c>
      <c r="AC16" s="145" t="n">
        <f aca="false">SUMPRODUCT(Demographics!$C16:$I16,Demographics!$C$43:$I$43,Demographics!$C$44:$I$44)</f>
        <v>0.151552151402428</v>
      </c>
      <c r="AD16" s="145" t="n">
        <f aca="false">SUMPRODUCT(Demographics!$C16:$I16,Demographics!$C$43:$I$43,Demographics!$C$45:$I$45)</f>
        <v>0.189036151360924</v>
      </c>
      <c r="AE16" s="145" t="n">
        <f aca="false">SUMPRODUCT(Demographics!$C16:$I16,Demographics!$C$43:$I$43,Demographics!$C$46:$I$46)</f>
        <v>0.133199608470425</v>
      </c>
      <c r="AF16" s="145" t="n">
        <f aca="false">SUMPRODUCT(Demographics!$C16:$I16,Demographics!$C$43:$I$43,Demographics!$C$47:$I$47)</f>
        <v>0.115179547625409</v>
      </c>
      <c r="AG16" s="145" t="n">
        <f aca="false">SUMPRODUCT(Demographics!$C16:$I16,Demographics!$C$43:$I$43,Demographics!$C$48:$I$48)</f>
        <v>0.0620947890239586</v>
      </c>
      <c r="AH16" s="145" t="n">
        <f aca="false">SUMPRODUCT(Demographics!$C16:$I16,Demographics!$C$43:$I$43,Demographics!$C$49:$I$49)</f>
        <v>0</v>
      </c>
      <c r="AI16" s="145" t="n">
        <f aca="false">SUM(AC16:AH16)</f>
        <v>0.651062247883145</v>
      </c>
      <c r="AJ16" s="145" t="n">
        <f aca="false">$D$3*C16+$F$3*I16+$H$3*O16</f>
        <v>0.267364731339926</v>
      </c>
      <c r="AK16" s="145" t="n">
        <f aca="false">$D$3*D16+$F$3*J16+$H$3*P16</f>
        <v>0.327713581136763</v>
      </c>
      <c r="AL16" s="145" t="n">
        <f aca="false">$D$3*E16+$F$3*K16+$H$3*Q16</f>
        <v>0.192196980833639</v>
      </c>
      <c r="AM16" s="145" t="n">
        <f aca="false">$D$3*F16+$F$3*L16+$H$3*R16</f>
        <v>0.139913820045816</v>
      </c>
      <c r="AN16" s="145" t="n">
        <f aca="false">$D$3*G16+$F$3*M16+$H$3*S16</f>
        <v>0.0728108866438567</v>
      </c>
      <c r="AO16" s="145" t="n">
        <f aca="false">$D$3*H16+$F$3*N16+$H$3*T16</f>
        <v>0</v>
      </c>
      <c r="AP16" s="145" t="n">
        <f aca="false">SUM(AJ16:AO16)</f>
        <v>1</v>
      </c>
      <c r="AR16" s="145" t="n">
        <f aca="false">IF(U16&lt;0.000000001,0,MAX(0.0002,U16+Incumbency!C$20*Incumbency!$C$6+'Tactical &amp; Candidate'!C$12/100))</f>
        <v>0.267364731339926</v>
      </c>
      <c r="AS16" s="145" t="n">
        <f aca="false">IF(V16&lt;0.000000001,0,MAX(0.0002,V16+Incumbency!D$20*Incumbency!$C$6+'Tactical &amp; Candidate'!D$12/100))</f>
        <v>0.351713581136763</v>
      </c>
      <c r="AT16" s="145" t="n">
        <f aca="false">IF(W16&lt;0.000000001,0,MAX(0.0002,W16+Incumbency!E$20*Incumbency!$C$6+'Tactical &amp; Candidate'!E$12/100))</f>
        <v>0.192196980833639</v>
      </c>
      <c r="AU16" s="145" t="n">
        <f aca="false">IF(X16&lt;0.000000001,0,MAX(0.0002,X16+Incumbency!F$20*Incumbency!$C$6+'Tactical &amp; Candidate'!F$12/100))</f>
        <v>0.139913820045816</v>
      </c>
      <c r="AV16" s="145" t="n">
        <f aca="false">IF(Y16&lt;0.000000001,0,MAX(0.0002,Y16+Incumbency!G$20*Incumbency!$C$6+'Tactical &amp; Candidate'!G$12/100))</f>
        <v>0.0728108866438567</v>
      </c>
      <c r="AW16" s="145" t="n">
        <f aca="false">IF(Z16&lt;0.000000001,0,MAX(0.0002,Z16+Incumbency!H$20*Incumbency!$C$6+'Tactical &amp; Candidate'!H$12/100))</f>
        <v>0</v>
      </c>
      <c r="AX16" s="145" t="n">
        <f aca="false">SUM(AR16:AW16)</f>
        <v>1.024</v>
      </c>
      <c r="AY16" s="145" t="n">
        <f aca="false">AR16/$AX16</f>
        <v>0.261098370449147</v>
      </c>
      <c r="AZ16" s="145" t="n">
        <f aca="false">AS16/$AX16</f>
        <v>0.34347029407887</v>
      </c>
      <c r="BA16" s="145" t="n">
        <f aca="false">AT16/$AX16</f>
        <v>0.187692364095351</v>
      </c>
      <c r="BB16" s="145" t="n">
        <f aca="false">AU16/$AX16</f>
        <v>0.136634589888492</v>
      </c>
      <c r="BC16" s="145" t="n">
        <f aca="false">AV16/$AX16</f>
        <v>0.0711043814881413</v>
      </c>
      <c r="BD16" s="145" t="n">
        <f aca="false">AW16/$AX16</f>
        <v>0</v>
      </c>
      <c r="BF16" s="145" t="n">
        <f aca="false">AY16*(1-'Tactical &amp; Candidate'!C$8)</f>
        <v>0.261098370449147</v>
      </c>
      <c r="BG16" s="145" t="n">
        <f aca="false">AZ16*(1-'Tactical &amp; Candidate'!D$8)</f>
        <v>0.34347029407887</v>
      </c>
      <c r="BH16" s="145" t="n">
        <f aca="false">BA16*(1-'Tactical &amp; Candidate'!E$8)</f>
        <v>0.187692364095351</v>
      </c>
      <c r="BI16" s="145" t="n">
        <f aca="false">BB16*(1-'Tactical &amp; Candidate'!F$8)</f>
        <v>0.136634589888492</v>
      </c>
      <c r="BJ16" s="145" t="n">
        <f aca="false">BC16*(1-'Tactical &amp; Candidate'!G$8)</f>
        <v>0.0711043814881413</v>
      </c>
      <c r="BK16" s="145" t="n">
        <f aca="false">BD16*(1-'Tactical &amp; Candidate'!H$8)</f>
        <v>0</v>
      </c>
      <c r="BL16" s="145" t="n">
        <f aca="false">LARGE(AY16:BD16,2)</f>
        <v>0.261098370449147</v>
      </c>
      <c r="BM16" s="145" t="n">
        <f aca="false">SUMPRODUCT((AY16:BD16&lt;$BL16)*AY16:BD16)*'Tactical &amp; Candidate'!$C$6</f>
        <v>0</v>
      </c>
      <c r="BN16" s="145" t="n">
        <f aca="false">MAX(BF16:BK16)</f>
        <v>0.34347029407887</v>
      </c>
      <c r="BO16" s="146" t="n">
        <f aca="false">SUMPRODUCT((BF16:BK16=$BN16)*1)</f>
        <v>1</v>
      </c>
      <c r="BQ16" s="145" t="n">
        <f aca="false">AY16*(1-'Tactical &amp; Candidate'!$C$6*(AY16&lt;$BL16))+IF(BF16=$BN16,$BM16/$BO16,0)</f>
        <v>0.261098370449147</v>
      </c>
      <c r="BR16" s="145" t="n">
        <f aca="false">AZ16*(1-'Tactical &amp; Candidate'!$C$6*(AZ16&lt;$BL16))+IF(BG16=$BN16,$BM16/$BO16,0)</f>
        <v>0.34347029407887</v>
      </c>
      <c r="BS16" s="145" t="n">
        <f aca="false">BA16*(1-'Tactical &amp; Candidate'!$C$6*(BA16&lt;$BL16))+IF(BH16=$BN16,$BM16/$BO16,0)</f>
        <v>0.187692364095351</v>
      </c>
      <c r="BT16" s="145" t="n">
        <f aca="false">BB16*(1-'Tactical &amp; Candidate'!$C$6*(BB16&lt;$BL16))+IF(BI16=$BN16,$BM16/$BO16,0)</f>
        <v>0.136634589888492</v>
      </c>
      <c r="BU16" s="145" t="n">
        <f aca="false">BC16*(1-'Tactical &amp; Candidate'!$C$6*(BC16&lt;$BL16))+IF(BJ16=$BN16,$BM16/$BO16,0)</f>
        <v>0.0711043814881413</v>
      </c>
      <c r="BV16" s="145" t="n">
        <f aca="false">BD16*(1-'Tactical &amp; Candidate'!$C$6*(BD16&lt;$BL16))+IF(BK16=$BN16,$BM16/$BO16,0)</f>
        <v>0</v>
      </c>
      <c r="BW16" s="145" t="n">
        <f aca="false">SUM(BQ16:BV16)</f>
        <v>1</v>
      </c>
      <c r="BX16" s="145" t="n">
        <f aca="false">BQ16/$BW16</f>
        <v>0.261098370449147</v>
      </c>
      <c r="BY16" s="145" t="n">
        <f aca="false">BR16/$BW16</f>
        <v>0.34347029407887</v>
      </c>
      <c r="BZ16" s="145" t="n">
        <f aca="false">BS16/$BW16</f>
        <v>0.187692364095351</v>
      </c>
      <c r="CA16" s="145" t="n">
        <f aca="false">BT16/$BW16</f>
        <v>0.136634589888492</v>
      </c>
      <c r="CB16" s="145" t="n">
        <f aca="false">BU16/$BW16</f>
        <v>0.0711043814881413</v>
      </c>
      <c r="CC16" s="145" t="n">
        <f aca="false">BV16/$BW16</f>
        <v>0</v>
      </c>
    </row>
    <row r="17" customFormat="false" ht="15" hidden="false" customHeight="false" outlineLevel="0" collapsed="false">
      <c r="B17" s="9" t="s">
        <v>56</v>
      </c>
      <c r="C17" s="134" t="n">
        <f aca="false">AC17/$AI17</f>
        <v>0.223295068047544</v>
      </c>
      <c r="D17" s="135" t="n">
        <f aca="false">AD17/$AI17</f>
        <v>0.312511773738886</v>
      </c>
      <c r="E17" s="136" t="n">
        <f aca="false">AE17/$AI17</f>
        <v>0.17796125459198</v>
      </c>
      <c r="F17" s="132" t="n">
        <f aca="false">AF17/$AI17</f>
        <v>0.193393271978877</v>
      </c>
      <c r="G17" s="137" t="n">
        <f aca="false">AG17/$AI17</f>
        <v>0.0928386316427141</v>
      </c>
      <c r="H17" s="138" t="n">
        <f aca="false">AH17/$AI17</f>
        <v>0</v>
      </c>
      <c r="I17" s="134" t="n">
        <f aca="false">$L$3*'Voting History'!C17+$M$3*'Voting History'!I17+$N$3*'Voting History'!O17</f>
        <v>0.387303153141145</v>
      </c>
      <c r="J17" s="135" t="n">
        <f aca="false">$L$3*'Voting History'!D17+$M$3*'Voting History'!J17+$N$3*'Voting History'!P17</f>
        <v>0.244727713000642</v>
      </c>
      <c r="K17" s="136" t="n">
        <f aca="false">$L$3*'Voting History'!E17+$M$3*'Voting History'!K17+$N$3*'Voting History'!Q17</f>
        <v>0.172388522734547</v>
      </c>
      <c r="L17" s="132" t="n">
        <f aca="false">$L$3*'Voting History'!F17+$M$3*'Voting History'!L17+$N$3*'Voting History'!R17</f>
        <v>0.113544292496635</v>
      </c>
      <c r="M17" s="137" t="n">
        <f aca="false">$L$3*'Voting History'!G17+$M$3*'Voting History'!M17+$N$3*'Voting History'!S17</f>
        <v>0.0820363186270311</v>
      </c>
      <c r="N17" s="138" t="n">
        <f aca="false">$L$3*'Voting History'!H17+$M$3*'Voting History'!N17+$N$3*'Voting History'!T17</f>
        <v>0</v>
      </c>
      <c r="O17" s="134" t="n">
        <f aca="false">Polling!C17</f>
        <v>0.307835044565545</v>
      </c>
      <c r="P17" s="135" t="n">
        <f aca="false">Polling!D17</f>
        <v>0.347215713048653</v>
      </c>
      <c r="Q17" s="136" t="n">
        <f aca="false">Polling!E17</f>
        <v>0.145562515896291</v>
      </c>
      <c r="R17" s="132" t="n">
        <f aca="false">Polling!F17</f>
        <v>0.136904836641397</v>
      </c>
      <c r="S17" s="137" t="n">
        <f aca="false">Polling!G17</f>
        <v>0.0624818898481149</v>
      </c>
      <c r="T17" s="138" t="n">
        <f aca="false">Polling!H17</f>
        <v>0</v>
      </c>
      <c r="U17" s="139" t="n">
        <f aca="false">AJ17/$AP17</f>
        <v>0.302340078754045</v>
      </c>
      <c r="V17" s="140" t="n">
        <f aca="false">AK17/$AP17</f>
        <v>0.31118253124372</v>
      </c>
      <c r="W17" s="141" t="n">
        <f aca="false">AL17/$AP17</f>
        <v>0.161988639214562</v>
      </c>
      <c r="X17" s="142" t="n">
        <f aca="false">AM17/$AP17</f>
        <v>0.14801123120645</v>
      </c>
      <c r="Y17" s="143" t="n">
        <f aca="false">AN17/$AP17</f>
        <v>0.0764775195812237</v>
      </c>
      <c r="Z17" s="144" t="n">
        <f aca="false">AO17/$AP17</f>
        <v>0</v>
      </c>
      <c r="AA17" s="55" t="n">
        <f aca="false">SUMPRODUCT(Demographics!$C17:$I17,Demographics!$C$43:$I$43)</f>
        <v>0.632804436362764</v>
      </c>
      <c r="AC17" s="145" t="n">
        <f aca="false">SUMPRODUCT(Demographics!$C17:$I17,Demographics!$C$43:$I$43,Demographics!$C$44:$I$44)</f>
        <v>0.141302109678411</v>
      </c>
      <c r="AD17" s="145" t="n">
        <f aca="false">SUMPRODUCT(Demographics!$C17:$I17,Demographics!$C$43:$I$43,Demographics!$C$45:$I$45)</f>
        <v>0.197758836837563</v>
      </c>
      <c r="AE17" s="145" t="n">
        <f aca="false">SUMPRODUCT(Demographics!$C17:$I17,Demographics!$C$43:$I$43,Demographics!$C$46:$I$46)</f>
        <v>0.112614671406488</v>
      </c>
      <c r="AF17" s="145" t="n">
        <f aca="false">SUMPRODUCT(Demographics!$C17:$I17,Demographics!$C$43:$I$43,Demographics!$C$47:$I$47)</f>
        <v>0.122380120470944</v>
      </c>
      <c r="AG17" s="145" t="n">
        <f aca="false">SUMPRODUCT(Demographics!$C17:$I17,Demographics!$C$43:$I$43,Demographics!$C$48:$I$48)</f>
        <v>0.058748697969358</v>
      </c>
      <c r="AH17" s="145" t="n">
        <f aca="false">SUMPRODUCT(Demographics!$C17:$I17,Demographics!$C$43:$I$43,Demographics!$C$49:$I$49)</f>
        <v>0</v>
      </c>
      <c r="AI17" s="145" t="n">
        <f aca="false">SUM(AC17:AH17)</f>
        <v>0.632804436362764</v>
      </c>
      <c r="AJ17" s="145" t="n">
        <f aca="false">$D$3*C17+$F$3*I17+$H$3*O17</f>
        <v>0.302340078754045</v>
      </c>
      <c r="AK17" s="145" t="n">
        <f aca="false">$D$3*D17+$F$3*J17+$H$3*P17</f>
        <v>0.31118253124372</v>
      </c>
      <c r="AL17" s="145" t="n">
        <f aca="false">$D$3*E17+$F$3*K17+$H$3*Q17</f>
        <v>0.161988639214562</v>
      </c>
      <c r="AM17" s="145" t="n">
        <f aca="false">$D$3*F17+$F$3*L17+$H$3*R17</f>
        <v>0.14801123120645</v>
      </c>
      <c r="AN17" s="145" t="n">
        <f aca="false">$D$3*G17+$F$3*M17+$H$3*S17</f>
        <v>0.0764775195812237</v>
      </c>
      <c r="AO17" s="145" t="n">
        <f aca="false">$D$3*H17+$F$3*N17+$H$3*T17</f>
        <v>0</v>
      </c>
      <c r="AP17" s="145" t="n">
        <f aca="false">SUM(AJ17:AO17)</f>
        <v>1</v>
      </c>
      <c r="AR17" s="145" t="n">
        <f aca="false">IF(U17&lt;0.000000001,0,MAX(0.0002,U17+Incumbency!C$20*Incumbency!$C$6+'Tactical &amp; Candidate'!C$12/100))</f>
        <v>0.302340078754045</v>
      </c>
      <c r="AS17" s="145" t="n">
        <f aca="false">IF(V17&lt;0.000000001,0,MAX(0.0002,V17+Incumbency!D$20*Incumbency!$C$6+'Tactical &amp; Candidate'!D$12/100))</f>
        <v>0.33518253124372</v>
      </c>
      <c r="AT17" s="145" t="n">
        <f aca="false">IF(W17&lt;0.000000001,0,MAX(0.0002,W17+Incumbency!E$20*Incumbency!$C$6+'Tactical &amp; Candidate'!E$12/100))</f>
        <v>0.161988639214562</v>
      </c>
      <c r="AU17" s="145" t="n">
        <f aca="false">IF(X17&lt;0.000000001,0,MAX(0.0002,X17+Incumbency!F$20*Incumbency!$C$6+'Tactical &amp; Candidate'!F$12/100))</f>
        <v>0.14801123120645</v>
      </c>
      <c r="AV17" s="145" t="n">
        <f aca="false">IF(Y17&lt;0.000000001,0,MAX(0.0002,Y17+Incumbency!G$20*Incumbency!$C$6+'Tactical &amp; Candidate'!G$12/100))</f>
        <v>0.0764775195812237</v>
      </c>
      <c r="AW17" s="145" t="n">
        <f aca="false">IF(Z17&lt;0.000000001,0,MAX(0.0002,Z17+Incumbency!H$20*Incumbency!$C$6+'Tactical &amp; Candidate'!H$12/100))</f>
        <v>0</v>
      </c>
      <c r="AX17" s="145" t="n">
        <f aca="false">SUM(AR17:AW17)</f>
        <v>1.024</v>
      </c>
      <c r="AY17" s="145" t="n">
        <f aca="false">AR17/$AX17</f>
        <v>0.295253983158247</v>
      </c>
      <c r="AZ17" s="145" t="n">
        <f aca="false">AS17/$AX17</f>
        <v>0.327326690667695</v>
      </c>
      <c r="BA17" s="145" t="n">
        <f aca="false">AT17/$AX17</f>
        <v>0.15819203048297</v>
      </c>
      <c r="BB17" s="145" t="n">
        <f aca="false">AU17/$AX17</f>
        <v>0.144542217975049</v>
      </c>
      <c r="BC17" s="145" t="n">
        <f aca="false">AV17/$AX17</f>
        <v>0.0746850777160388</v>
      </c>
      <c r="BD17" s="145" t="n">
        <f aca="false">AW17/$AX17</f>
        <v>0</v>
      </c>
      <c r="BF17" s="145" t="n">
        <f aca="false">AY17*(1-'Tactical &amp; Candidate'!C$8)</f>
        <v>0.295253983158247</v>
      </c>
      <c r="BG17" s="145" t="n">
        <f aca="false">AZ17*(1-'Tactical &amp; Candidate'!D$8)</f>
        <v>0.327326690667695</v>
      </c>
      <c r="BH17" s="145" t="n">
        <f aca="false">BA17*(1-'Tactical &amp; Candidate'!E$8)</f>
        <v>0.15819203048297</v>
      </c>
      <c r="BI17" s="145" t="n">
        <f aca="false">BB17*(1-'Tactical &amp; Candidate'!F$8)</f>
        <v>0.144542217975049</v>
      </c>
      <c r="BJ17" s="145" t="n">
        <f aca="false">BC17*(1-'Tactical &amp; Candidate'!G$8)</f>
        <v>0.0746850777160388</v>
      </c>
      <c r="BK17" s="145" t="n">
        <f aca="false">BD17*(1-'Tactical &amp; Candidate'!H$8)</f>
        <v>0</v>
      </c>
      <c r="BL17" s="145" t="n">
        <f aca="false">LARGE(AY17:BD17,2)</f>
        <v>0.295253983158247</v>
      </c>
      <c r="BM17" s="145" t="n">
        <f aca="false">SUMPRODUCT((AY17:BD17&lt;$BL17)*AY17:BD17)*'Tactical &amp; Candidate'!$C$6</f>
        <v>0</v>
      </c>
      <c r="BN17" s="145" t="n">
        <f aca="false">MAX(BF17:BK17)</f>
        <v>0.327326690667695</v>
      </c>
      <c r="BO17" s="146" t="n">
        <f aca="false">SUMPRODUCT((BF17:BK17=$BN17)*1)</f>
        <v>1</v>
      </c>
      <c r="BQ17" s="145" t="n">
        <f aca="false">AY17*(1-'Tactical &amp; Candidate'!$C$6*(AY17&lt;$BL17))+IF(BF17=$BN17,$BM17/$BO17,0)</f>
        <v>0.295253983158247</v>
      </c>
      <c r="BR17" s="145" t="n">
        <f aca="false">AZ17*(1-'Tactical &amp; Candidate'!$C$6*(AZ17&lt;$BL17))+IF(BG17=$BN17,$BM17/$BO17,0)</f>
        <v>0.327326690667695</v>
      </c>
      <c r="BS17" s="145" t="n">
        <f aca="false">BA17*(1-'Tactical &amp; Candidate'!$C$6*(BA17&lt;$BL17))+IF(BH17=$BN17,$BM17/$BO17,0)</f>
        <v>0.15819203048297</v>
      </c>
      <c r="BT17" s="145" t="n">
        <f aca="false">BB17*(1-'Tactical &amp; Candidate'!$C$6*(BB17&lt;$BL17))+IF(BI17=$BN17,$BM17/$BO17,0)</f>
        <v>0.144542217975049</v>
      </c>
      <c r="BU17" s="145" t="n">
        <f aca="false">BC17*(1-'Tactical &amp; Candidate'!$C$6*(BC17&lt;$BL17))+IF(BJ17=$BN17,$BM17/$BO17,0)</f>
        <v>0.0746850777160388</v>
      </c>
      <c r="BV17" s="145" t="n">
        <f aca="false">BD17*(1-'Tactical &amp; Candidate'!$C$6*(BD17&lt;$BL17))+IF(BK17=$BN17,$BM17/$BO17,0)</f>
        <v>0</v>
      </c>
      <c r="BW17" s="145" t="n">
        <f aca="false">SUM(BQ17:BV17)</f>
        <v>1</v>
      </c>
      <c r="BX17" s="145" t="n">
        <f aca="false">BQ17/$BW17</f>
        <v>0.295253983158247</v>
      </c>
      <c r="BY17" s="145" t="n">
        <f aca="false">BR17/$BW17</f>
        <v>0.327326690667695</v>
      </c>
      <c r="BZ17" s="145" t="n">
        <f aca="false">BS17/$BW17</f>
        <v>0.15819203048297</v>
      </c>
      <c r="CA17" s="145" t="n">
        <f aca="false">BT17/$BW17</f>
        <v>0.144542217975049</v>
      </c>
      <c r="CB17" s="145" t="n">
        <f aca="false">BU17/$BW17</f>
        <v>0.0746850777160388</v>
      </c>
      <c r="CC17" s="145" t="n">
        <f aca="false">BV17/$BW17</f>
        <v>0</v>
      </c>
    </row>
    <row r="18" customFormat="false" ht="15" hidden="false" customHeight="false" outlineLevel="0" collapsed="false">
      <c r="B18" s="22" t="s">
        <v>57</v>
      </c>
      <c r="C18" s="147" t="n">
        <f aca="false">AC18/$AI18</f>
        <v>0.214277439321652</v>
      </c>
      <c r="D18" s="148" t="n">
        <f aca="false">AD18/$AI18</f>
        <v>0.339839850405284</v>
      </c>
      <c r="E18" s="149" t="n">
        <f aca="false">AE18/$AI18</f>
        <v>0.166447101698047</v>
      </c>
      <c r="F18" s="150" t="n">
        <f aca="false">AF18/$AI18</f>
        <v>0.190259066520404</v>
      </c>
      <c r="G18" s="151" t="n">
        <f aca="false">AG18/$AI18</f>
        <v>0.0891765420546127</v>
      </c>
      <c r="H18" s="152" t="n">
        <f aca="false">AH18/$AI18</f>
        <v>0</v>
      </c>
      <c r="I18" s="147" t="n">
        <f aca="false">$L$3*'Voting History'!C18+$M$3*'Voting History'!I18+$N$3*'Voting History'!O18</f>
        <v>0.312249461871834</v>
      </c>
      <c r="J18" s="148" t="n">
        <f aca="false">$L$3*'Voting History'!D18+$M$3*'Voting History'!J18+$N$3*'Voting History'!P18</f>
        <v>0.233647960229186</v>
      </c>
      <c r="K18" s="149" t="n">
        <f aca="false">$L$3*'Voting History'!E18+$M$3*'Voting History'!K18+$N$3*'Voting History'!Q18</f>
        <v>0.186031304105245</v>
      </c>
      <c r="L18" s="150" t="n">
        <f aca="false">$L$3*'Voting History'!F18+$M$3*'Voting History'!L18+$N$3*'Voting History'!R18</f>
        <v>0.176912745477689</v>
      </c>
      <c r="M18" s="151" t="n">
        <f aca="false">$L$3*'Voting History'!G18+$M$3*'Voting History'!M18+$N$3*'Voting History'!S18</f>
        <v>0.0911585283160455</v>
      </c>
      <c r="N18" s="152" t="n">
        <f aca="false">$L$3*'Voting History'!H18+$M$3*'Voting History'!N18+$N$3*'Voting History'!T18</f>
        <v>0</v>
      </c>
      <c r="O18" s="147" t="n">
        <f aca="false">Polling!C18</f>
        <v>0.228250886538112</v>
      </c>
      <c r="P18" s="148" t="n">
        <f aca="false">Polling!D18</f>
        <v>0.348829732366986</v>
      </c>
      <c r="Q18" s="149" t="n">
        <f aca="false">Polling!E18</f>
        <v>0.159917574844852</v>
      </c>
      <c r="R18" s="150" t="n">
        <f aca="false">Polling!F18</f>
        <v>0.191642820773096</v>
      </c>
      <c r="S18" s="151" t="n">
        <f aca="false">Polling!G18</f>
        <v>0.0713589854769546</v>
      </c>
      <c r="T18" s="152" t="n">
        <f aca="false">Polling!H18</f>
        <v>0</v>
      </c>
      <c r="U18" s="153" t="n">
        <f aca="false">AJ18/$AP18</f>
        <v>0.245058496206605</v>
      </c>
      <c r="V18" s="154" t="n">
        <f aca="false">AK18/$AP18</f>
        <v>0.317337324744025</v>
      </c>
      <c r="W18" s="155" t="n">
        <f aca="false">AL18/$AP18</f>
        <v>0.168404865215909</v>
      </c>
      <c r="X18" s="156" t="n">
        <f aca="false">AM18/$AP18</f>
        <v>0.187545175673436</v>
      </c>
      <c r="Y18" s="157" t="n">
        <f aca="false">AN18/$AP18</f>
        <v>0.0816541381600248</v>
      </c>
      <c r="Z18" s="158" t="n">
        <f aca="false">AO18/$AP18</f>
        <v>0</v>
      </c>
      <c r="AA18" s="66" t="n">
        <f aca="false">SUMPRODUCT(Demographics!$C18:$I18,Demographics!$C$43:$I$43)</f>
        <v>0.614405115034948</v>
      </c>
      <c r="AC18" s="145" t="n">
        <f aca="false">SUMPRODUCT(Demographics!$C18:$I18,Demographics!$C$43:$I$43,Demographics!$C$44:$I$44)</f>
        <v>0.131653154755814</v>
      </c>
      <c r="AD18" s="145" t="n">
        <f aca="false">SUMPRODUCT(Demographics!$C18:$I18,Demographics!$C$43:$I$43,Demographics!$C$45:$I$45)</f>
        <v>0.208799342381718</v>
      </c>
      <c r="AE18" s="145" t="n">
        <f aca="false">SUMPRODUCT(Demographics!$C18:$I18,Demographics!$C$43:$I$43,Demographics!$C$46:$I$46)</f>
        <v>0.102265950666022</v>
      </c>
      <c r="AF18" s="145" t="n">
        <f aca="false">SUMPRODUCT(Demographics!$C18:$I18,Demographics!$C$43:$I$43,Demographics!$C$47:$I$47)</f>
        <v>0.11689614365191</v>
      </c>
      <c r="AG18" s="145" t="n">
        <f aca="false">SUMPRODUCT(Demographics!$C18:$I18,Demographics!$C$43:$I$43,Demographics!$C$48:$I$48)</f>
        <v>0.0547905235794832</v>
      </c>
      <c r="AH18" s="145" t="n">
        <f aca="false">SUMPRODUCT(Demographics!$C18:$I18,Demographics!$C$43:$I$43,Demographics!$C$49:$I$49)</f>
        <v>0</v>
      </c>
      <c r="AI18" s="145" t="n">
        <f aca="false">SUM(AC18:AH18)</f>
        <v>0.614405115034948</v>
      </c>
      <c r="AJ18" s="145" t="n">
        <f aca="false">$D$3*C18+$F$3*I18+$H$3*O18</f>
        <v>0.245058496206605</v>
      </c>
      <c r="AK18" s="145" t="n">
        <f aca="false">$D$3*D18+$F$3*J18+$H$3*P18</f>
        <v>0.317337324744025</v>
      </c>
      <c r="AL18" s="145" t="n">
        <f aca="false">$D$3*E18+$F$3*K18+$H$3*Q18</f>
        <v>0.168404865215909</v>
      </c>
      <c r="AM18" s="145" t="n">
        <f aca="false">$D$3*F18+$F$3*L18+$H$3*R18</f>
        <v>0.187545175673436</v>
      </c>
      <c r="AN18" s="145" t="n">
        <f aca="false">$D$3*G18+$F$3*M18+$H$3*S18</f>
        <v>0.0816541381600248</v>
      </c>
      <c r="AO18" s="145" t="n">
        <f aca="false">$D$3*H18+$F$3*N18+$H$3*T18</f>
        <v>0</v>
      </c>
      <c r="AP18" s="145" t="n">
        <f aca="false">SUM(AJ18:AO18)</f>
        <v>1</v>
      </c>
      <c r="AR18" s="145" t="n">
        <f aca="false">IF(U18&lt;0.000000001,0,MAX(0.0002,U18+Incumbency!C$20*Incumbency!$C$6+'Tactical &amp; Candidate'!C$12/100))</f>
        <v>0.245058496206605</v>
      </c>
      <c r="AS18" s="145" t="n">
        <f aca="false">IF(V18&lt;0.000000001,0,MAX(0.0002,V18+Incumbency!D$20*Incumbency!$C$6+'Tactical &amp; Candidate'!D$12/100))</f>
        <v>0.341337324744025</v>
      </c>
      <c r="AT18" s="145" t="n">
        <f aca="false">IF(W18&lt;0.000000001,0,MAX(0.0002,W18+Incumbency!E$20*Incumbency!$C$6+'Tactical &amp; Candidate'!E$12/100))</f>
        <v>0.168404865215909</v>
      </c>
      <c r="AU18" s="145" t="n">
        <f aca="false">IF(X18&lt;0.000000001,0,MAX(0.0002,X18+Incumbency!F$20*Incumbency!$C$6+'Tactical &amp; Candidate'!F$12/100))</f>
        <v>0.187545175673436</v>
      </c>
      <c r="AV18" s="145" t="n">
        <f aca="false">IF(Y18&lt;0.000000001,0,MAX(0.0002,Y18+Incumbency!G$20*Incumbency!$C$6+'Tactical &amp; Candidate'!G$12/100))</f>
        <v>0.0816541381600248</v>
      </c>
      <c r="AW18" s="145" t="n">
        <f aca="false">IF(Z18&lt;0.000000001,0,MAX(0.0002,Z18+Incumbency!H$20*Incumbency!$C$6+'Tactical &amp; Candidate'!H$12/100))</f>
        <v>0</v>
      </c>
      <c r="AX18" s="145" t="n">
        <f aca="false">SUM(AR18:AW18)</f>
        <v>1.024</v>
      </c>
      <c r="AY18" s="145" t="n">
        <f aca="false">AR18/$AX18</f>
        <v>0.239314937701762</v>
      </c>
      <c r="AZ18" s="145" t="n">
        <f aca="false">AS18/$AX18</f>
        <v>0.333337231195337</v>
      </c>
      <c r="BA18" s="145" t="n">
        <f aca="false">AT18/$AX18</f>
        <v>0.164457876187411</v>
      </c>
      <c r="BB18" s="145" t="n">
        <f aca="false">AU18/$AX18</f>
        <v>0.18314958561859</v>
      </c>
      <c r="BC18" s="145" t="n">
        <f aca="false">AV18/$AX18</f>
        <v>0.0797403692968992</v>
      </c>
      <c r="BD18" s="145" t="n">
        <f aca="false">AW18/$AX18</f>
        <v>0</v>
      </c>
      <c r="BF18" s="145" t="n">
        <f aca="false">AY18*(1-'Tactical &amp; Candidate'!C$8)</f>
        <v>0.239314937701762</v>
      </c>
      <c r="BG18" s="145" t="n">
        <f aca="false">AZ18*(1-'Tactical &amp; Candidate'!D$8)</f>
        <v>0.333337231195337</v>
      </c>
      <c r="BH18" s="145" t="n">
        <f aca="false">BA18*(1-'Tactical &amp; Candidate'!E$8)</f>
        <v>0.164457876187411</v>
      </c>
      <c r="BI18" s="145" t="n">
        <f aca="false">BB18*(1-'Tactical &amp; Candidate'!F$8)</f>
        <v>0.18314958561859</v>
      </c>
      <c r="BJ18" s="145" t="n">
        <f aca="false">BC18*(1-'Tactical &amp; Candidate'!G$8)</f>
        <v>0.0797403692968992</v>
      </c>
      <c r="BK18" s="145" t="n">
        <f aca="false">BD18*(1-'Tactical &amp; Candidate'!H$8)</f>
        <v>0</v>
      </c>
      <c r="BL18" s="145" t="n">
        <f aca="false">LARGE(AY18:BD18,2)</f>
        <v>0.239314937701762</v>
      </c>
      <c r="BM18" s="145" t="n">
        <f aca="false">SUMPRODUCT((AY18:BD18&lt;$BL18)*AY18:BD18)*'Tactical &amp; Candidate'!$C$6</f>
        <v>0</v>
      </c>
      <c r="BN18" s="145" t="n">
        <f aca="false">MAX(BF18:BK18)</f>
        <v>0.333337231195337</v>
      </c>
      <c r="BO18" s="146" t="n">
        <f aca="false">SUMPRODUCT((BF18:BK18=$BN18)*1)</f>
        <v>1</v>
      </c>
      <c r="BQ18" s="145" t="n">
        <f aca="false">AY18*(1-'Tactical &amp; Candidate'!$C$6*(AY18&lt;$BL18))+IF(BF18=$BN18,$BM18/$BO18,0)</f>
        <v>0.239314937701762</v>
      </c>
      <c r="BR18" s="145" t="n">
        <f aca="false">AZ18*(1-'Tactical &amp; Candidate'!$C$6*(AZ18&lt;$BL18))+IF(BG18=$BN18,$BM18/$BO18,0)</f>
        <v>0.333337231195337</v>
      </c>
      <c r="BS18" s="145" t="n">
        <f aca="false">BA18*(1-'Tactical &amp; Candidate'!$C$6*(BA18&lt;$BL18))+IF(BH18=$BN18,$BM18/$BO18,0)</f>
        <v>0.164457876187411</v>
      </c>
      <c r="BT18" s="145" t="n">
        <f aca="false">BB18*(1-'Tactical &amp; Candidate'!$C$6*(BB18&lt;$BL18))+IF(BI18=$BN18,$BM18/$BO18,0)</f>
        <v>0.18314958561859</v>
      </c>
      <c r="BU18" s="145" t="n">
        <f aca="false">BC18*(1-'Tactical &amp; Candidate'!$C$6*(BC18&lt;$BL18))+IF(BJ18=$BN18,$BM18/$BO18,0)</f>
        <v>0.0797403692968992</v>
      </c>
      <c r="BV18" s="145" t="n">
        <f aca="false">BD18*(1-'Tactical &amp; Candidate'!$C$6*(BD18&lt;$BL18))+IF(BK18=$BN18,$BM18/$BO18,0)</f>
        <v>0</v>
      </c>
      <c r="BW18" s="145" t="n">
        <f aca="false">SUM(BQ18:BV18)</f>
        <v>1</v>
      </c>
      <c r="BX18" s="145" t="n">
        <f aca="false">BQ18/$BW18</f>
        <v>0.239314937701762</v>
      </c>
      <c r="BY18" s="145" t="n">
        <f aca="false">BR18/$BW18</f>
        <v>0.333337231195337</v>
      </c>
      <c r="BZ18" s="145" t="n">
        <f aca="false">BS18/$BW18</f>
        <v>0.164457876187411</v>
      </c>
      <c r="CA18" s="145" t="n">
        <f aca="false">BT18/$BW18</f>
        <v>0.18314958561859</v>
      </c>
      <c r="CB18" s="145" t="n">
        <f aca="false">BU18/$BW18</f>
        <v>0.0797403692968992</v>
      </c>
      <c r="CC18" s="145" t="n">
        <f aca="false">BV18/$BW18</f>
        <v>0</v>
      </c>
    </row>
    <row r="19" customFormat="false" ht="15" hidden="false" customHeight="false" outlineLevel="0" collapsed="false">
      <c r="B19" s="9" t="s">
        <v>58</v>
      </c>
      <c r="C19" s="134" t="n">
        <f aca="false">AC19/$AI19</f>
        <v>0.215832444185453</v>
      </c>
      <c r="D19" s="135" t="n">
        <f aca="false">AD19/$AI19</f>
        <v>0.332796361994476</v>
      </c>
      <c r="E19" s="136" t="n">
        <f aca="false">AE19/$AI19</f>
        <v>0.189654939254433</v>
      </c>
      <c r="F19" s="132" t="n">
        <f aca="false">AF19/$AI19</f>
        <v>0.171442015801624</v>
      </c>
      <c r="G19" s="137" t="n">
        <f aca="false">AG19/$AI19</f>
        <v>0.0902742387640142</v>
      </c>
      <c r="H19" s="138" t="n">
        <f aca="false">AH19/$AI19</f>
        <v>0</v>
      </c>
      <c r="I19" s="134" t="n">
        <f aca="false">$L$3*'Voting History'!C19+$M$3*'Voting History'!I19+$N$3*'Voting History'!O19</f>
        <v>0.308512395504113</v>
      </c>
      <c r="J19" s="135" t="n">
        <f aca="false">$L$3*'Voting History'!D19+$M$3*'Voting History'!J19+$N$3*'Voting History'!P19</f>
        <v>0.286923519823617</v>
      </c>
      <c r="K19" s="136" t="n">
        <f aca="false">$L$3*'Voting History'!E19+$M$3*'Voting History'!K19+$N$3*'Voting History'!Q19</f>
        <v>0.194396942903496</v>
      </c>
      <c r="L19" s="132" t="n">
        <f aca="false">$L$3*'Voting History'!F19+$M$3*'Voting History'!L19+$N$3*'Voting History'!R19</f>
        <v>0.121155750903152</v>
      </c>
      <c r="M19" s="137" t="n">
        <f aca="false">$L$3*'Voting History'!G19+$M$3*'Voting History'!M19+$N$3*'Voting History'!S19</f>
        <v>0.0890113908656216</v>
      </c>
      <c r="N19" s="138" t="n">
        <f aca="false">$L$3*'Voting History'!H19+$M$3*'Voting History'!N19+$N$3*'Voting History'!T19</f>
        <v>0</v>
      </c>
      <c r="O19" s="134" t="n">
        <f aca="false">Polling!C19</f>
        <v>0.226650472604757</v>
      </c>
      <c r="P19" s="135" t="n">
        <f aca="false">Polling!D19</f>
        <v>0.419300670049187</v>
      </c>
      <c r="Q19" s="136" t="n">
        <f aca="false">Polling!E19</f>
        <v>0.162734281752728</v>
      </c>
      <c r="R19" s="132" t="n">
        <f aca="false">Polling!F19</f>
        <v>0.128326565344962</v>
      </c>
      <c r="S19" s="137" t="n">
        <f aca="false">Polling!G19</f>
        <v>0.0629880102483666</v>
      </c>
      <c r="T19" s="138" t="n">
        <f aca="false">Polling!H19</f>
        <v>0</v>
      </c>
      <c r="U19" s="139" t="n">
        <f aca="false">AJ19/$AP19</f>
        <v>0.243870544803805</v>
      </c>
      <c r="V19" s="140" t="n">
        <f aca="false">AK19/$AP19</f>
        <v>0.360255090076381</v>
      </c>
      <c r="W19" s="141" t="n">
        <f aca="false">AL19/$AP19</f>
        <v>0.178726144290931</v>
      </c>
      <c r="X19" s="142" t="n">
        <f aca="false">AM19/$AP19</f>
        <v>0.139468496871508</v>
      </c>
      <c r="Y19" s="143" t="n">
        <f aca="false">AN19/$AP19</f>
        <v>0.0776797239573746</v>
      </c>
      <c r="Z19" s="144" t="n">
        <f aca="false">AO19/$AP19</f>
        <v>0</v>
      </c>
      <c r="AA19" s="55" t="n">
        <f aca="false">SUMPRODUCT(Demographics!$C19:$I19,Demographics!$C$43:$I$43)</f>
        <v>0.634364018771927</v>
      </c>
      <c r="AC19" s="145" t="n">
        <f aca="false">SUMPRODUCT(Demographics!$C19:$I19,Demographics!$C$43:$I$43,Demographics!$C$44:$I$44)</f>
        <v>0.136916336674852</v>
      </c>
      <c r="AD19" s="145" t="n">
        <f aca="false">SUMPRODUCT(Demographics!$C19:$I19,Demographics!$C$43:$I$43,Demographics!$C$45:$I$45)</f>
        <v>0.211114037627493</v>
      </c>
      <c r="AE19" s="145" t="n">
        <f aca="false">SUMPRODUCT(Demographics!$C19:$I19,Demographics!$C$43:$I$43,Demographics!$C$46:$I$46)</f>
        <v>0.120310269445388</v>
      </c>
      <c r="AF19" s="145" t="n">
        <f aca="false">SUMPRODUCT(Demographics!$C19:$I19,Demographics!$C$43:$I$43,Demographics!$C$47:$I$47)</f>
        <v>0.108756646130278</v>
      </c>
      <c r="AG19" s="145" t="n">
        <f aca="false">SUMPRODUCT(Demographics!$C19:$I19,Demographics!$C$43:$I$43,Demographics!$C$48:$I$48)</f>
        <v>0.0572667288939166</v>
      </c>
      <c r="AH19" s="145" t="n">
        <f aca="false">SUMPRODUCT(Demographics!$C19:$I19,Demographics!$C$43:$I$43,Demographics!$C$49:$I$49)</f>
        <v>0</v>
      </c>
      <c r="AI19" s="145" t="n">
        <f aca="false">SUM(AC19:AH19)</f>
        <v>0.634364018771927</v>
      </c>
      <c r="AJ19" s="145" t="n">
        <f aca="false">$D$3*C19+$F$3*I19+$H$3*O19</f>
        <v>0.243870544803805</v>
      </c>
      <c r="AK19" s="145" t="n">
        <f aca="false">$D$3*D19+$F$3*J19+$H$3*P19</f>
        <v>0.360255090076381</v>
      </c>
      <c r="AL19" s="145" t="n">
        <f aca="false">$D$3*E19+$F$3*K19+$H$3*Q19</f>
        <v>0.178726144290931</v>
      </c>
      <c r="AM19" s="145" t="n">
        <f aca="false">$D$3*F19+$F$3*L19+$H$3*R19</f>
        <v>0.139468496871508</v>
      </c>
      <c r="AN19" s="145" t="n">
        <f aca="false">$D$3*G19+$F$3*M19+$H$3*S19</f>
        <v>0.0776797239573746</v>
      </c>
      <c r="AO19" s="145" t="n">
        <f aca="false">$D$3*H19+$F$3*N19+$H$3*T19</f>
        <v>0</v>
      </c>
      <c r="AP19" s="145" t="n">
        <f aca="false">SUM(AJ19:AO19)</f>
        <v>1</v>
      </c>
      <c r="AR19" s="145" t="n">
        <f aca="false">IF(U19&lt;0.000000001,0,MAX(0.0002,U19+Incumbency!C$20*Incumbency!$C$6+'Tactical &amp; Candidate'!C$12/100))</f>
        <v>0.243870544803805</v>
      </c>
      <c r="AS19" s="145" t="n">
        <f aca="false">IF(V19&lt;0.000000001,0,MAX(0.0002,V19+Incumbency!D$20*Incumbency!$C$6+'Tactical &amp; Candidate'!D$12/100))</f>
        <v>0.384255090076381</v>
      </c>
      <c r="AT19" s="145" t="n">
        <f aca="false">IF(W19&lt;0.000000001,0,MAX(0.0002,W19+Incumbency!E$20*Incumbency!$C$6+'Tactical &amp; Candidate'!E$12/100))</f>
        <v>0.178726144290931</v>
      </c>
      <c r="AU19" s="145" t="n">
        <f aca="false">IF(X19&lt;0.000000001,0,MAX(0.0002,X19+Incumbency!F$20*Incumbency!$C$6+'Tactical &amp; Candidate'!F$12/100))</f>
        <v>0.139468496871508</v>
      </c>
      <c r="AV19" s="145" t="n">
        <f aca="false">IF(Y19&lt;0.000000001,0,MAX(0.0002,Y19+Incumbency!G$20*Incumbency!$C$6+'Tactical &amp; Candidate'!G$12/100))</f>
        <v>0.0776797239573746</v>
      </c>
      <c r="AW19" s="145" t="n">
        <f aca="false">IF(Z19&lt;0.000000001,0,MAX(0.0002,Z19+Incumbency!H$20*Incumbency!$C$6+'Tactical &amp; Candidate'!H$12/100))</f>
        <v>0</v>
      </c>
      <c r="AX19" s="145" t="n">
        <f aca="false">SUM(AR19:AW19)</f>
        <v>1.024</v>
      </c>
      <c r="AY19" s="145" t="n">
        <f aca="false">AR19/$AX19</f>
        <v>0.238154828909965</v>
      </c>
      <c r="AZ19" s="145" t="n">
        <f aca="false">AS19/$AX19</f>
        <v>0.375249111402716</v>
      </c>
      <c r="BA19" s="145" t="n">
        <f aca="false">AT19/$AX19</f>
        <v>0.174537250284113</v>
      </c>
      <c r="BB19" s="145" t="n">
        <f aca="false">AU19/$AX19</f>
        <v>0.136199703976082</v>
      </c>
      <c r="BC19" s="145" t="n">
        <f aca="false">AV19/$AX19</f>
        <v>0.0758591054271237</v>
      </c>
      <c r="BD19" s="145" t="n">
        <f aca="false">AW19/$AX19</f>
        <v>0</v>
      </c>
      <c r="BF19" s="145" t="n">
        <f aca="false">AY19*(1-'Tactical &amp; Candidate'!C$8)</f>
        <v>0.238154828909965</v>
      </c>
      <c r="BG19" s="145" t="n">
        <f aca="false">AZ19*(1-'Tactical &amp; Candidate'!D$8)</f>
        <v>0.375249111402716</v>
      </c>
      <c r="BH19" s="145" t="n">
        <f aca="false">BA19*(1-'Tactical &amp; Candidate'!E$8)</f>
        <v>0.174537250284113</v>
      </c>
      <c r="BI19" s="145" t="n">
        <f aca="false">BB19*(1-'Tactical &amp; Candidate'!F$8)</f>
        <v>0.136199703976082</v>
      </c>
      <c r="BJ19" s="145" t="n">
        <f aca="false">BC19*(1-'Tactical &amp; Candidate'!G$8)</f>
        <v>0.0758591054271237</v>
      </c>
      <c r="BK19" s="145" t="n">
        <f aca="false">BD19*(1-'Tactical &amp; Candidate'!H$8)</f>
        <v>0</v>
      </c>
      <c r="BL19" s="145" t="n">
        <f aca="false">LARGE(AY19:BD19,2)</f>
        <v>0.238154828909965</v>
      </c>
      <c r="BM19" s="145" t="n">
        <f aca="false">SUMPRODUCT((AY19:BD19&lt;$BL19)*AY19:BD19)*'Tactical &amp; Candidate'!$C$6</f>
        <v>0</v>
      </c>
      <c r="BN19" s="145" t="n">
        <f aca="false">MAX(BF19:BK19)</f>
        <v>0.375249111402716</v>
      </c>
      <c r="BO19" s="146" t="n">
        <f aca="false">SUMPRODUCT((BF19:BK19=$BN19)*1)</f>
        <v>1</v>
      </c>
      <c r="BQ19" s="145" t="n">
        <f aca="false">AY19*(1-'Tactical &amp; Candidate'!$C$6*(AY19&lt;$BL19))+IF(BF19=$BN19,$BM19/$BO19,0)</f>
        <v>0.238154828909965</v>
      </c>
      <c r="BR19" s="145" t="n">
        <f aca="false">AZ19*(1-'Tactical &amp; Candidate'!$C$6*(AZ19&lt;$BL19))+IF(BG19=$BN19,$BM19/$BO19,0)</f>
        <v>0.375249111402716</v>
      </c>
      <c r="BS19" s="145" t="n">
        <f aca="false">BA19*(1-'Tactical &amp; Candidate'!$C$6*(BA19&lt;$BL19))+IF(BH19=$BN19,$BM19/$BO19,0)</f>
        <v>0.174537250284113</v>
      </c>
      <c r="BT19" s="145" t="n">
        <f aca="false">BB19*(1-'Tactical &amp; Candidate'!$C$6*(BB19&lt;$BL19))+IF(BI19=$BN19,$BM19/$BO19,0)</f>
        <v>0.136199703976082</v>
      </c>
      <c r="BU19" s="145" t="n">
        <f aca="false">BC19*(1-'Tactical &amp; Candidate'!$C$6*(BC19&lt;$BL19))+IF(BJ19=$BN19,$BM19/$BO19,0)</f>
        <v>0.0758591054271237</v>
      </c>
      <c r="BV19" s="145" t="n">
        <f aca="false">BD19*(1-'Tactical &amp; Candidate'!$C$6*(BD19&lt;$BL19))+IF(BK19=$BN19,$BM19/$BO19,0)</f>
        <v>0</v>
      </c>
      <c r="BW19" s="145" t="n">
        <f aca="false">SUM(BQ19:BV19)</f>
        <v>1</v>
      </c>
      <c r="BX19" s="145" t="n">
        <f aca="false">BQ19/$BW19</f>
        <v>0.238154828909965</v>
      </c>
      <c r="BY19" s="145" t="n">
        <f aca="false">BR19/$BW19</f>
        <v>0.375249111402716</v>
      </c>
      <c r="BZ19" s="145" t="n">
        <f aca="false">BS19/$BW19</f>
        <v>0.174537250284113</v>
      </c>
      <c r="CA19" s="145" t="n">
        <f aca="false">BT19/$BW19</f>
        <v>0.136199703976082</v>
      </c>
      <c r="CB19" s="145" t="n">
        <f aca="false">BU19/$BW19</f>
        <v>0.0758591054271237</v>
      </c>
      <c r="CC19" s="145" t="n">
        <f aca="false">BV19/$BW19</f>
        <v>0</v>
      </c>
    </row>
    <row r="20" customFormat="false" ht="15" hidden="false" customHeight="false" outlineLevel="0" collapsed="false">
      <c r="B20" s="22" t="s">
        <v>59</v>
      </c>
      <c r="C20" s="147" t="n">
        <f aca="false">AC20/$AI20</f>
        <v>0.203573308453761</v>
      </c>
      <c r="D20" s="148" t="n">
        <f aca="false">AD20/$AI20</f>
        <v>0.364419441675764</v>
      </c>
      <c r="E20" s="149" t="n">
        <f aca="false">AE20/$AI20</f>
        <v>0.138993823936868</v>
      </c>
      <c r="F20" s="150" t="n">
        <f aca="false">AF20/$AI20</f>
        <v>0.206611975959512</v>
      </c>
      <c r="G20" s="151" t="n">
        <f aca="false">AG20/$AI20</f>
        <v>0.0864014499740952</v>
      </c>
      <c r="H20" s="152" t="n">
        <f aca="false">AH20/$AI20</f>
        <v>0</v>
      </c>
      <c r="I20" s="147" t="n">
        <f aca="false">$L$3*'Voting History'!C20+$M$3*'Voting History'!I20+$N$3*'Voting History'!O20</f>
        <v>0.389654265562945</v>
      </c>
      <c r="J20" s="148" t="n">
        <f aca="false">$L$3*'Voting History'!D20+$M$3*'Voting History'!J20+$N$3*'Voting History'!P20</f>
        <v>0.195646147663212</v>
      </c>
      <c r="K20" s="149" t="n">
        <f aca="false">$L$3*'Voting History'!E20+$M$3*'Voting History'!K20+$N$3*'Voting History'!Q20</f>
        <v>0.1166960903373</v>
      </c>
      <c r="L20" s="150" t="n">
        <f aca="false">$L$3*'Voting History'!F20+$M$3*'Voting History'!L20+$N$3*'Voting History'!R20</f>
        <v>0.213953248782359</v>
      </c>
      <c r="M20" s="151" t="n">
        <f aca="false">$L$3*'Voting History'!G20+$M$3*'Voting History'!M20+$N$3*'Voting History'!S20</f>
        <v>0.0840502476541834</v>
      </c>
      <c r="N20" s="152" t="n">
        <f aca="false">$L$3*'Voting History'!H20+$M$3*'Voting History'!N20+$N$3*'Voting History'!T20</f>
        <v>0</v>
      </c>
      <c r="O20" s="147" t="n">
        <f aca="false">Polling!C20</f>
        <v>0.281829114259297</v>
      </c>
      <c r="P20" s="148" t="n">
        <f aca="false">Polling!D20</f>
        <v>0.306598554729474</v>
      </c>
      <c r="Q20" s="149" t="n">
        <f aca="false">Polling!E20</f>
        <v>0.100846935690492</v>
      </c>
      <c r="R20" s="150" t="n">
        <f aca="false">Polling!F20</f>
        <v>0.242853548142119</v>
      </c>
      <c r="S20" s="151" t="n">
        <f aca="false">Polling!G20</f>
        <v>0.067871847178618</v>
      </c>
      <c r="T20" s="152" t="n">
        <f aca="false">Polling!H20</f>
        <v>0</v>
      </c>
      <c r="U20" s="153" t="n">
        <f aca="false">AJ20/$AP20</f>
        <v>0.285308660343548</v>
      </c>
      <c r="V20" s="154" t="n">
        <f aca="false">AK20/$AP20</f>
        <v>0.296206719046796</v>
      </c>
      <c r="W20" s="155" t="n">
        <f aca="false">AL20/$AP20</f>
        <v>0.116253290826107</v>
      </c>
      <c r="X20" s="156" t="n">
        <f aca="false">AM20/$AP20</f>
        <v>0.224756001647397</v>
      </c>
      <c r="Y20" s="157" t="n">
        <f aca="false">AN20/$AP20</f>
        <v>0.0774753281361525</v>
      </c>
      <c r="Z20" s="158" t="n">
        <f aca="false">AO20/$AP20</f>
        <v>0</v>
      </c>
      <c r="AA20" s="66" t="n">
        <f aca="false">SUMPRODUCT(Demographics!$C20:$I20,Demographics!$C$43:$I$43)</f>
        <v>0.618973052353343</v>
      </c>
      <c r="AC20" s="145" t="n">
        <f aca="false">SUMPRODUCT(Demographics!$C20:$I20,Demographics!$C$43:$I$43,Demographics!$C$44:$I$44)</f>
        <v>0.126006392111293</v>
      </c>
      <c r="AD20" s="145" t="n">
        <f aca="false">SUMPRODUCT(Demographics!$C20:$I20,Demographics!$C$43:$I$43,Demographics!$C$45:$I$45)</f>
        <v>0.225565814150948</v>
      </c>
      <c r="AE20" s="145" t="n">
        <f aca="false">SUMPRODUCT(Demographics!$C20:$I20,Demographics!$C$43:$I$43,Demographics!$C$46:$I$46)</f>
        <v>0.0860334314604666</v>
      </c>
      <c r="AF20" s="145" t="n">
        <f aca="false">SUMPRODUCT(Demographics!$C20:$I20,Demographics!$C$43:$I$43,Demographics!$C$47:$I$47)</f>
        <v>0.127887245412415</v>
      </c>
      <c r="AG20" s="145" t="n">
        <f aca="false">SUMPRODUCT(Demographics!$C20:$I20,Demographics!$C$43:$I$43,Demographics!$C$48:$I$48)</f>
        <v>0.0534801692182203</v>
      </c>
      <c r="AH20" s="145" t="n">
        <f aca="false">SUMPRODUCT(Demographics!$C20:$I20,Demographics!$C$43:$I$43,Demographics!$C$49:$I$49)</f>
        <v>0</v>
      </c>
      <c r="AI20" s="145" t="n">
        <f aca="false">SUM(AC20:AH20)</f>
        <v>0.618973052353343</v>
      </c>
      <c r="AJ20" s="145" t="n">
        <f aca="false">$D$3*C20+$F$3*I20+$H$3*O20</f>
        <v>0.285308660343548</v>
      </c>
      <c r="AK20" s="145" t="n">
        <f aca="false">$D$3*D20+$F$3*J20+$H$3*P20</f>
        <v>0.296206719046796</v>
      </c>
      <c r="AL20" s="145" t="n">
        <f aca="false">$D$3*E20+$F$3*K20+$H$3*Q20</f>
        <v>0.116253290826107</v>
      </c>
      <c r="AM20" s="145" t="n">
        <f aca="false">$D$3*F20+$F$3*L20+$H$3*R20</f>
        <v>0.224756001647397</v>
      </c>
      <c r="AN20" s="145" t="n">
        <f aca="false">$D$3*G20+$F$3*M20+$H$3*S20</f>
        <v>0.0774753281361525</v>
      </c>
      <c r="AO20" s="145" t="n">
        <f aca="false">$D$3*H20+$F$3*N20+$H$3*T20</f>
        <v>0</v>
      </c>
      <c r="AP20" s="145" t="n">
        <f aca="false">SUM(AJ20:AO20)</f>
        <v>1</v>
      </c>
      <c r="AR20" s="145" t="n">
        <f aca="false">IF(U20&lt;0.000000001,0,MAX(0.0002,U20+Incumbency!C$20*Incumbency!$C$6+'Tactical &amp; Candidate'!C$12/100))</f>
        <v>0.285308660343548</v>
      </c>
      <c r="AS20" s="145" t="n">
        <f aca="false">IF(V20&lt;0.000000001,0,MAX(0.0002,V20+Incumbency!D$20*Incumbency!$C$6+'Tactical &amp; Candidate'!D$12/100))</f>
        <v>0.320206719046796</v>
      </c>
      <c r="AT20" s="145" t="n">
        <f aca="false">IF(W20&lt;0.000000001,0,MAX(0.0002,W20+Incumbency!E$20*Incumbency!$C$6+'Tactical &amp; Candidate'!E$12/100))</f>
        <v>0.116253290826107</v>
      </c>
      <c r="AU20" s="145" t="n">
        <f aca="false">IF(X20&lt;0.000000001,0,MAX(0.0002,X20+Incumbency!F$20*Incumbency!$C$6+'Tactical &amp; Candidate'!F$12/100))</f>
        <v>0.224756001647397</v>
      </c>
      <c r="AV20" s="145" t="n">
        <f aca="false">IF(Y20&lt;0.000000001,0,MAX(0.0002,Y20+Incumbency!G$20*Incumbency!$C$6+'Tactical &amp; Candidate'!G$12/100))</f>
        <v>0.0774753281361525</v>
      </c>
      <c r="AW20" s="145" t="n">
        <f aca="false">IF(Z20&lt;0.000000001,0,MAX(0.0002,Z20+Incumbency!H$20*Incumbency!$C$6+'Tactical &amp; Candidate'!H$12/100))</f>
        <v>0</v>
      </c>
      <c r="AX20" s="145" t="n">
        <f aca="false">SUM(AR20:AW20)</f>
        <v>1.024</v>
      </c>
      <c r="AY20" s="145" t="n">
        <f aca="false">AR20/$AX20</f>
        <v>0.278621738616746</v>
      </c>
      <c r="AZ20" s="145" t="n">
        <f aca="false">AS20/$AX20</f>
        <v>0.312701874069136</v>
      </c>
      <c r="BA20" s="145" t="n">
        <f aca="false">AT20/$AX20</f>
        <v>0.11352860432237</v>
      </c>
      <c r="BB20" s="145" t="n">
        <f aca="false">AU20/$AX20</f>
        <v>0.219488282858786</v>
      </c>
      <c r="BC20" s="145" t="n">
        <f aca="false">AV20/$AX20</f>
        <v>0.0756595001329614</v>
      </c>
      <c r="BD20" s="145" t="n">
        <f aca="false">AW20/$AX20</f>
        <v>0</v>
      </c>
      <c r="BF20" s="145" t="n">
        <f aca="false">AY20*(1-'Tactical &amp; Candidate'!C$8)</f>
        <v>0.278621738616746</v>
      </c>
      <c r="BG20" s="145" t="n">
        <f aca="false">AZ20*(1-'Tactical &amp; Candidate'!D$8)</f>
        <v>0.312701874069136</v>
      </c>
      <c r="BH20" s="145" t="n">
        <f aca="false">BA20*(1-'Tactical &amp; Candidate'!E$8)</f>
        <v>0.11352860432237</v>
      </c>
      <c r="BI20" s="145" t="n">
        <f aca="false">BB20*(1-'Tactical &amp; Candidate'!F$8)</f>
        <v>0.219488282858786</v>
      </c>
      <c r="BJ20" s="145" t="n">
        <f aca="false">BC20*(1-'Tactical &amp; Candidate'!G$8)</f>
        <v>0.0756595001329614</v>
      </c>
      <c r="BK20" s="145" t="n">
        <f aca="false">BD20*(1-'Tactical &amp; Candidate'!H$8)</f>
        <v>0</v>
      </c>
      <c r="BL20" s="145" t="n">
        <f aca="false">LARGE(AY20:BD20,2)</f>
        <v>0.278621738616746</v>
      </c>
      <c r="BM20" s="145" t="n">
        <f aca="false">SUMPRODUCT((AY20:BD20&lt;$BL20)*AY20:BD20)*'Tactical &amp; Candidate'!$C$6</f>
        <v>0</v>
      </c>
      <c r="BN20" s="145" t="n">
        <f aca="false">MAX(BF20:BK20)</f>
        <v>0.312701874069136</v>
      </c>
      <c r="BO20" s="146" t="n">
        <f aca="false">SUMPRODUCT((BF20:BK20=$BN20)*1)</f>
        <v>1</v>
      </c>
      <c r="BQ20" s="145" t="n">
        <f aca="false">AY20*(1-'Tactical &amp; Candidate'!$C$6*(AY20&lt;$BL20))+IF(BF20=$BN20,$BM20/$BO20,0)</f>
        <v>0.278621738616746</v>
      </c>
      <c r="BR20" s="145" t="n">
        <f aca="false">AZ20*(1-'Tactical &amp; Candidate'!$C$6*(AZ20&lt;$BL20))+IF(BG20=$BN20,$BM20/$BO20,0)</f>
        <v>0.312701874069136</v>
      </c>
      <c r="BS20" s="145" t="n">
        <f aca="false">BA20*(1-'Tactical &amp; Candidate'!$C$6*(BA20&lt;$BL20))+IF(BH20=$BN20,$BM20/$BO20,0)</f>
        <v>0.11352860432237</v>
      </c>
      <c r="BT20" s="145" t="n">
        <f aca="false">BB20*(1-'Tactical &amp; Candidate'!$C$6*(BB20&lt;$BL20))+IF(BI20=$BN20,$BM20/$BO20,0)</f>
        <v>0.219488282858786</v>
      </c>
      <c r="BU20" s="145" t="n">
        <f aca="false">BC20*(1-'Tactical &amp; Candidate'!$C$6*(BC20&lt;$BL20))+IF(BJ20=$BN20,$BM20/$BO20,0)</f>
        <v>0.0756595001329614</v>
      </c>
      <c r="BV20" s="145" t="n">
        <f aca="false">BD20*(1-'Tactical &amp; Candidate'!$C$6*(BD20&lt;$BL20))+IF(BK20=$BN20,$BM20/$BO20,0)</f>
        <v>0</v>
      </c>
      <c r="BW20" s="145" t="n">
        <f aca="false">SUM(BQ20:BV20)</f>
        <v>1</v>
      </c>
      <c r="BX20" s="145" t="n">
        <f aca="false">BQ20/$BW20</f>
        <v>0.278621738616746</v>
      </c>
      <c r="BY20" s="145" t="n">
        <f aca="false">BR20/$BW20</f>
        <v>0.312701874069136</v>
      </c>
      <c r="BZ20" s="145" t="n">
        <f aca="false">BS20/$BW20</f>
        <v>0.11352860432237</v>
      </c>
      <c r="CA20" s="145" t="n">
        <f aca="false">BT20/$BW20</f>
        <v>0.219488282858786</v>
      </c>
      <c r="CB20" s="145" t="n">
        <f aca="false">BU20/$BW20</f>
        <v>0.0756595001329615</v>
      </c>
      <c r="CC20" s="145" t="n">
        <f aca="false">BV20/$BW20</f>
        <v>0</v>
      </c>
    </row>
    <row r="21" customFormat="false" ht="15" hidden="false" customHeight="false" outlineLevel="0" collapsed="false">
      <c r="B21" s="9" t="s">
        <v>60</v>
      </c>
      <c r="C21" s="134" t="n">
        <f aca="false">AC21/$AI21</f>
        <v>0.223402591572465</v>
      </c>
      <c r="D21" s="135" t="n">
        <f aca="false">AD21/$AI21</f>
        <v>0.310236008962621</v>
      </c>
      <c r="E21" s="136" t="n">
        <f aca="false">AE21/$AI21</f>
        <v>0.181358776157861</v>
      </c>
      <c r="F21" s="132" t="n">
        <f aca="false">AF21/$AI21</f>
        <v>0.19173034341407</v>
      </c>
      <c r="G21" s="137" t="n">
        <f aca="false">AG21/$AI21</f>
        <v>0.0932722798929828</v>
      </c>
      <c r="H21" s="138" t="n">
        <f aca="false">AH21/$AI21</f>
        <v>0</v>
      </c>
      <c r="I21" s="134" t="n">
        <f aca="false">$L$3*'Voting History'!C21+$M$3*'Voting History'!I21+$N$3*'Voting History'!O21</f>
        <v>0.324135972999986</v>
      </c>
      <c r="J21" s="135" t="n">
        <f aca="false">$L$3*'Voting History'!D21+$M$3*'Voting History'!J21+$N$3*'Voting History'!P21</f>
        <v>0.245738563966618</v>
      </c>
      <c r="K21" s="136" t="n">
        <f aca="false">$L$3*'Voting History'!E21+$M$3*'Voting History'!K21+$N$3*'Voting History'!Q21</f>
        <v>0.178685230463101</v>
      </c>
      <c r="L21" s="132" t="n">
        <f aca="false">$L$3*'Voting History'!F21+$M$3*'Voting History'!L21+$N$3*'Voting History'!R21</f>
        <v>0.167641965500239</v>
      </c>
      <c r="M21" s="137" t="n">
        <f aca="false">$L$3*'Voting History'!G21+$M$3*'Voting History'!M21+$N$3*'Voting History'!S21</f>
        <v>0.0837982670700557</v>
      </c>
      <c r="N21" s="138" t="n">
        <f aca="false">$L$3*'Voting History'!H21+$M$3*'Voting History'!N21+$N$3*'Voting History'!T21</f>
        <v>0</v>
      </c>
      <c r="O21" s="134" t="n">
        <f aca="false">Polling!C21</f>
        <v>0.241941815349889</v>
      </c>
      <c r="P21" s="135" t="n">
        <f aca="false">Polling!D21</f>
        <v>0.347642381884803</v>
      </c>
      <c r="Q21" s="136" t="n">
        <f aca="false">Polling!E21</f>
        <v>0.169755511479081</v>
      </c>
      <c r="R21" s="132" t="n">
        <f aca="false">Polling!F21</f>
        <v>0.172887946494948</v>
      </c>
      <c r="S21" s="137" t="n">
        <f aca="false">Polling!G21</f>
        <v>0.0677723447912795</v>
      </c>
      <c r="T21" s="138" t="n">
        <f aca="false">Polling!H21</f>
        <v>0</v>
      </c>
      <c r="U21" s="139" t="n">
        <f aca="false">AJ21/$AP21</f>
        <v>0.256928587629186</v>
      </c>
      <c r="V21" s="140" t="n">
        <f aca="false">AK21/$AP21</f>
        <v>0.310944515528602</v>
      </c>
      <c r="W21" s="141" t="n">
        <f aca="false">AL21/$AP21</f>
        <v>0.17546892062872</v>
      </c>
      <c r="X21" s="142" t="n">
        <f aca="false">AM21/$AP21</f>
        <v>0.177229170322007</v>
      </c>
      <c r="Y21" s="143" t="n">
        <f aca="false">AN21/$AP21</f>
        <v>0.0794288058914845</v>
      </c>
      <c r="Z21" s="144" t="n">
        <f aca="false">AO21/$AP21</f>
        <v>0</v>
      </c>
      <c r="AA21" s="55" t="n">
        <f aca="false">SUMPRODUCT(Demographics!$C21:$I21,Demographics!$C$43:$I$43)</f>
        <v>0.635850479284169</v>
      </c>
      <c r="AC21" s="145" t="n">
        <f aca="false">SUMPRODUCT(Demographics!$C21:$I21,Demographics!$C$43:$I$43,Demographics!$C$44:$I$44)</f>
        <v>0.142050644924677</v>
      </c>
      <c r="AD21" s="145" t="n">
        <f aca="false">SUMPRODUCT(Demographics!$C21:$I21,Demographics!$C$43:$I$43,Demographics!$C$45:$I$45)</f>
        <v>0.19726371499009</v>
      </c>
      <c r="AE21" s="145" t="n">
        <f aca="false">SUMPRODUCT(Demographics!$C21:$I21,Demographics!$C$43:$I$43,Demographics!$C$46:$I$46)</f>
        <v>0.115317064742366</v>
      </c>
      <c r="AF21" s="145" t="n">
        <f aca="false">SUMPRODUCT(Demographics!$C21:$I21,Demographics!$C$43:$I$43,Demographics!$C$47:$I$47)</f>
        <v>0.121911830753154</v>
      </c>
      <c r="AG21" s="145" t="n">
        <f aca="false">SUMPRODUCT(Demographics!$C21:$I21,Demographics!$C$43:$I$43,Demographics!$C$48:$I$48)</f>
        <v>0.0593072238738802</v>
      </c>
      <c r="AH21" s="145" t="n">
        <f aca="false">SUMPRODUCT(Demographics!$C21:$I21,Demographics!$C$43:$I$43,Demographics!$C$49:$I$49)</f>
        <v>0</v>
      </c>
      <c r="AI21" s="145" t="n">
        <f aca="false">SUM(AC21:AH21)</f>
        <v>0.635850479284169</v>
      </c>
      <c r="AJ21" s="145" t="n">
        <f aca="false">$D$3*C21+$F$3*I21+$H$3*O21</f>
        <v>0.256928587629186</v>
      </c>
      <c r="AK21" s="145" t="n">
        <f aca="false">$D$3*D21+$F$3*J21+$H$3*P21</f>
        <v>0.310944515528602</v>
      </c>
      <c r="AL21" s="145" t="n">
        <f aca="false">$D$3*E21+$F$3*K21+$H$3*Q21</f>
        <v>0.17546892062872</v>
      </c>
      <c r="AM21" s="145" t="n">
        <f aca="false">$D$3*F21+$F$3*L21+$H$3*R21</f>
        <v>0.177229170322007</v>
      </c>
      <c r="AN21" s="145" t="n">
        <f aca="false">$D$3*G21+$F$3*M21+$H$3*S21</f>
        <v>0.0794288058914845</v>
      </c>
      <c r="AO21" s="145" t="n">
        <f aca="false">$D$3*H21+$F$3*N21+$H$3*T21</f>
        <v>0</v>
      </c>
      <c r="AP21" s="145" t="n">
        <f aca="false">SUM(AJ21:AO21)</f>
        <v>1</v>
      </c>
      <c r="AR21" s="145" t="n">
        <f aca="false">IF(U21&lt;0.000000001,0,MAX(0.0002,U21+Incumbency!C$20*Incumbency!$C$6+'Tactical &amp; Candidate'!C$12/100))</f>
        <v>0.256928587629186</v>
      </c>
      <c r="AS21" s="145" t="n">
        <f aca="false">IF(V21&lt;0.000000001,0,MAX(0.0002,V21+Incumbency!D$20*Incumbency!$C$6+'Tactical &amp; Candidate'!D$12/100))</f>
        <v>0.334944515528602</v>
      </c>
      <c r="AT21" s="145" t="n">
        <f aca="false">IF(W21&lt;0.000000001,0,MAX(0.0002,W21+Incumbency!E$20*Incumbency!$C$6+'Tactical &amp; Candidate'!E$12/100))</f>
        <v>0.17546892062872</v>
      </c>
      <c r="AU21" s="145" t="n">
        <f aca="false">IF(X21&lt;0.000000001,0,MAX(0.0002,X21+Incumbency!F$20*Incumbency!$C$6+'Tactical &amp; Candidate'!F$12/100))</f>
        <v>0.177229170322007</v>
      </c>
      <c r="AV21" s="145" t="n">
        <f aca="false">IF(Y21&lt;0.000000001,0,MAX(0.0002,Y21+Incumbency!G$20*Incumbency!$C$6+'Tactical &amp; Candidate'!G$12/100))</f>
        <v>0.0794288058914845</v>
      </c>
      <c r="AW21" s="145" t="n">
        <f aca="false">IF(Z21&lt;0.000000001,0,MAX(0.0002,Z21+Incumbency!H$20*Incumbency!$C$6+'Tactical &amp; Candidate'!H$12/100))</f>
        <v>0</v>
      </c>
      <c r="AX21" s="145" t="n">
        <f aca="false">SUM(AR21:AW21)</f>
        <v>1.024</v>
      </c>
      <c r="AY21" s="145" t="n">
        <f aca="false">AR21/$AX21</f>
        <v>0.250906823856627</v>
      </c>
      <c r="AZ21" s="145" t="n">
        <f aca="false">AS21/$AX21</f>
        <v>0.327094253445901</v>
      </c>
      <c r="BA21" s="145" t="n">
        <f aca="false">AT21/$AX21</f>
        <v>0.171356367801484</v>
      </c>
      <c r="BB21" s="145" t="n">
        <f aca="false">AU21/$AX21</f>
        <v>0.173075361642585</v>
      </c>
      <c r="BC21" s="145" t="n">
        <f aca="false">AV21/$AX21</f>
        <v>0.0775671932534029</v>
      </c>
      <c r="BD21" s="145" t="n">
        <f aca="false">AW21/$AX21</f>
        <v>0</v>
      </c>
      <c r="BF21" s="145" t="n">
        <f aca="false">AY21*(1-'Tactical &amp; Candidate'!C$8)</f>
        <v>0.250906823856627</v>
      </c>
      <c r="BG21" s="145" t="n">
        <f aca="false">AZ21*(1-'Tactical &amp; Candidate'!D$8)</f>
        <v>0.327094253445901</v>
      </c>
      <c r="BH21" s="145" t="n">
        <f aca="false">BA21*(1-'Tactical &amp; Candidate'!E$8)</f>
        <v>0.171356367801484</v>
      </c>
      <c r="BI21" s="145" t="n">
        <f aca="false">BB21*(1-'Tactical &amp; Candidate'!F$8)</f>
        <v>0.173075361642585</v>
      </c>
      <c r="BJ21" s="145" t="n">
        <f aca="false">BC21*(1-'Tactical &amp; Candidate'!G$8)</f>
        <v>0.0775671932534029</v>
      </c>
      <c r="BK21" s="145" t="n">
        <f aca="false">BD21*(1-'Tactical &amp; Candidate'!H$8)</f>
        <v>0</v>
      </c>
      <c r="BL21" s="145" t="n">
        <f aca="false">LARGE(AY21:BD21,2)</f>
        <v>0.250906823856627</v>
      </c>
      <c r="BM21" s="145" t="n">
        <f aca="false">SUMPRODUCT((AY21:BD21&lt;$BL21)*AY21:BD21)*'Tactical &amp; Candidate'!$C$6</f>
        <v>0</v>
      </c>
      <c r="BN21" s="145" t="n">
        <f aca="false">MAX(BF21:BK21)</f>
        <v>0.327094253445901</v>
      </c>
      <c r="BO21" s="146" t="n">
        <f aca="false">SUMPRODUCT((BF21:BK21=$BN21)*1)</f>
        <v>1</v>
      </c>
      <c r="BQ21" s="145" t="n">
        <f aca="false">AY21*(1-'Tactical &amp; Candidate'!$C$6*(AY21&lt;$BL21))+IF(BF21=$BN21,$BM21/$BO21,0)</f>
        <v>0.250906823856627</v>
      </c>
      <c r="BR21" s="145" t="n">
        <f aca="false">AZ21*(1-'Tactical &amp; Candidate'!$C$6*(AZ21&lt;$BL21))+IF(BG21=$BN21,$BM21/$BO21,0)</f>
        <v>0.327094253445901</v>
      </c>
      <c r="BS21" s="145" t="n">
        <f aca="false">BA21*(1-'Tactical &amp; Candidate'!$C$6*(BA21&lt;$BL21))+IF(BH21=$BN21,$BM21/$BO21,0)</f>
        <v>0.171356367801484</v>
      </c>
      <c r="BT21" s="145" t="n">
        <f aca="false">BB21*(1-'Tactical &amp; Candidate'!$C$6*(BB21&lt;$BL21))+IF(BI21=$BN21,$BM21/$BO21,0)</f>
        <v>0.173075361642585</v>
      </c>
      <c r="BU21" s="145" t="n">
        <f aca="false">BC21*(1-'Tactical &amp; Candidate'!$C$6*(BC21&lt;$BL21))+IF(BJ21=$BN21,$BM21/$BO21,0)</f>
        <v>0.0775671932534029</v>
      </c>
      <c r="BV21" s="145" t="n">
        <f aca="false">BD21*(1-'Tactical &amp; Candidate'!$C$6*(BD21&lt;$BL21))+IF(BK21=$BN21,$BM21/$BO21,0)</f>
        <v>0</v>
      </c>
      <c r="BW21" s="145" t="n">
        <f aca="false">SUM(BQ21:BV21)</f>
        <v>1</v>
      </c>
      <c r="BX21" s="145" t="n">
        <f aca="false">BQ21/$BW21</f>
        <v>0.250906823856627</v>
      </c>
      <c r="BY21" s="145" t="n">
        <f aca="false">BR21/$BW21</f>
        <v>0.327094253445901</v>
      </c>
      <c r="BZ21" s="145" t="n">
        <f aca="false">BS21/$BW21</f>
        <v>0.171356367801484</v>
      </c>
      <c r="CA21" s="145" t="n">
        <f aca="false">BT21/$BW21</f>
        <v>0.173075361642585</v>
      </c>
      <c r="CB21" s="145" t="n">
        <f aca="false">BU21/$BW21</f>
        <v>0.0775671932534029</v>
      </c>
      <c r="CC21" s="145" t="n">
        <f aca="false">BV21/$BW21</f>
        <v>0</v>
      </c>
    </row>
    <row r="22" customFormat="false" ht="15" hidden="false" customHeight="false" outlineLevel="0" collapsed="false">
      <c r="B22" s="22" t="s">
        <v>61</v>
      </c>
      <c r="C22" s="147" t="n">
        <f aca="false">AC22/$AI22</f>
        <v>0.244243821099598</v>
      </c>
      <c r="D22" s="148" t="n">
        <f aca="false">AD22/$AI22</f>
        <v>0.251349237041025</v>
      </c>
      <c r="E22" s="149" t="n">
        <f aca="false">AE22/$AI22</f>
        <v>0.133180730100063</v>
      </c>
      <c r="F22" s="150" t="n">
        <f aca="false">AF22/$AI22</f>
        <v>0.270344823387438</v>
      </c>
      <c r="G22" s="151" t="n">
        <f aca="false">AG22/$AI22</f>
        <v>0.100881388371875</v>
      </c>
      <c r="H22" s="152" t="n">
        <f aca="false">AH22/$AI22</f>
        <v>0</v>
      </c>
      <c r="I22" s="147" t="n">
        <f aca="false">$L$3*'Voting History'!C22+$M$3*'Voting History'!I22+$N$3*'Voting History'!O22</f>
        <v>0.39566903317574</v>
      </c>
      <c r="J22" s="148" t="n">
        <f aca="false">$L$3*'Voting History'!D22+$M$3*'Voting History'!J22+$N$3*'Voting History'!P22</f>
        <v>0.116445015048152</v>
      </c>
      <c r="K22" s="149" t="n">
        <f aca="false">$L$3*'Voting History'!E22+$M$3*'Voting History'!K22+$N$3*'Voting History'!Q22</f>
        <v>0.101251971850227</v>
      </c>
      <c r="L22" s="150" t="n">
        <f aca="false">$L$3*'Voting History'!F22+$M$3*'Voting History'!L22+$N$3*'Voting History'!R22</f>
        <v>0.284898376977771</v>
      </c>
      <c r="M22" s="151" t="n">
        <f aca="false">$L$3*'Voting History'!G22+$M$3*'Voting History'!M22+$N$3*'Voting History'!S22</f>
        <v>0.10173560294811</v>
      </c>
      <c r="N22" s="152" t="n">
        <f aca="false">$L$3*'Voting History'!H22+$M$3*'Voting History'!N22+$N$3*'Voting History'!T22</f>
        <v>0</v>
      </c>
      <c r="O22" s="147" t="n">
        <f aca="false">Polling!C22</f>
        <v>0.319064289323001</v>
      </c>
      <c r="P22" s="148" t="n">
        <f aca="false">Polling!D22</f>
        <v>0.192796995784947</v>
      </c>
      <c r="Q22" s="149" t="n">
        <f aca="false">Polling!E22</f>
        <v>0.107056901418388</v>
      </c>
      <c r="R22" s="150" t="n">
        <f aca="false">Polling!F22</f>
        <v>0.300428446676234</v>
      </c>
      <c r="S22" s="151" t="n">
        <f aca="false">Polling!G22</f>
        <v>0.0806533667974296</v>
      </c>
      <c r="T22" s="152" t="n">
        <f aca="false">Polling!H22</f>
        <v>0</v>
      </c>
      <c r="U22" s="153" t="n">
        <f aca="false">AJ22/$AP22</f>
        <v>0.315769334819165</v>
      </c>
      <c r="V22" s="154" t="n">
        <f aca="false">AK22/$AP22</f>
        <v>0.191274672977572</v>
      </c>
      <c r="W22" s="155" t="n">
        <f aca="false">AL22/$AP22</f>
        <v>0.11344281763085</v>
      </c>
      <c r="X22" s="156" t="n">
        <f aca="false">AM22/$AP22</f>
        <v>0.28752084226498</v>
      </c>
      <c r="Y22" s="157" t="n">
        <f aca="false">AN22/$AP22</f>
        <v>0.0919923323074335</v>
      </c>
      <c r="Z22" s="158" t="n">
        <f aca="false">AO22/$AP22</f>
        <v>0</v>
      </c>
      <c r="AA22" s="66" t="n">
        <f aca="false">SUMPRODUCT(Demographics!$C22:$I22,Demographics!$C$43:$I$43)</f>
        <v>0.621211041522398</v>
      </c>
      <c r="AC22" s="145" t="n">
        <f aca="false">SUMPRODUCT(Demographics!$C22:$I22,Demographics!$C$43:$I$43,Demographics!$C$44:$I$44)</f>
        <v>0.151726958490692</v>
      </c>
      <c r="AD22" s="145" t="n">
        <f aca="false">SUMPRODUCT(Demographics!$C22:$I22,Demographics!$C$43:$I$43,Demographics!$C$45:$I$45)</f>
        <v>0.156140921328115</v>
      </c>
      <c r="AE22" s="145" t="n">
        <f aca="false">SUMPRODUCT(Demographics!$C22:$I22,Demographics!$C$43:$I$43,Demographics!$C$46:$I$46)</f>
        <v>0.0827333400561734</v>
      </c>
      <c r="AF22" s="145" t="n">
        <f aca="false">SUMPRODUCT(Demographics!$C22:$I22,Demographics!$C$43:$I$43,Demographics!$C$47:$I$47)</f>
        <v>0.167941189306699</v>
      </c>
      <c r="AG22" s="145" t="n">
        <f aca="false">SUMPRODUCT(Demographics!$C22:$I22,Demographics!$C$43:$I$43,Demographics!$C$48:$I$48)</f>
        <v>0.0626686323407181</v>
      </c>
      <c r="AH22" s="145" t="n">
        <f aca="false">SUMPRODUCT(Demographics!$C22:$I22,Demographics!$C$43:$I$43,Demographics!$C$49:$I$49)</f>
        <v>0</v>
      </c>
      <c r="AI22" s="145" t="n">
        <f aca="false">SUM(AC22:AH22)</f>
        <v>0.621211041522398</v>
      </c>
      <c r="AJ22" s="145" t="n">
        <f aca="false">$D$3*C22+$F$3*I22+$H$3*O22</f>
        <v>0.315769334819165</v>
      </c>
      <c r="AK22" s="145" t="n">
        <f aca="false">$D$3*D22+$F$3*J22+$H$3*P22</f>
        <v>0.191274672977572</v>
      </c>
      <c r="AL22" s="145" t="n">
        <f aca="false">$D$3*E22+$F$3*K22+$H$3*Q22</f>
        <v>0.11344281763085</v>
      </c>
      <c r="AM22" s="145" t="n">
        <f aca="false">$D$3*F22+$F$3*L22+$H$3*R22</f>
        <v>0.28752084226498</v>
      </c>
      <c r="AN22" s="145" t="n">
        <f aca="false">$D$3*G22+$F$3*M22+$H$3*S22</f>
        <v>0.0919923323074335</v>
      </c>
      <c r="AO22" s="145" t="n">
        <f aca="false">$D$3*H22+$F$3*N22+$H$3*T22</f>
        <v>0</v>
      </c>
      <c r="AP22" s="145" t="n">
        <f aca="false">SUM(AJ22:AO22)</f>
        <v>1</v>
      </c>
      <c r="AR22" s="145" t="n">
        <f aca="false">IF(U22&lt;0.000000001,0,MAX(0.0002,U22+Incumbency!C$20*Incumbency!$C$6+'Tactical &amp; Candidate'!C$12/100))</f>
        <v>0.315769334819165</v>
      </c>
      <c r="AS22" s="145" t="n">
        <f aca="false">IF(V22&lt;0.000000001,0,MAX(0.0002,V22+Incumbency!D$20*Incumbency!$C$6+'Tactical &amp; Candidate'!D$12/100))</f>
        <v>0.215274672977572</v>
      </c>
      <c r="AT22" s="145" t="n">
        <f aca="false">IF(W22&lt;0.000000001,0,MAX(0.0002,W22+Incumbency!E$20*Incumbency!$C$6+'Tactical &amp; Candidate'!E$12/100))</f>
        <v>0.11344281763085</v>
      </c>
      <c r="AU22" s="145" t="n">
        <f aca="false">IF(X22&lt;0.000000001,0,MAX(0.0002,X22+Incumbency!F$20*Incumbency!$C$6+'Tactical &amp; Candidate'!F$12/100))</f>
        <v>0.28752084226498</v>
      </c>
      <c r="AV22" s="145" t="n">
        <f aca="false">IF(Y22&lt;0.000000001,0,MAX(0.0002,Y22+Incumbency!G$20*Incumbency!$C$6+'Tactical &amp; Candidate'!G$12/100))</f>
        <v>0.0919923323074335</v>
      </c>
      <c r="AW22" s="145" t="n">
        <f aca="false">IF(Z22&lt;0.000000001,0,MAX(0.0002,Z22+Incumbency!H$20*Incumbency!$C$6+'Tactical &amp; Candidate'!H$12/100))</f>
        <v>0</v>
      </c>
      <c r="AX22" s="145" t="n">
        <f aca="false">SUM(AR22:AW22)</f>
        <v>1.024</v>
      </c>
      <c r="AY22" s="145" t="n">
        <f aca="false">AR22/$AX22</f>
        <v>0.308368491034341</v>
      </c>
      <c r="AZ22" s="145" t="n">
        <f aca="false">AS22/$AX22</f>
        <v>0.21022917282966</v>
      </c>
      <c r="BA22" s="145" t="n">
        <f aca="false">AT22/$AX22</f>
        <v>0.110784001592627</v>
      </c>
      <c r="BB22" s="145" t="n">
        <f aca="false">AU22/$AX22</f>
        <v>0.280782072524394</v>
      </c>
      <c r="BC22" s="145" t="n">
        <f aca="false">AV22/$AX22</f>
        <v>0.089836262018978</v>
      </c>
      <c r="BD22" s="145" t="n">
        <f aca="false">AW22/$AX22</f>
        <v>0</v>
      </c>
      <c r="BF22" s="145" t="n">
        <f aca="false">AY22*(1-'Tactical &amp; Candidate'!C$8)</f>
        <v>0.308368491034341</v>
      </c>
      <c r="BG22" s="145" t="n">
        <f aca="false">AZ22*(1-'Tactical &amp; Candidate'!D$8)</f>
        <v>0.21022917282966</v>
      </c>
      <c r="BH22" s="145" t="n">
        <f aca="false">BA22*(1-'Tactical &amp; Candidate'!E$8)</f>
        <v>0.110784001592627</v>
      </c>
      <c r="BI22" s="145" t="n">
        <f aca="false">BB22*(1-'Tactical &amp; Candidate'!F$8)</f>
        <v>0.280782072524394</v>
      </c>
      <c r="BJ22" s="145" t="n">
        <f aca="false">BC22*(1-'Tactical &amp; Candidate'!G$8)</f>
        <v>0.089836262018978</v>
      </c>
      <c r="BK22" s="145" t="n">
        <f aca="false">BD22*(1-'Tactical &amp; Candidate'!H$8)</f>
        <v>0</v>
      </c>
      <c r="BL22" s="145" t="n">
        <f aca="false">LARGE(AY22:BD22,2)</f>
        <v>0.280782072524394</v>
      </c>
      <c r="BM22" s="145" t="n">
        <f aca="false">SUMPRODUCT((AY22:BD22&lt;$BL22)*AY22:BD22)*'Tactical &amp; Candidate'!$C$6</f>
        <v>0</v>
      </c>
      <c r="BN22" s="145" t="n">
        <f aca="false">MAX(BF22:BK22)</f>
        <v>0.308368491034341</v>
      </c>
      <c r="BO22" s="146" t="n">
        <f aca="false">SUMPRODUCT((BF22:BK22=$BN22)*1)</f>
        <v>1</v>
      </c>
      <c r="BQ22" s="145" t="n">
        <f aca="false">AY22*(1-'Tactical &amp; Candidate'!$C$6*(AY22&lt;$BL22))+IF(BF22=$BN22,$BM22/$BO22,0)</f>
        <v>0.308368491034341</v>
      </c>
      <c r="BR22" s="145" t="n">
        <f aca="false">AZ22*(1-'Tactical &amp; Candidate'!$C$6*(AZ22&lt;$BL22))+IF(BG22=$BN22,$BM22/$BO22,0)</f>
        <v>0.21022917282966</v>
      </c>
      <c r="BS22" s="145" t="n">
        <f aca="false">BA22*(1-'Tactical &amp; Candidate'!$C$6*(BA22&lt;$BL22))+IF(BH22=$BN22,$BM22/$BO22,0)</f>
        <v>0.110784001592627</v>
      </c>
      <c r="BT22" s="145" t="n">
        <f aca="false">BB22*(1-'Tactical &amp; Candidate'!$C$6*(BB22&lt;$BL22))+IF(BI22=$BN22,$BM22/$BO22,0)</f>
        <v>0.280782072524394</v>
      </c>
      <c r="BU22" s="145" t="n">
        <f aca="false">BC22*(1-'Tactical &amp; Candidate'!$C$6*(BC22&lt;$BL22))+IF(BJ22=$BN22,$BM22/$BO22,0)</f>
        <v>0.089836262018978</v>
      </c>
      <c r="BV22" s="145" t="n">
        <f aca="false">BD22*(1-'Tactical &amp; Candidate'!$C$6*(BD22&lt;$BL22))+IF(BK22=$BN22,$BM22/$BO22,0)</f>
        <v>0</v>
      </c>
      <c r="BW22" s="145" t="n">
        <f aca="false">SUM(BQ22:BV22)</f>
        <v>1</v>
      </c>
      <c r="BX22" s="145" t="n">
        <f aca="false">BQ22/$BW22</f>
        <v>0.308368491034341</v>
      </c>
      <c r="BY22" s="145" t="n">
        <f aca="false">BR22/$BW22</f>
        <v>0.21022917282966</v>
      </c>
      <c r="BZ22" s="145" t="n">
        <f aca="false">BS22/$BW22</f>
        <v>0.110784001592627</v>
      </c>
      <c r="CA22" s="145" t="n">
        <f aca="false">BT22/$BW22</f>
        <v>0.280782072524394</v>
      </c>
      <c r="CB22" s="145" t="n">
        <f aca="false">BU22/$BW22</f>
        <v>0.089836262018978</v>
      </c>
      <c r="CC22" s="145" t="n">
        <f aca="false">BV22/$BW22</f>
        <v>0</v>
      </c>
    </row>
    <row r="23" customFormat="false" ht="15" hidden="false" customHeight="false" outlineLevel="0" collapsed="false">
      <c r="B23" s="9" t="s">
        <v>63</v>
      </c>
      <c r="C23" s="134" t="n">
        <f aca="false">AC23/$AI23</f>
        <v>0.210607712993139</v>
      </c>
      <c r="D23" s="135" t="n">
        <f aca="false">AD23/$AI23</f>
        <v>0.350819983919666</v>
      </c>
      <c r="E23" s="136" t="n">
        <f aca="false">AE23/$AI23</f>
        <v>0.157295340688235</v>
      </c>
      <c r="F23" s="132" t="n">
        <f aca="false">AF23/$AI23</f>
        <v>0.193562501781521</v>
      </c>
      <c r="G23" s="137" t="n">
        <f aca="false">AG23/$AI23</f>
        <v>0.0877144606174391</v>
      </c>
      <c r="H23" s="138" t="n">
        <f aca="false">AH23/$AI23</f>
        <v>0</v>
      </c>
      <c r="I23" s="134" t="n">
        <f aca="false">$L$3*'Voting History'!C23+$M$3*'Voting History'!I23+$N$3*'Voting History'!O23</f>
        <v>0.308841165500763</v>
      </c>
      <c r="J23" s="135" t="n">
        <f aca="false">$L$3*'Voting History'!D23+$M$3*'Voting History'!J23+$N$3*'Voting History'!P23</f>
        <v>0.234235499214118</v>
      </c>
      <c r="K23" s="136" t="n">
        <f aca="false">$L$3*'Voting History'!E23+$M$3*'Voting History'!K23+$N$3*'Voting History'!Q23</f>
        <v>0.147953093095999</v>
      </c>
      <c r="L23" s="132" t="n">
        <f aca="false">$L$3*'Voting History'!F23+$M$3*'Voting History'!L23+$N$3*'Voting History'!R23</f>
        <v>0.19638362362206</v>
      </c>
      <c r="M23" s="137" t="n">
        <f aca="false">$L$3*'Voting History'!G23+$M$3*'Voting History'!M23+$N$3*'Voting History'!S23</f>
        <v>0.112586618567059</v>
      </c>
      <c r="N23" s="138" t="n">
        <f aca="false">$L$3*'Voting History'!H23+$M$3*'Voting History'!N23+$N$3*'Voting History'!T23</f>
        <v>0</v>
      </c>
      <c r="O23" s="134" t="n">
        <f aca="false">Polling!C23</f>
        <v>0.201699045349932</v>
      </c>
      <c r="P23" s="135" t="n">
        <f aca="false">Polling!D23</f>
        <v>0.360823242259454</v>
      </c>
      <c r="Q23" s="136" t="n">
        <f aca="false">Polling!E23</f>
        <v>0.13251752799281</v>
      </c>
      <c r="R23" s="132" t="n">
        <f aca="false">Polling!F23</f>
        <v>0.212635610083875</v>
      </c>
      <c r="S23" s="137" t="n">
        <f aca="false">Polling!G23</f>
        <v>0.0923245743139293</v>
      </c>
      <c r="T23" s="138" t="n">
        <f aca="false">Polling!H23</f>
        <v>0</v>
      </c>
      <c r="U23" s="139" t="n">
        <f aca="false">AJ23/$AP23</f>
        <v>0.231157175680602</v>
      </c>
      <c r="V23" s="140" t="n">
        <f aca="false">AK23/$AP23</f>
        <v>0.326175328996184</v>
      </c>
      <c r="W23" s="141" t="n">
        <f aca="false">AL23/$AP23</f>
        <v>0.143809763077235</v>
      </c>
      <c r="X23" s="142" t="n">
        <f aca="false">AM23/$AP23</f>
        <v>0.202850680977715</v>
      </c>
      <c r="Y23" s="143" t="n">
        <f aca="false">AN23/$AP23</f>
        <v>0.0960070512682648</v>
      </c>
      <c r="Z23" s="144" t="n">
        <f aca="false">AO23/$AP23</f>
        <v>0</v>
      </c>
      <c r="AA23" s="55" t="n">
        <f aca="false">SUMPRODUCT(Demographics!$C23:$I23,Demographics!$C$43:$I$43)</f>
        <v>0.618146982672401</v>
      </c>
      <c r="AC23" s="145" t="n">
        <f aca="false">SUMPRODUCT(Demographics!$C23:$I23,Demographics!$C$43:$I$43,Demographics!$C$44:$I$44)</f>
        <v>0.130186522314244</v>
      </c>
      <c r="AD23" s="145" t="n">
        <f aca="false">SUMPRODUCT(Demographics!$C23:$I23,Demographics!$C$43:$I$43,Demographics!$C$45:$I$45)</f>
        <v>0.216858314521122</v>
      </c>
      <c r="AE23" s="145" t="n">
        <f aca="false">SUMPRODUCT(Demographics!$C23:$I23,Demographics!$C$43:$I$43,Demographics!$C$46:$I$46)</f>
        <v>0.0972316402348601</v>
      </c>
      <c r="AF23" s="145" t="n">
        <f aca="false">SUMPRODUCT(Demographics!$C23:$I23,Demographics!$C$43:$I$43,Demographics!$C$47:$I$47)</f>
        <v>0.119650076434768</v>
      </c>
      <c r="AG23" s="145" t="n">
        <f aca="false">SUMPRODUCT(Demographics!$C23:$I23,Demographics!$C$43:$I$43,Demographics!$C$48:$I$48)</f>
        <v>0.0542204291674071</v>
      </c>
      <c r="AH23" s="145" t="n">
        <f aca="false">SUMPRODUCT(Demographics!$C23:$I23,Demographics!$C$43:$I$43,Demographics!$C$49:$I$49)</f>
        <v>0</v>
      </c>
      <c r="AI23" s="145" t="n">
        <f aca="false">SUM(AC23:AH23)</f>
        <v>0.618146982672401</v>
      </c>
      <c r="AJ23" s="145" t="n">
        <f aca="false">$D$3*C23+$F$3*I23+$H$3*O23</f>
        <v>0.231157175680602</v>
      </c>
      <c r="AK23" s="145" t="n">
        <f aca="false">$D$3*D23+$F$3*J23+$H$3*P23</f>
        <v>0.326175328996184</v>
      </c>
      <c r="AL23" s="145" t="n">
        <f aca="false">$D$3*E23+$F$3*K23+$H$3*Q23</f>
        <v>0.143809763077235</v>
      </c>
      <c r="AM23" s="145" t="n">
        <f aca="false">$D$3*F23+$F$3*L23+$H$3*R23</f>
        <v>0.202850680977715</v>
      </c>
      <c r="AN23" s="145" t="n">
        <f aca="false">$D$3*G23+$F$3*M23+$H$3*S23</f>
        <v>0.0960070512682647</v>
      </c>
      <c r="AO23" s="145" t="n">
        <f aca="false">$D$3*H23+$F$3*N23+$H$3*T23</f>
        <v>0</v>
      </c>
      <c r="AP23" s="145" t="n">
        <f aca="false">SUM(AJ23:AO23)</f>
        <v>1</v>
      </c>
      <c r="AR23" s="145" t="n">
        <f aca="false">IF(U23&lt;0.000000001,0,MAX(0.0002,U23+Incumbency!C$20*Incumbency!$C$6+'Tactical &amp; Candidate'!C$12/100))</f>
        <v>0.231157175680602</v>
      </c>
      <c r="AS23" s="145" t="n">
        <f aca="false">IF(V23&lt;0.000000001,0,MAX(0.0002,V23+Incumbency!D$20*Incumbency!$C$6+'Tactical &amp; Candidate'!D$12/100))</f>
        <v>0.350175328996184</v>
      </c>
      <c r="AT23" s="145" t="n">
        <f aca="false">IF(W23&lt;0.000000001,0,MAX(0.0002,W23+Incumbency!E$20*Incumbency!$C$6+'Tactical &amp; Candidate'!E$12/100))</f>
        <v>0.143809763077235</v>
      </c>
      <c r="AU23" s="145" t="n">
        <f aca="false">IF(X23&lt;0.000000001,0,MAX(0.0002,X23+Incumbency!F$20*Incumbency!$C$6+'Tactical &amp; Candidate'!F$12/100))</f>
        <v>0.202850680977715</v>
      </c>
      <c r="AV23" s="145" t="n">
        <f aca="false">IF(Y23&lt;0.000000001,0,MAX(0.0002,Y23+Incumbency!G$20*Incumbency!$C$6+'Tactical &amp; Candidate'!G$12/100))</f>
        <v>0.0960070512682648</v>
      </c>
      <c r="AW23" s="145" t="n">
        <f aca="false">IF(Z23&lt;0.000000001,0,MAX(0.0002,Z23+Incumbency!H$20*Incumbency!$C$6+'Tactical &amp; Candidate'!H$12/100))</f>
        <v>0</v>
      </c>
      <c r="AX23" s="145" t="n">
        <f aca="false">SUM(AR23:AW23)</f>
        <v>1.024</v>
      </c>
      <c r="AY23" s="145" t="n">
        <f aca="false">AR23/$AX23</f>
        <v>0.225739429375588</v>
      </c>
      <c r="AZ23" s="145" t="n">
        <f aca="false">AS23/$AX23</f>
        <v>0.341968094722836</v>
      </c>
      <c r="BA23" s="145" t="n">
        <f aca="false">AT23/$AX23</f>
        <v>0.140439221755112</v>
      </c>
      <c r="BB23" s="145" t="n">
        <f aca="false">AU23/$AX23</f>
        <v>0.1980963681423</v>
      </c>
      <c r="BC23" s="145" t="n">
        <f aca="false">AV23/$AX23</f>
        <v>0.0937568860041648</v>
      </c>
      <c r="BD23" s="145" t="n">
        <f aca="false">AW23/$AX23</f>
        <v>0</v>
      </c>
      <c r="BF23" s="145" t="n">
        <f aca="false">AY23*(1-'Tactical &amp; Candidate'!C$8)</f>
        <v>0.225739429375588</v>
      </c>
      <c r="BG23" s="145" t="n">
        <f aca="false">AZ23*(1-'Tactical &amp; Candidate'!D$8)</f>
        <v>0.341968094722836</v>
      </c>
      <c r="BH23" s="145" t="n">
        <f aca="false">BA23*(1-'Tactical &amp; Candidate'!E$8)</f>
        <v>0.140439221755112</v>
      </c>
      <c r="BI23" s="145" t="n">
        <f aca="false">BB23*(1-'Tactical &amp; Candidate'!F$8)</f>
        <v>0.1980963681423</v>
      </c>
      <c r="BJ23" s="145" t="n">
        <f aca="false">BC23*(1-'Tactical &amp; Candidate'!G$8)</f>
        <v>0.0937568860041648</v>
      </c>
      <c r="BK23" s="145" t="n">
        <f aca="false">BD23*(1-'Tactical &amp; Candidate'!H$8)</f>
        <v>0</v>
      </c>
      <c r="BL23" s="145" t="n">
        <f aca="false">LARGE(AY23:BD23,2)</f>
        <v>0.225739429375588</v>
      </c>
      <c r="BM23" s="145" t="n">
        <f aca="false">SUMPRODUCT((AY23:BD23&lt;$BL23)*AY23:BD23)*'Tactical &amp; Candidate'!$C$6</f>
        <v>0</v>
      </c>
      <c r="BN23" s="145" t="n">
        <f aca="false">MAX(BF23:BK23)</f>
        <v>0.341968094722836</v>
      </c>
      <c r="BO23" s="146" t="n">
        <f aca="false">SUMPRODUCT((BF23:BK23=$BN23)*1)</f>
        <v>1</v>
      </c>
      <c r="BQ23" s="145" t="n">
        <f aca="false">AY23*(1-'Tactical &amp; Candidate'!$C$6*(AY23&lt;$BL23))+IF(BF23=$BN23,$BM23/$BO23,0)</f>
        <v>0.225739429375588</v>
      </c>
      <c r="BR23" s="145" t="n">
        <f aca="false">AZ23*(1-'Tactical &amp; Candidate'!$C$6*(AZ23&lt;$BL23))+IF(BG23=$BN23,$BM23/$BO23,0)</f>
        <v>0.341968094722836</v>
      </c>
      <c r="BS23" s="145" t="n">
        <f aca="false">BA23*(1-'Tactical &amp; Candidate'!$C$6*(BA23&lt;$BL23))+IF(BH23=$BN23,$BM23/$BO23,0)</f>
        <v>0.140439221755112</v>
      </c>
      <c r="BT23" s="145" t="n">
        <f aca="false">BB23*(1-'Tactical &amp; Candidate'!$C$6*(BB23&lt;$BL23))+IF(BI23=$BN23,$BM23/$BO23,0)</f>
        <v>0.1980963681423</v>
      </c>
      <c r="BU23" s="145" t="n">
        <f aca="false">BC23*(1-'Tactical &amp; Candidate'!$C$6*(BC23&lt;$BL23))+IF(BJ23=$BN23,$BM23/$BO23,0)</f>
        <v>0.0937568860041648</v>
      </c>
      <c r="BV23" s="145" t="n">
        <f aca="false">BD23*(1-'Tactical &amp; Candidate'!$C$6*(BD23&lt;$BL23))+IF(BK23=$BN23,$BM23/$BO23,0)</f>
        <v>0</v>
      </c>
      <c r="BW23" s="145" t="n">
        <f aca="false">SUM(BQ23:BV23)</f>
        <v>1</v>
      </c>
      <c r="BX23" s="145" t="n">
        <f aca="false">BQ23/$BW23</f>
        <v>0.225739429375588</v>
      </c>
      <c r="BY23" s="145" t="n">
        <f aca="false">BR23/$BW23</f>
        <v>0.341968094722836</v>
      </c>
      <c r="BZ23" s="145" t="n">
        <f aca="false">BS23/$BW23</f>
        <v>0.140439221755112</v>
      </c>
      <c r="CA23" s="145" t="n">
        <f aca="false">BT23/$BW23</f>
        <v>0.1980963681423</v>
      </c>
      <c r="CB23" s="145" t="n">
        <f aca="false">BU23/$BW23</f>
        <v>0.0937568860041648</v>
      </c>
      <c r="CC23" s="145" t="n">
        <f aca="false">BV23/$BW23</f>
        <v>0</v>
      </c>
    </row>
    <row r="24" customFormat="false" ht="15" hidden="false" customHeight="false" outlineLevel="0" collapsed="false">
      <c r="B24" s="22" t="s">
        <v>65</v>
      </c>
      <c r="C24" s="147" t="n">
        <f aca="false">AC24/$AI24</f>
        <v>0.223957013505801</v>
      </c>
      <c r="D24" s="148" t="n">
        <f aca="false">AD24/$AI24</f>
        <v>0.307903843309726</v>
      </c>
      <c r="E24" s="149" t="n">
        <f aca="false">AE24/$AI24</f>
        <v>0.182874883846498</v>
      </c>
      <c r="F24" s="150" t="n">
        <f aca="false">AF24/$AI24</f>
        <v>0.19163643070108</v>
      </c>
      <c r="G24" s="151" t="n">
        <f aca="false">AG24/$AI24</f>
        <v>0.0936278286368946</v>
      </c>
      <c r="H24" s="152" t="n">
        <f aca="false">AH24/$AI24</f>
        <v>0</v>
      </c>
      <c r="I24" s="147" t="n">
        <f aca="false">$L$3*'Voting History'!C24+$M$3*'Voting History'!I24+$N$3*'Voting History'!O24</f>
        <v>0.346686146420931</v>
      </c>
      <c r="J24" s="148" t="n">
        <f aca="false">$L$3*'Voting History'!D24+$M$3*'Voting History'!J24+$N$3*'Voting History'!P24</f>
        <v>0.253427019020023</v>
      </c>
      <c r="K24" s="149" t="n">
        <f aca="false">$L$3*'Voting History'!E24+$M$3*'Voting History'!K24+$N$3*'Voting History'!Q24</f>
        <v>0.194382490477022</v>
      </c>
      <c r="L24" s="150" t="n">
        <f aca="false">$L$3*'Voting History'!F24+$M$3*'Voting History'!L24+$N$3*'Voting History'!R24</f>
        <v>0.125125333162376</v>
      </c>
      <c r="M24" s="151" t="n">
        <f aca="false">$L$3*'Voting History'!G24+$M$3*'Voting History'!M24+$N$3*'Voting History'!S24</f>
        <v>0.0803790109196477</v>
      </c>
      <c r="N24" s="152" t="n">
        <f aca="false">$L$3*'Voting History'!H24+$M$3*'Voting History'!N24+$N$3*'Voting History'!T24</f>
        <v>0</v>
      </c>
      <c r="O24" s="147" t="n">
        <f aca="false">Polling!C24</f>
        <v>0.236313036451467</v>
      </c>
      <c r="P24" s="148" t="n">
        <f aca="false">Polling!D24</f>
        <v>0.400593134200659</v>
      </c>
      <c r="Q24" s="149" t="n">
        <f aca="false">Polling!E24</f>
        <v>0.177700591224149</v>
      </c>
      <c r="R24" s="150" t="n">
        <f aca="false">Polling!F24</f>
        <v>0.130582243092721</v>
      </c>
      <c r="S24" s="151" t="n">
        <f aca="false">Polling!G24</f>
        <v>0.0548109950310049</v>
      </c>
      <c r="T24" s="152" t="n">
        <f aca="false">Polling!H24</f>
        <v>0</v>
      </c>
      <c r="U24" s="153" t="n">
        <f aca="false">AJ24/$AP24</f>
        <v>0.260199507060133</v>
      </c>
      <c r="V24" s="154" t="n">
        <f aca="false">AK24/$AP24</f>
        <v>0.33599481813822</v>
      </c>
      <c r="W24" s="155" t="n">
        <f aca="false">AL24/$AP24</f>
        <v>0.183423353824072</v>
      </c>
      <c r="X24" s="156" t="n">
        <f aca="false">AM24/$AP24</f>
        <v>0.147534271892642</v>
      </c>
      <c r="Y24" s="157" t="n">
        <f aca="false">AN24/$AP24</f>
        <v>0.0728480490849325</v>
      </c>
      <c r="Z24" s="158" t="n">
        <f aca="false">AO24/$AP24</f>
        <v>0</v>
      </c>
      <c r="AA24" s="66" t="n">
        <f aca="false">SUMPRODUCT(Demographics!$C24:$I24,Demographics!$C$43:$I$43)</f>
        <v>0.635761095542182</v>
      </c>
      <c r="AC24" s="145" t="n">
        <f aca="false">SUMPRODUCT(Demographics!$C24:$I24,Demographics!$C$43:$I$43,Demographics!$C$44:$I$44)</f>
        <v>0.142383156260803</v>
      </c>
      <c r="AD24" s="145" t="n">
        <f aca="false">SUMPRODUCT(Demographics!$C24:$I24,Demographics!$C$43:$I$43,Demographics!$C$45:$I$45)</f>
        <v>0.19575328474424</v>
      </c>
      <c r="AE24" s="145" t="n">
        <f aca="false">SUMPRODUCT(Demographics!$C24:$I24,Demographics!$C$43:$I$43,Demographics!$C$46:$I$46)</f>
        <v>0.116264736501399</v>
      </c>
      <c r="AF24" s="145" t="n">
        <f aca="false">SUMPRODUCT(Demographics!$C24:$I24,Demographics!$C$43:$I$43,Demographics!$C$47:$I$47)</f>
        <v>0.121834987128312</v>
      </c>
      <c r="AG24" s="145" t="n">
        <f aca="false">SUMPRODUCT(Demographics!$C24:$I24,Demographics!$C$43:$I$43,Demographics!$C$48:$I$48)</f>
        <v>0.0595249309074277</v>
      </c>
      <c r="AH24" s="145" t="n">
        <f aca="false">SUMPRODUCT(Demographics!$C24:$I24,Demographics!$C$43:$I$43,Demographics!$C$49:$I$49)</f>
        <v>0</v>
      </c>
      <c r="AI24" s="145" t="n">
        <f aca="false">SUM(AC24:AH24)</f>
        <v>0.635761095542182</v>
      </c>
      <c r="AJ24" s="145" t="n">
        <f aca="false">$D$3*C24+$F$3*I24+$H$3*O24</f>
        <v>0.260199507060133</v>
      </c>
      <c r="AK24" s="145" t="n">
        <f aca="false">$D$3*D24+$F$3*J24+$H$3*P24</f>
        <v>0.33599481813822</v>
      </c>
      <c r="AL24" s="145" t="n">
        <f aca="false">$D$3*E24+$F$3*K24+$H$3*Q24</f>
        <v>0.183423353824072</v>
      </c>
      <c r="AM24" s="145" t="n">
        <f aca="false">$D$3*F24+$F$3*L24+$H$3*R24</f>
        <v>0.147534271892642</v>
      </c>
      <c r="AN24" s="145" t="n">
        <f aca="false">$D$3*G24+$F$3*M24+$H$3*S24</f>
        <v>0.0728480490849325</v>
      </c>
      <c r="AO24" s="145" t="n">
        <f aca="false">$D$3*H24+$F$3*N24+$H$3*T24</f>
        <v>0</v>
      </c>
      <c r="AP24" s="145" t="n">
        <f aca="false">SUM(AJ24:AO24)</f>
        <v>1</v>
      </c>
      <c r="AR24" s="145" t="n">
        <f aca="false">IF(U24&lt;0.000000001,0,MAX(0.0002,U24+Incumbency!C$20*Incumbency!$C$6+'Tactical &amp; Candidate'!C$12/100))</f>
        <v>0.260199507060133</v>
      </c>
      <c r="AS24" s="145" t="n">
        <f aca="false">IF(V24&lt;0.000000001,0,MAX(0.0002,V24+Incumbency!D$20*Incumbency!$C$6+'Tactical &amp; Candidate'!D$12/100))</f>
        <v>0.35999481813822</v>
      </c>
      <c r="AT24" s="145" t="n">
        <f aca="false">IF(W24&lt;0.000000001,0,MAX(0.0002,W24+Incumbency!E$20*Incumbency!$C$6+'Tactical &amp; Candidate'!E$12/100))</f>
        <v>0.183423353824072</v>
      </c>
      <c r="AU24" s="145" t="n">
        <f aca="false">IF(X24&lt;0.000000001,0,MAX(0.0002,X24+Incumbency!F$20*Incumbency!$C$6+'Tactical &amp; Candidate'!F$12/100))</f>
        <v>0.147534271892642</v>
      </c>
      <c r="AV24" s="145" t="n">
        <f aca="false">IF(Y24&lt;0.000000001,0,MAX(0.0002,Y24+Incumbency!G$20*Incumbency!$C$6+'Tactical &amp; Candidate'!G$12/100))</f>
        <v>0.0728480490849325</v>
      </c>
      <c r="AW24" s="145" t="n">
        <f aca="false">IF(Z24&lt;0.000000001,0,MAX(0.0002,Z24+Incumbency!H$20*Incumbency!$C$6+'Tactical &amp; Candidate'!H$12/100))</f>
        <v>0</v>
      </c>
      <c r="AX24" s="145" t="n">
        <f aca="false">SUM(AR24:AW24)</f>
        <v>1.024</v>
      </c>
      <c r="AY24" s="145" t="n">
        <f aca="false">AR24/$AX24</f>
        <v>0.254101081113411</v>
      </c>
      <c r="AZ24" s="145" t="n">
        <f aca="false">AS24/$AX24</f>
        <v>0.351557439588106</v>
      </c>
      <c r="BA24" s="145" t="n">
        <f aca="false">AT24/$AX24</f>
        <v>0.17912436896882</v>
      </c>
      <c r="BB24" s="145" t="n">
        <f aca="false">AU24/$AX24</f>
        <v>0.144076437395159</v>
      </c>
      <c r="BC24" s="145" t="n">
        <f aca="false">AV24/$AX24</f>
        <v>0.0711406729345044</v>
      </c>
      <c r="BD24" s="145" t="n">
        <f aca="false">AW24/$AX24</f>
        <v>0</v>
      </c>
      <c r="BF24" s="145" t="n">
        <f aca="false">AY24*(1-'Tactical &amp; Candidate'!C$8)</f>
        <v>0.254101081113411</v>
      </c>
      <c r="BG24" s="145" t="n">
        <f aca="false">AZ24*(1-'Tactical &amp; Candidate'!D$8)</f>
        <v>0.351557439588106</v>
      </c>
      <c r="BH24" s="145" t="n">
        <f aca="false">BA24*(1-'Tactical &amp; Candidate'!E$8)</f>
        <v>0.17912436896882</v>
      </c>
      <c r="BI24" s="145" t="n">
        <f aca="false">BB24*(1-'Tactical &amp; Candidate'!F$8)</f>
        <v>0.144076437395159</v>
      </c>
      <c r="BJ24" s="145" t="n">
        <f aca="false">BC24*(1-'Tactical &amp; Candidate'!G$8)</f>
        <v>0.0711406729345044</v>
      </c>
      <c r="BK24" s="145" t="n">
        <f aca="false">BD24*(1-'Tactical &amp; Candidate'!H$8)</f>
        <v>0</v>
      </c>
      <c r="BL24" s="145" t="n">
        <f aca="false">LARGE(AY24:BD24,2)</f>
        <v>0.254101081113411</v>
      </c>
      <c r="BM24" s="145" t="n">
        <f aca="false">SUMPRODUCT((AY24:BD24&lt;$BL24)*AY24:BD24)*'Tactical &amp; Candidate'!$C$6</f>
        <v>0</v>
      </c>
      <c r="BN24" s="145" t="n">
        <f aca="false">MAX(BF24:BK24)</f>
        <v>0.351557439588106</v>
      </c>
      <c r="BO24" s="146" t="n">
        <f aca="false">SUMPRODUCT((BF24:BK24=$BN24)*1)</f>
        <v>1</v>
      </c>
      <c r="BQ24" s="145" t="n">
        <f aca="false">AY24*(1-'Tactical &amp; Candidate'!$C$6*(AY24&lt;$BL24))+IF(BF24=$BN24,$BM24/$BO24,0)</f>
        <v>0.254101081113411</v>
      </c>
      <c r="BR24" s="145" t="n">
        <f aca="false">AZ24*(1-'Tactical &amp; Candidate'!$C$6*(AZ24&lt;$BL24))+IF(BG24=$BN24,$BM24/$BO24,0)</f>
        <v>0.351557439588106</v>
      </c>
      <c r="BS24" s="145" t="n">
        <f aca="false">BA24*(1-'Tactical &amp; Candidate'!$C$6*(BA24&lt;$BL24))+IF(BH24=$BN24,$BM24/$BO24,0)</f>
        <v>0.17912436896882</v>
      </c>
      <c r="BT24" s="145" t="n">
        <f aca="false">BB24*(1-'Tactical &amp; Candidate'!$C$6*(BB24&lt;$BL24))+IF(BI24=$BN24,$BM24/$BO24,0)</f>
        <v>0.144076437395159</v>
      </c>
      <c r="BU24" s="145" t="n">
        <f aca="false">BC24*(1-'Tactical &amp; Candidate'!$C$6*(BC24&lt;$BL24))+IF(BJ24=$BN24,$BM24/$BO24,0)</f>
        <v>0.0711406729345044</v>
      </c>
      <c r="BV24" s="145" t="n">
        <f aca="false">BD24*(1-'Tactical &amp; Candidate'!$C$6*(BD24&lt;$BL24))+IF(BK24=$BN24,$BM24/$BO24,0)</f>
        <v>0</v>
      </c>
      <c r="BW24" s="145" t="n">
        <f aca="false">SUM(BQ24:BV24)</f>
        <v>1</v>
      </c>
      <c r="BX24" s="145" t="n">
        <f aca="false">BQ24/$BW24</f>
        <v>0.254101081113411</v>
      </c>
      <c r="BY24" s="145" t="n">
        <f aca="false">BR24/$BW24</f>
        <v>0.351557439588106</v>
      </c>
      <c r="BZ24" s="145" t="n">
        <f aca="false">BS24/$BW24</f>
        <v>0.17912436896882</v>
      </c>
      <c r="CA24" s="145" t="n">
        <f aca="false">BT24/$BW24</f>
        <v>0.144076437395159</v>
      </c>
      <c r="CB24" s="145" t="n">
        <f aca="false">BU24/$BW24</f>
        <v>0.0711406729345044</v>
      </c>
      <c r="CC24" s="145" t="n">
        <f aca="false">BV24/$BW24</f>
        <v>0</v>
      </c>
    </row>
    <row r="25" customFormat="false" ht="15" hidden="false" customHeight="false" outlineLevel="0" collapsed="false">
      <c r="B25" s="9" t="s">
        <v>66</v>
      </c>
      <c r="C25" s="134" t="n">
        <f aca="false">AC25/$AI25</f>
        <v>0.216793269829341</v>
      </c>
      <c r="D25" s="135" t="n">
        <f aca="false">AD25/$AI25</f>
        <v>0.333684525647992</v>
      </c>
      <c r="E25" s="136" t="n">
        <f aca="false">AE25/$AI25</f>
        <v>0.155638382350972</v>
      </c>
      <c r="F25" s="132" t="n">
        <f aca="false">AF25/$AI25</f>
        <v>0.203979381267162</v>
      </c>
      <c r="G25" s="137" t="n">
        <f aca="false">AG25/$AI25</f>
        <v>0.0899044409045334</v>
      </c>
      <c r="H25" s="138" t="n">
        <f aca="false">AH25/$AI25</f>
        <v>0</v>
      </c>
      <c r="I25" s="134" t="n">
        <f aca="false">$L$3*'Voting History'!C25+$M$3*'Voting History'!I25+$N$3*'Voting History'!O25</f>
        <v>0.321142764281871</v>
      </c>
      <c r="J25" s="135" t="n">
        <f aca="false">$L$3*'Voting History'!D25+$M$3*'Voting History'!J25+$N$3*'Voting History'!P25</f>
        <v>0.234008345234933</v>
      </c>
      <c r="K25" s="136" t="n">
        <f aca="false">$L$3*'Voting History'!E25+$M$3*'Voting History'!K25+$N$3*'Voting History'!Q25</f>
        <v>0.142467706477735</v>
      </c>
      <c r="L25" s="132" t="n">
        <f aca="false">$L$3*'Voting History'!F25+$M$3*'Voting History'!L25+$N$3*'Voting History'!R25</f>
        <v>0.192652734774034</v>
      </c>
      <c r="M25" s="137" t="n">
        <f aca="false">$L$3*'Voting History'!G25+$M$3*'Voting History'!M25+$N$3*'Voting History'!S25</f>
        <v>0.109728449231427</v>
      </c>
      <c r="N25" s="138" t="n">
        <f aca="false">$L$3*'Voting History'!H25+$M$3*'Voting History'!N25+$N$3*'Voting History'!T25</f>
        <v>0</v>
      </c>
      <c r="O25" s="134" t="n">
        <f aca="false">Polling!C25</f>
        <v>0.255729787155054</v>
      </c>
      <c r="P25" s="135" t="n">
        <f aca="false">Polling!D25</f>
        <v>0.322505525144952</v>
      </c>
      <c r="Q25" s="136" t="n">
        <f aca="false">Polling!E25</f>
        <v>0.140891554403668</v>
      </c>
      <c r="R25" s="132" t="n">
        <f aca="false">Polling!F25</f>
        <v>0.20435131902967</v>
      </c>
      <c r="S25" s="137" t="n">
        <f aca="false">Polling!G25</f>
        <v>0.0765218142666555</v>
      </c>
      <c r="T25" s="138" t="n">
        <f aca="false">Polling!H25</f>
        <v>0</v>
      </c>
      <c r="U25" s="139" t="n">
        <f aca="false">AJ25/$AP25</f>
        <v>0.260402076239044</v>
      </c>
      <c r="V25" s="140" t="n">
        <f aca="false">AK25/$AP25</f>
        <v>0.303734930318359</v>
      </c>
      <c r="W25" s="141" t="n">
        <f aca="false">AL25/$AP25</f>
        <v>0.145709640806376</v>
      </c>
      <c r="X25" s="142" t="n">
        <f aca="false">AM25/$AP25</f>
        <v>0.201315091637009</v>
      </c>
      <c r="Y25" s="143" t="n">
        <f aca="false">AN25/$AP25</f>
        <v>0.0888382609992118</v>
      </c>
      <c r="Z25" s="144" t="n">
        <f aca="false">AO25/$AP25</f>
        <v>0</v>
      </c>
      <c r="AA25" s="55" t="n">
        <f aca="false">SUMPRODUCT(Demographics!$C25:$I25,Demographics!$C$43:$I$43)</f>
        <v>0.608895828511053</v>
      </c>
      <c r="AC25" s="145" t="n">
        <f aca="false">SUMPRODUCT(Demographics!$C25:$I25,Demographics!$C$43:$I$43,Demographics!$C$44:$I$44)</f>
        <v>0.132004517648357</v>
      </c>
      <c r="AD25" s="145" t="n">
        <f aca="false">SUMPRODUCT(Demographics!$C25:$I25,Demographics!$C$43:$I$43,Demographics!$C$45:$I$45)</f>
        <v>0.203179115705752</v>
      </c>
      <c r="AE25" s="145" t="n">
        <f aca="false">SUMPRODUCT(Demographics!$C25:$I25,Demographics!$C$43:$I$43,Demographics!$C$46:$I$46)</f>
        <v>0.0947675617697148</v>
      </c>
      <c r="AF25" s="145" t="n">
        <f aca="false">SUMPRODUCT(Demographics!$C25:$I25,Demographics!$C$43:$I$43,Demographics!$C$47:$I$47)</f>
        <v>0.124202194355841</v>
      </c>
      <c r="AG25" s="145" t="n">
        <f aca="false">SUMPRODUCT(Demographics!$C25:$I25,Demographics!$C$43:$I$43,Demographics!$C$48:$I$48)</f>
        <v>0.0547424390313889</v>
      </c>
      <c r="AH25" s="145" t="n">
        <f aca="false">SUMPRODUCT(Demographics!$C25:$I25,Demographics!$C$43:$I$43,Demographics!$C$49:$I$49)</f>
        <v>0</v>
      </c>
      <c r="AI25" s="145" t="n">
        <f aca="false">SUM(AC25:AH25)</f>
        <v>0.608895828511053</v>
      </c>
      <c r="AJ25" s="145" t="n">
        <f aca="false">$D$3*C25+$F$3*I25+$H$3*O25</f>
        <v>0.260402076239044</v>
      </c>
      <c r="AK25" s="145" t="n">
        <f aca="false">$D$3*D25+$F$3*J25+$H$3*P25</f>
        <v>0.303734930318359</v>
      </c>
      <c r="AL25" s="145" t="n">
        <f aca="false">$D$3*E25+$F$3*K25+$H$3*Q25</f>
        <v>0.145709640806376</v>
      </c>
      <c r="AM25" s="145" t="n">
        <f aca="false">$D$3*F25+$F$3*L25+$H$3*R25</f>
        <v>0.201315091637009</v>
      </c>
      <c r="AN25" s="145" t="n">
        <f aca="false">$D$3*G25+$F$3*M25+$H$3*S25</f>
        <v>0.0888382609992118</v>
      </c>
      <c r="AO25" s="145" t="n">
        <f aca="false">$D$3*H25+$F$3*N25+$H$3*T25</f>
        <v>0</v>
      </c>
      <c r="AP25" s="145" t="n">
        <f aca="false">SUM(AJ25:AO25)</f>
        <v>1</v>
      </c>
      <c r="AR25" s="145" t="n">
        <f aca="false">IF(U25&lt;0.000000001,0,MAX(0.0002,U25+Incumbency!C$20*Incumbency!$C$6+'Tactical &amp; Candidate'!C$12/100))</f>
        <v>0.260402076239044</v>
      </c>
      <c r="AS25" s="145" t="n">
        <f aca="false">IF(V25&lt;0.000000001,0,MAX(0.0002,V25+Incumbency!D$20*Incumbency!$C$6+'Tactical &amp; Candidate'!D$12/100))</f>
        <v>0.327734930318359</v>
      </c>
      <c r="AT25" s="145" t="n">
        <f aca="false">IF(W25&lt;0.000000001,0,MAX(0.0002,W25+Incumbency!E$20*Incumbency!$C$6+'Tactical &amp; Candidate'!E$12/100))</f>
        <v>0.145709640806376</v>
      </c>
      <c r="AU25" s="145" t="n">
        <f aca="false">IF(X25&lt;0.000000001,0,MAX(0.0002,X25+Incumbency!F$20*Incumbency!$C$6+'Tactical &amp; Candidate'!F$12/100))</f>
        <v>0.201315091637009</v>
      </c>
      <c r="AV25" s="145" t="n">
        <f aca="false">IF(Y25&lt;0.000000001,0,MAX(0.0002,Y25+Incumbency!G$20*Incumbency!$C$6+'Tactical &amp; Candidate'!G$12/100))</f>
        <v>0.0888382609992118</v>
      </c>
      <c r="AW25" s="145" t="n">
        <f aca="false">IF(Z25&lt;0.000000001,0,MAX(0.0002,Z25+Incumbency!H$20*Incumbency!$C$6+'Tactical &amp; Candidate'!H$12/100))</f>
        <v>0</v>
      </c>
      <c r="AX25" s="145" t="n">
        <f aca="false">SUM(AR25:AW25)</f>
        <v>1.024</v>
      </c>
      <c r="AY25" s="145" t="n">
        <f aca="false">AR25/$AX25</f>
        <v>0.254298902577192</v>
      </c>
      <c r="AZ25" s="145" t="n">
        <f aca="false">AS25/$AX25</f>
        <v>0.320053642889023</v>
      </c>
      <c r="BA25" s="145" t="n">
        <f aca="false">AT25/$AX25</f>
        <v>0.142294571099976</v>
      </c>
      <c r="BB25" s="145" t="n">
        <f aca="false">AU25/$AX25</f>
        <v>0.196596769176766</v>
      </c>
      <c r="BC25" s="145" t="n">
        <f aca="false">AV25/$AX25</f>
        <v>0.0867561142570428</v>
      </c>
      <c r="BD25" s="145" t="n">
        <f aca="false">AW25/$AX25</f>
        <v>0</v>
      </c>
      <c r="BF25" s="145" t="n">
        <f aca="false">AY25*(1-'Tactical &amp; Candidate'!C$8)</f>
        <v>0.254298902577192</v>
      </c>
      <c r="BG25" s="145" t="n">
        <f aca="false">AZ25*(1-'Tactical &amp; Candidate'!D$8)</f>
        <v>0.320053642889023</v>
      </c>
      <c r="BH25" s="145" t="n">
        <f aca="false">BA25*(1-'Tactical &amp; Candidate'!E$8)</f>
        <v>0.142294571099976</v>
      </c>
      <c r="BI25" s="145" t="n">
        <f aca="false">BB25*(1-'Tactical &amp; Candidate'!F$8)</f>
        <v>0.196596769176766</v>
      </c>
      <c r="BJ25" s="145" t="n">
        <f aca="false">BC25*(1-'Tactical &amp; Candidate'!G$8)</f>
        <v>0.0867561142570428</v>
      </c>
      <c r="BK25" s="145" t="n">
        <f aca="false">BD25*(1-'Tactical &amp; Candidate'!H$8)</f>
        <v>0</v>
      </c>
      <c r="BL25" s="145" t="n">
        <f aca="false">LARGE(AY25:BD25,2)</f>
        <v>0.254298902577192</v>
      </c>
      <c r="BM25" s="145" t="n">
        <f aca="false">SUMPRODUCT((AY25:BD25&lt;$BL25)*AY25:BD25)*'Tactical &amp; Candidate'!$C$6</f>
        <v>0</v>
      </c>
      <c r="BN25" s="145" t="n">
        <f aca="false">MAX(BF25:BK25)</f>
        <v>0.320053642889023</v>
      </c>
      <c r="BO25" s="146" t="n">
        <f aca="false">SUMPRODUCT((BF25:BK25=$BN25)*1)</f>
        <v>1</v>
      </c>
      <c r="BQ25" s="145" t="n">
        <f aca="false">AY25*(1-'Tactical &amp; Candidate'!$C$6*(AY25&lt;$BL25))+IF(BF25=$BN25,$BM25/$BO25,0)</f>
        <v>0.254298902577192</v>
      </c>
      <c r="BR25" s="145" t="n">
        <f aca="false">AZ25*(1-'Tactical &amp; Candidate'!$C$6*(AZ25&lt;$BL25))+IF(BG25=$BN25,$BM25/$BO25,0)</f>
        <v>0.320053642889023</v>
      </c>
      <c r="BS25" s="145" t="n">
        <f aca="false">BA25*(1-'Tactical &amp; Candidate'!$C$6*(BA25&lt;$BL25))+IF(BH25=$BN25,$BM25/$BO25,0)</f>
        <v>0.142294571099976</v>
      </c>
      <c r="BT25" s="145" t="n">
        <f aca="false">BB25*(1-'Tactical &amp; Candidate'!$C$6*(BB25&lt;$BL25))+IF(BI25=$BN25,$BM25/$BO25,0)</f>
        <v>0.196596769176766</v>
      </c>
      <c r="BU25" s="145" t="n">
        <f aca="false">BC25*(1-'Tactical &amp; Candidate'!$C$6*(BC25&lt;$BL25))+IF(BJ25=$BN25,$BM25/$BO25,0)</f>
        <v>0.0867561142570428</v>
      </c>
      <c r="BV25" s="145" t="n">
        <f aca="false">BD25*(1-'Tactical &amp; Candidate'!$C$6*(BD25&lt;$BL25))+IF(BK25=$BN25,$BM25/$BO25,0)</f>
        <v>0</v>
      </c>
      <c r="BW25" s="145" t="n">
        <f aca="false">SUM(BQ25:BV25)</f>
        <v>1</v>
      </c>
      <c r="BX25" s="145" t="n">
        <f aca="false">BQ25/$BW25</f>
        <v>0.254298902577192</v>
      </c>
      <c r="BY25" s="145" t="n">
        <f aca="false">BR25/$BW25</f>
        <v>0.320053642889023</v>
      </c>
      <c r="BZ25" s="145" t="n">
        <f aca="false">BS25/$BW25</f>
        <v>0.142294571099976</v>
      </c>
      <c r="CA25" s="145" t="n">
        <f aca="false">BT25/$BW25</f>
        <v>0.196596769176766</v>
      </c>
      <c r="CB25" s="145" t="n">
        <f aca="false">BU25/$BW25</f>
        <v>0.0867561142570428</v>
      </c>
      <c r="CC25" s="145" t="n">
        <f aca="false">BV25/$BW25</f>
        <v>0</v>
      </c>
    </row>
    <row r="26" customFormat="false" ht="15" hidden="false" customHeight="false" outlineLevel="0" collapsed="false">
      <c r="B26" s="22" t="s">
        <v>68</v>
      </c>
      <c r="C26" s="147" t="n">
        <f aca="false">AC26/$AI26</f>
        <v>0.216364738625091</v>
      </c>
      <c r="D26" s="148" t="n">
        <f aca="false">AD26/$AI26</f>
        <v>0.333137604439038</v>
      </c>
      <c r="E26" s="149" t="n">
        <f aca="false">AE26/$AI26</f>
        <v>0.151386847681895</v>
      </c>
      <c r="F26" s="150" t="n">
        <f aca="false">AF26/$AI26</f>
        <v>0.209011277866801</v>
      </c>
      <c r="G26" s="151" t="n">
        <f aca="false">AG26/$AI26</f>
        <v>0.0900995313871742</v>
      </c>
      <c r="H26" s="152" t="n">
        <f aca="false">AH26/$AI26</f>
        <v>0</v>
      </c>
      <c r="I26" s="147" t="n">
        <f aca="false">$L$3*'Voting History'!C26+$M$3*'Voting History'!I26+$N$3*'Voting History'!O26</f>
        <v>0.388919892755606</v>
      </c>
      <c r="J26" s="148" t="n">
        <f aca="false">$L$3*'Voting History'!D26+$M$3*'Voting History'!J26+$N$3*'Voting History'!P26</f>
        <v>0.180329479163513</v>
      </c>
      <c r="K26" s="149" t="n">
        <f aca="false">$L$3*'Voting History'!E26+$M$3*'Voting History'!K26+$N$3*'Voting History'!Q26</f>
        <v>0.11580283304821</v>
      </c>
      <c r="L26" s="150" t="n">
        <f aca="false">$L$3*'Voting History'!F26+$M$3*'Voting History'!L26+$N$3*'Voting History'!R26</f>
        <v>0.2233432546202</v>
      </c>
      <c r="M26" s="151" t="n">
        <f aca="false">$L$3*'Voting History'!G26+$M$3*'Voting History'!M26+$N$3*'Voting History'!S26</f>
        <v>0.0916045404124706</v>
      </c>
      <c r="N26" s="152" t="n">
        <f aca="false">$L$3*'Voting History'!H26+$M$3*'Voting History'!N26+$N$3*'Voting History'!T26</f>
        <v>0</v>
      </c>
      <c r="O26" s="147" t="n">
        <f aca="false">Polling!C26</f>
        <v>0.312423582902275</v>
      </c>
      <c r="P26" s="148" t="n">
        <f aca="false">Polling!D26</f>
        <v>0.291639522239302</v>
      </c>
      <c r="Q26" s="149" t="n">
        <f aca="false">Polling!E26</f>
        <v>0.0974493053055718</v>
      </c>
      <c r="R26" s="150" t="n">
        <f aca="false">Polling!F26</f>
        <v>0.222691464607872</v>
      </c>
      <c r="S26" s="151" t="n">
        <f aca="false">Polling!G26</f>
        <v>0.0757961249449793</v>
      </c>
      <c r="T26" s="152" t="n">
        <f aca="false">Polling!H26</f>
        <v>0</v>
      </c>
      <c r="U26" s="153" t="n">
        <f aca="false">AJ26/$AP26</f>
        <v>0.302730007082453</v>
      </c>
      <c r="V26" s="154" t="n">
        <f aca="false">AK26/$AP26</f>
        <v>0.276261436130276</v>
      </c>
      <c r="W26" s="155" t="n">
        <f aca="false">AL26/$AP26</f>
        <v>0.118218949954129</v>
      </c>
      <c r="X26" s="156" t="n">
        <f aca="false">AM26/$AP26</f>
        <v>0.218750356088633</v>
      </c>
      <c r="Y26" s="157" t="n">
        <f aca="false">AN26/$AP26</f>
        <v>0.0840392507445106</v>
      </c>
      <c r="Z26" s="158" t="n">
        <f aca="false">AO26/$AP26</f>
        <v>0</v>
      </c>
      <c r="AA26" s="66" t="n">
        <f aca="false">SUMPRODUCT(Demographics!$C26:$I26,Demographics!$C$43:$I$43)</f>
        <v>0.627602853526237</v>
      </c>
      <c r="AC26" s="145" t="n">
        <f aca="false">SUMPRODUCT(Demographics!$C26:$I26,Demographics!$C$43:$I$43,Demographics!$C$44:$I$44)</f>
        <v>0.135791127363566</v>
      </c>
      <c r="AD26" s="145" t="n">
        <f aca="false">SUMPRODUCT(Demographics!$C26:$I26,Demographics!$C$43:$I$43,Demographics!$C$45:$I$45)</f>
        <v>0.209078111162835</v>
      </c>
      <c r="AE26" s="145" t="n">
        <f aca="false">SUMPRODUCT(Demographics!$C26:$I26,Demographics!$C$43:$I$43,Demographics!$C$46:$I$46)</f>
        <v>0.0950108175914994</v>
      </c>
      <c r="AF26" s="145" t="n">
        <f aca="false">SUMPRODUCT(Demographics!$C26:$I26,Demographics!$C$43:$I$43,Demographics!$C$47:$I$47)</f>
        <v>0.13117607440837</v>
      </c>
      <c r="AG26" s="145" t="n">
        <f aca="false">SUMPRODUCT(Demographics!$C26:$I26,Demographics!$C$43:$I$43,Demographics!$C$48:$I$48)</f>
        <v>0.0565467229999673</v>
      </c>
      <c r="AH26" s="145" t="n">
        <f aca="false">SUMPRODUCT(Demographics!$C26:$I26,Demographics!$C$43:$I$43,Demographics!$C$49:$I$49)</f>
        <v>0</v>
      </c>
      <c r="AI26" s="145" t="n">
        <f aca="false">SUM(AC26:AH26)</f>
        <v>0.627602853526237</v>
      </c>
      <c r="AJ26" s="145" t="n">
        <f aca="false">$D$3*C26+$F$3*I26+$H$3*O26</f>
        <v>0.302730007082453</v>
      </c>
      <c r="AK26" s="145" t="n">
        <f aca="false">$D$3*D26+$F$3*J26+$H$3*P26</f>
        <v>0.276261436130276</v>
      </c>
      <c r="AL26" s="145" t="n">
        <f aca="false">$D$3*E26+$F$3*K26+$H$3*Q26</f>
        <v>0.118218949954129</v>
      </c>
      <c r="AM26" s="145" t="n">
        <f aca="false">$D$3*F26+$F$3*L26+$H$3*R26</f>
        <v>0.218750356088633</v>
      </c>
      <c r="AN26" s="145" t="n">
        <f aca="false">$D$3*G26+$F$3*M26+$H$3*S26</f>
        <v>0.0840392507445106</v>
      </c>
      <c r="AO26" s="145" t="n">
        <f aca="false">$D$3*H26+$F$3*N26+$H$3*T26</f>
        <v>0</v>
      </c>
      <c r="AP26" s="145" t="n">
        <f aca="false">SUM(AJ26:AO26)</f>
        <v>1</v>
      </c>
      <c r="AR26" s="145" t="n">
        <f aca="false">IF(U26&lt;0.000000001,0,MAX(0.0002,U26+Incumbency!C$20*Incumbency!$C$6+'Tactical &amp; Candidate'!C$12/100))</f>
        <v>0.302730007082453</v>
      </c>
      <c r="AS26" s="145" t="n">
        <f aca="false">IF(V26&lt;0.000000001,0,MAX(0.0002,V26+Incumbency!D$20*Incumbency!$C$6+'Tactical &amp; Candidate'!D$12/100))</f>
        <v>0.300261436130276</v>
      </c>
      <c r="AT26" s="145" t="n">
        <f aca="false">IF(W26&lt;0.000000001,0,MAX(0.0002,W26+Incumbency!E$20*Incumbency!$C$6+'Tactical &amp; Candidate'!E$12/100))</f>
        <v>0.118218949954129</v>
      </c>
      <c r="AU26" s="145" t="n">
        <f aca="false">IF(X26&lt;0.000000001,0,MAX(0.0002,X26+Incumbency!F$20*Incumbency!$C$6+'Tactical &amp; Candidate'!F$12/100))</f>
        <v>0.218750356088633</v>
      </c>
      <c r="AV26" s="145" t="n">
        <f aca="false">IF(Y26&lt;0.000000001,0,MAX(0.0002,Y26+Incumbency!G$20*Incumbency!$C$6+'Tactical &amp; Candidate'!G$12/100))</f>
        <v>0.0840392507445106</v>
      </c>
      <c r="AW26" s="145" t="n">
        <f aca="false">IF(Z26&lt;0.000000001,0,MAX(0.0002,Z26+Incumbency!H$20*Incumbency!$C$6+'Tactical &amp; Candidate'!H$12/100))</f>
        <v>0</v>
      </c>
      <c r="AX26" s="145" t="n">
        <f aca="false">SUM(AR26:AW26)</f>
        <v>1.024</v>
      </c>
      <c r="AY26" s="145" t="n">
        <f aca="false">AR26/$AX26</f>
        <v>0.295634772541458</v>
      </c>
      <c r="AZ26" s="145" t="n">
        <f aca="false">AS26/$AX26</f>
        <v>0.293224058720972</v>
      </c>
      <c r="BA26" s="145" t="n">
        <f aca="false">AT26/$AX26</f>
        <v>0.115448193314579</v>
      </c>
      <c r="BB26" s="145" t="n">
        <f aca="false">AU26/$AX26</f>
        <v>0.213623394617805</v>
      </c>
      <c r="BC26" s="145" t="n">
        <f aca="false">AV26/$AX26</f>
        <v>0.0820695808051861</v>
      </c>
      <c r="BD26" s="145" t="n">
        <f aca="false">AW26/$AX26</f>
        <v>0</v>
      </c>
      <c r="BF26" s="145" t="n">
        <f aca="false">AY26*(1-'Tactical &amp; Candidate'!C$8)</f>
        <v>0.295634772541458</v>
      </c>
      <c r="BG26" s="145" t="n">
        <f aca="false">AZ26*(1-'Tactical &amp; Candidate'!D$8)</f>
        <v>0.293224058720972</v>
      </c>
      <c r="BH26" s="145" t="n">
        <f aca="false">BA26*(1-'Tactical &amp; Candidate'!E$8)</f>
        <v>0.115448193314579</v>
      </c>
      <c r="BI26" s="145" t="n">
        <f aca="false">BB26*(1-'Tactical &amp; Candidate'!F$8)</f>
        <v>0.213623394617805</v>
      </c>
      <c r="BJ26" s="145" t="n">
        <f aca="false">BC26*(1-'Tactical &amp; Candidate'!G$8)</f>
        <v>0.0820695808051861</v>
      </c>
      <c r="BK26" s="145" t="n">
        <f aca="false">BD26*(1-'Tactical &amp; Candidate'!H$8)</f>
        <v>0</v>
      </c>
      <c r="BL26" s="145" t="n">
        <f aca="false">LARGE(AY26:BD26,2)</f>
        <v>0.293224058720972</v>
      </c>
      <c r="BM26" s="145" t="n">
        <f aca="false">SUMPRODUCT((AY26:BD26&lt;$BL26)*AY26:BD26)*'Tactical &amp; Candidate'!$C$6</f>
        <v>0</v>
      </c>
      <c r="BN26" s="145" t="n">
        <f aca="false">MAX(BF26:BK26)</f>
        <v>0.295634772541458</v>
      </c>
      <c r="BO26" s="146" t="n">
        <f aca="false">SUMPRODUCT((BF26:BK26=$BN26)*1)</f>
        <v>1</v>
      </c>
      <c r="BQ26" s="145" t="n">
        <f aca="false">AY26*(1-'Tactical &amp; Candidate'!$C$6*(AY26&lt;$BL26))+IF(BF26=$BN26,$BM26/$BO26,0)</f>
        <v>0.295634772541458</v>
      </c>
      <c r="BR26" s="145" t="n">
        <f aca="false">AZ26*(1-'Tactical &amp; Candidate'!$C$6*(AZ26&lt;$BL26))+IF(BG26=$BN26,$BM26/$BO26,0)</f>
        <v>0.293224058720972</v>
      </c>
      <c r="BS26" s="145" t="n">
        <f aca="false">BA26*(1-'Tactical &amp; Candidate'!$C$6*(BA26&lt;$BL26))+IF(BH26=$BN26,$BM26/$BO26,0)</f>
        <v>0.115448193314579</v>
      </c>
      <c r="BT26" s="145" t="n">
        <f aca="false">BB26*(1-'Tactical &amp; Candidate'!$C$6*(BB26&lt;$BL26))+IF(BI26=$BN26,$BM26/$BO26,0)</f>
        <v>0.213623394617805</v>
      </c>
      <c r="BU26" s="145" t="n">
        <f aca="false">BC26*(1-'Tactical &amp; Candidate'!$C$6*(BC26&lt;$BL26))+IF(BJ26=$BN26,$BM26/$BO26,0)</f>
        <v>0.0820695808051861</v>
      </c>
      <c r="BV26" s="145" t="n">
        <f aca="false">BD26*(1-'Tactical &amp; Candidate'!$C$6*(BD26&lt;$BL26))+IF(BK26=$BN26,$BM26/$BO26,0)</f>
        <v>0</v>
      </c>
      <c r="BW26" s="145" t="n">
        <f aca="false">SUM(BQ26:BV26)</f>
        <v>1</v>
      </c>
      <c r="BX26" s="145" t="n">
        <f aca="false">BQ26/$BW26</f>
        <v>0.295634772541458</v>
      </c>
      <c r="BY26" s="145" t="n">
        <f aca="false">BR26/$BW26</f>
        <v>0.293224058720972</v>
      </c>
      <c r="BZ26" s="145" t="n">
        <f aca="false">BS26/$BW26</f>
        <v>0.115448193314579</v>
      </c>
      <c r="CA26" s="145" t="n">
        <f aca="false">BT26/$BW26</f>
        <v>0.213623394617805</v>
      </c>
      <c r="CB26" s="145" t="n">
        <f aca="false">BU26/$BW26</f>
        <v>0.0820695808051861</v>
      </c>
      <c r="CC26" s="145" t="n">
        <f aca="false">BV26/$BW26</f>
        <v>0</v>
      </c>
    </row>
    <row r="27" customFormat="false" ht="15" hidden="false" customHeight="false" outlineLevel="0" collapsed="false">
      <c r="B27" s="9" t="s">
        <v>69</v>
      </c>
      <c r="C27" s="134" t="n">
        <f aca="false">AC27/$AI27</f>
        <v>0.199017304724282</v>
      </c>
      <c r="D27" s="135" t="n">
        <f aca="false">AD27/$AI27</f>
        <v>0.381910795006596</v>
      </c>
      <c r="E27" s="136" t="n">
        <f aca="false">AE27/$AI27</f>
        <v>0.15422450751548</v>
      </c>
      <c r="F27" s="132" t="n">
        <f aca="false">AF27/$AI27</f>
        <v>0.181033012699818</v>
      </c>
      <c r="G27" s="137" t="n">
        <f aca="false">AG27/$AI27</f>
        <v>0.0838143800538246</v>
      </c>
      <c r="H27" s="138" t="n">
        <f aca="false">AH27/$AI27</f>
        <v>0</v>
      </c>
      <c r="I27" s="134" t="n">
        <f aca="false">$L$3*'Voting History'!C27+$M$3*'Voting History'!I27+$N$3*'Voting History'!O27</f>
        <v>0.397492619015935</v>
      </c>
      <c r="J27" s="135" t="n">
        <f aca="false">$L$3*'Voting History'!D27+$M$3*'Voting History'!J27+$N$3*'Voting History'!P27</f>
        <v>0.182195501513036</v>
      </c>
      <c r="K27" s="136" t="n">
        <f aca="false">$L$3*'Voting History'!E27+$M$3*'Voting History'!K27+$N$3*'Voting History'!Q27</f>
        <v>0.118158290609623</v>
      </c>
      <c r="L27" s="132" t="n">
        <f aca="false">$L$3*'Voting History'!F27+$M$3*'Voting History'!L27+$N$3*'Voting History'!R27</f>
        <v>0.212865815655391</v>
      </c>
      <c r="M27" s="137" t="n">
        <f aca="false">$L$3*'Voting History'!G27+$M$3*'Voting History'!M27+$N$3*'Voting History'!S27</f>
        <v>0.0892877732060144</v>
      </c>
      <c r="N27" s="138" t="n">
        <f aca="false">$L$3*'Voting History'!H27+$M$3*'Voting History'!N27+$N$3*'Voting History'!T27</f>
        <v>0</v>
      </c>
      <c r="O27" s="134" t="n">
        <f aca="false">Polling!C27</f>
        <v>0.308775334391831</v>
      </c>
      <c r="P27" s="135" t="n">
        <f aca="false">Polling!D27</f>
        <v>0.292390118805651</v>
      </c>
      <c r="Q27" s="136" t="n">
        <f aca="false">Polling!E27</f>
        <v>0.0979031006087148</v>
      </c>
      <c r="R27" s="132" t="n">
        <f aca="false">Polling!F27</f>
        <v>0.23415991966659</v>
      </c>
      <c r="S27" s="137" t="n">
        <f aca="false">Polling!G27</f>
        <v>0.0667715265272129</v>
      </c>
      <c r="T27" s="138" t="n">
        <f aca="false">Polling!H27</f>
        <v>0</v>
      </c>
      <c r="U27" s="139" t="n">
        <f aca="false">AJ27/$AP27</f>
        <v>0.298027246647592</v>
      </c>
      <c r="V27" s="140" t="n">
        <f aca="false">AK27/$AP27</f>
        <v>0.291697667342781</v>
      </c>
      <c r="W27" s="141" t="n">
        <f aca="false">AL27/$AP27</f>
        <v>0.119863320180972</v>
      </c>
      <c r="X27" s="142" t="n">
        <f aca="false">AM27/$AP27</f>
        <v>0.212898321573759</v>
      </c>
      <c r="Y27" s="143" t="n">
        <f aca="false">AN27/$AP27</f>
        <v>0.0775134442548968</v>
      </c>
      <c r="Z27" s="144" t="n">
        <f aca="false">AO27/$AP27</f>
        <v>0</v>
      </c>
      <c r="AA27" s="55" t="n">
        <f aca="false">SUMPRODUCT(Demographics!$C27:$I27,Demographics!$C$43:$I$43)</f>
        <v>0.625193400682226</v>
      </c>
      <c r="AC27" s="145" t="n">
        <f aca="false">SUMPRODUCT(Demographics!$C27:$I27,Demographics!$C$43:$I$43,Demographics!$C$44:$I$44)</f>
        <v>0.124424305535184</v>
      </c>
      <c r="AD27" s="145" t="n">
        <f aca="false">SUMPRODUCT(Demographics!$C27:$I27,Demographics!$C$43:$I$43,Demographics!$C$45:$I$45)</f>
        <v>0.238768108687426</v>
      </c>
      <c r="AE27" s="145" t="n">
        <f aca="false">SUMPRODUCT(Demographics!$C27:$I27,Demographics!$C$43:$I$43,Demographics!$C$46:$I$46)</f>
        <v>0.0964201443221446</v>
      </c>
      <c r="AF27" s="145" t="n">
        <f aca="false">SUMPRODUCT(Demographics!$C27:$I27,Demographics!$C$43:$I$43,Demographics!$C$47:$I$47)</f>
        <v>0.113180644845548</v>
      </c>
      <c r="AG27" s="145" t="n">
        <f aca="false">SUMPRODUCT(Demographics!$C27:$I27,Demographics!$C$43:$I$43,Demographics!$C$48:$I$48)</f>
        <v>0.0524001972919231</v>
      </c>
      <c r="AH27" s="145" t="n">
        <f aca="false">SUMPRODUCT(Demographics!$C27:$I27,Demographics!$C$43:$I$43,Demographics!$C$49:$I$49)</f>
        <v>0</v>
      </c>
      <c r="AI27" s="145" t="n">
        <f aca="false">SUM(AC27:AH27)</f>
        <v>0.625193400682226</v>
      </c>
      <c r="AJ27" s="145" t="n">
        <f aca="false">$D$3*C27+$F$3*I27+$H$3*O27</f>
        <v>0.298027246647592</v>
      </c>
      <c r="AK27" s="145" t="n">
        <f aca="false">$D$3*D27+$F$3*J27+$H$3*P27</f>
        <v>0.291697667342781</v>
      </c>
      <c r="AL27" s="145" t="n">
        <f aca="false">$D$3*E27+$F$3*K27+$H$3*Q27</f>
        <v>0.119863320180972</v>
      </c>
      <c r="AM27" s="145" t="n">
        <f aca="false">$D$3*F27+$F$3*L27+$H$3*R27</f>
        <v>0.212898321573759</v>
      </c>
      <c r="AN27" s="145" t="n">
        <f aca="false">$D$3*G27+$F$3*M27+$H$3*S27</f>
        <v>0.0775134442548968</v>
      </c>
      <c r="AO27" s="145" t="n">
        <f aca="false">$D$3*H27+$F$3*N27+$H$3*T27</f>
        <v>0</v>
      </c>
      <c r="AP27" s="145" t="n">
        <f aca="false">SUM(AJ27:AO27)</f>
        <v>1</v>
      </c>
      <c r="AR27" s="145" t="n">
        <f aca="false">IF(U27&lt;0.000000001,0,MAX(0.0002,U27+Incumbency!C$20*Incumbency!$C$6+'Tactical &amp; Candidate'!C$12/100))</f>
        <v>0.298027246647592</v>
      </c>
      <c r="AS27" s="145" t="n">
        <f aca="false">IF(V27&lt;0.000000001,0,MAX(0.0002,V27+Incumbency!D$20*Incumbency!$C$6+'Tactical &amp; Candidate'!D$12/100))</f>
        <v>0.315697667342781</v>
      </c>
      <c r="AT27" s="145" t="n">
        <f aca="false">IF(W27&lt;0.000000001,0,MAX(0.0002,W27+Incumbency!E$20*Incumbency!$C$6+'Tactical &amp; Candidate'!E$12/100))</f>
        <v>0.119863320180972</v>
      </c>
      <c r="AU27" s="145" t="n">
        <f aca="false">IF(X27&lt;0.000000001,0,MAX(0.0002,X27+Incumbency!F$20*Incumbency!$C$6+'Tactical &amp; Candidate'!F$12/100))</f>
        <v>0.212898321573759</v>
      </c>
      <c r="AV27" s="145" t="n">
        <f aca="false">IF(Y27&lt;0.000000001,0,MAX(0.0002,Y27+Incumbency!G$20*Incumbency!$C$6+'Tactical &amp; Candidate'!G$12/100))</f>
        <v>0.0775134442548968</v>
      </c>
      <c r="AW27" s="145" t="n">
        <f aca="false">IF(Z27&lt;0.000000001,0,MAX(0.0002,Z27+Incumbency!H$20*Incumbency!$C$6+'Tactical &amp; Candidate'!H$12/100))</f>
        <v>0</v>
      </c>
      <c r="AX27" s="145" t="n">
        <f aca="false">SUM(AR27:AW27)</f>
        <v>1.024</v>
      </c>
      <c r="AY27" s="145" t="n">
        <f aca="false">AR27/$AX27</f>
        <v>0.291042233054289</v>
      </c>
      <c r="AZ27" s="145" t="n">
        <f aca="false">AS27/$AX27</f>
        <v>0.308298503264434</v>
      </c>
      <c r="BA27" s="145" t="n">
        <f aca="false">AT27/$AX27</f>
        <v>0.11705402361423</v>
      </c>
      <c r="BB27" s="145" t="n">
        <f aca="false">AU27/$AX27</f>
        <v>0.207908517161874</v>
      </c>
      <c r="BC27" s="145" t="n">
        <f aca="false">AV27/$AX27</f>
        <v>0.0756967229051727</v>
      </c>
      <c r="BD27" s="145" t="n">
        <f aca="false">AW27/$AX27</f>
        <v>0</v>
      </c>
      <c r="BF27" s="145" t="n">
        <f aca="false">AY27*(1-'Tactical &amp; Candidate'!C$8)</f>
        <v>0.291042233054289</v>
      </c>
      <c r="BG27" s="145" t="n">
        <f aca="false">AZ27*(1-'Tactical &amp; Candidate'!D$8)</f>
        <v>0.308298503264434</v>
      </c>
      <c r="BH27" s="145" t="n">
        <f aca="false">BA27*(1-'Tactical &amp; Candidate'!E$8)</f>
        <v>0.11705402361423</v>
      </c>
      <c r="BI27" s="145" t="n">
        <f aca="false">BB27*(1-'Tactical &amp; Candidate'!F$8)</f>
        <v>0.207908517161874</v>
      </c>
      <c r="BJ27" s="145" t="n">
        <f aca="false">BC27*(1-'Tactical &amp; Candidate'!G$8)</f>
        <v>0.0756967229051727</v>
      </c>
      <c r="BK27" s="145" t="n">
        <f aca="false">BD27*(1-'Tactical &amp; Candidate'!H$8)</f>
        <v>0</v>
      </c>
      <c r="BL27" s="145" t="n">
        <f aca="false">LARGE(AY27:BD27,2)</f>
        <v>0.291042233054289</v>
      </c>
      <c r="BM27" s="145" t="n">
        <f aca="false">SUMPRODUCT((AY27:BD27&lt;$BL27)*AY27:BD27)*'Tactical &amp; Candidate'!$C$6</f>
        <v>0</v>
      </c>
      <c r="BN27" s="145" t="n">
        <f aca="false">MAX(BF27:BK27)</f>
        <v>0.308298503264434</v>
      </c>
      <c r="BO27" s="146" t="n">
        <f aca="false">SUMPRODUCT((BF27:BK27=$BN27)*1)</f>
        <v>1</v>
      </c>
      <c r="BQ27" s="145" t="n">
        <f aca="false">AY27*(1-'Tactical &amp; Candidate'!$C$6*(AY27&lt;$BL27))+IF(BF27=$BN27,$BM27/$BO27,0)</f>
        <v>0.291042233054289</v>
      </c>
      <c r="BR27" s="145" t="n">
        <f aca="false">AZ27*(1-'Tactical &amp; Candidate'!$C$6*(AZ27&lt;$BL27))+IF(BG27=$BN27,$BM27/$BO27,0)</f>
        <v>0.308298503264434</v>
      </c>
      <c r="BS27" s="145" t="n">
        <f aca="false">BA27*(1-'Tactical &amp; Candidate'!$C$6*(BA27&lt;$BL27))+IF(BH27=$BN27,$BM27/$BO27,0)</f>
        <v>0.11705402361423</v>
      </c>
      <c r="BT27" s="145" t="n">
        <f aca="false">BB27*(1-'Tactical &amp; Candidate'!$C$6*(BB27&lt;$BL27))+IF(BI27=$BN27,$BM27/$BO27,0)</f>
        <v>0.207908517161874</v>
      </c>
      <c r="BU27" s="145" t="n">
        <f aca="false">BC27*(1-'Tactical &amp; Candidate'!$C$6*(BC27&lt;$BL27))+IF(BJ27=$BN27,$BM27/$BO27,0)</f>
        <v>0.0756967229051727</v>
      </c>
      <c r="BV27" s="145" t="n">
        <f aca="false">BD27*(1-'Tactical &amp; Candidate'!$C$6*(BD27&lt;$BL27))+IF(BK27=$BN27,$BM27/$BO27,0)</f>
        <v>0</v>
      </c>
      <c r="BW27" s="145" t="n">
        <f aca="false">SUM(BQ27:BV27)</f>
        <v>1</v>
      </c>
      <c r="BX27" s="145" t="n">
        <f aca="false">BQ27/$BW27</f>
        <v>0.291042233054289</v>
      </c>
      <c r="BY27" s="145" t="n">
        <f aca="false">BR27/$BW27</f>
        <v>0.308298503264434</v>
      </c>
      <c r="BZ27" s="145" t="n">
        <f aca="false">BS27/$BW27</f>
        <v>0.11705402361423</v>
      </c>
      <c r="CA27" s="145" t="n">
        <f aca="false">BT27/$BW27</f>
        <v>0.207908517161874</v>
      </c>
      <c r="CB27" s="145" t="n">
        <f aca="false">BU27/$BW27</f>
        <v>0.0756967229051727</v>
      </c>
      <c r="CC27" s="145" t="n">
        <f aca="false">BV27/$BW27</f>
        <v>0</v>
      </c>
    </row>
    <row r="28" customFormat="false" ht="15" hidden="false" customHeight="false" outlineLevel="0" collapsed="false">
      <c r="B28" s="22" t="s">
        <v>70</v>
      </c>
      <c r="C28" s="147" t="n">
        <f aca="false">AC28/$AI28</f>
        <v>0.235369096263131</v>
      </c>
      <c r="D28" s="148" t="n">
        <f aca="false">AD28/$AI28</f>
        <v>0.278762468497231</v>
      </c>
      <c r="E28" s="149" t="n">
        <f aca="false">AE28/$AI28</f>
        <v>0.177346994874876</v>
      </c>
      <c r="F28" s="150" t="n">
        <f aca="false">AF28/$AI28</f>
        <v>0.211347753316834</v>
      </c>
      <c r="G28" s="151" t="n">
        <f aca="false">AG28/$AI28</f>
        <v>0.0971736870479275</v>
      </c>
      <c r="H28" s="152" t="n">
        <f aca="false">AH28/$AI28</f>
        <v>0</v>
      </c>
      <c r="I28" s="147" t="n">
        <f aca="false">$L$3*'Voting History'!C28+$M$3*'Voting History'!I28+$N$3*'Voting History'!O28</f>
        <v>0.419359051978595</v>
      </c>
      <c r="J28" s="148" t="n">
        <f aca="false">$L$3*'Voting History'!D28+$M$3*'Voting History'!J28+$N$3*'Voting History'!P28</f>
        <v>0.217119883214178</v>
      </c>
      <c r="K28" s="149" t="n">
        <f aca="false">$L$3*'Voting History'!E28+$M$3*'Voting History'!K28+$N$3*'Voting History'!Q28</f>
        <v>0.160507610899683</v>
      </c>
      <c r="L28" s="150" t="n">
        <f aca="false">$L$3*'Voting History'!F28+$M$3*'Voting History'!L28+$N$3*'Voting History'!R28</f>
        <v>0.13477549306558</v>
      </c>
      <c r="M28" s="151" t="n">
        <f aca="false">$L$3*'Voting History'!G28+$M$3*'Voting History'!M28+$N$3*'Voting History'!S28</f>
        <v>0.0682379608419638</v>
      </c>
      <c r="N28" s="152" t="n">
        <f aca="false">$L$3*'Voting History'!H28+$M$3*'Voting History'!N28+$N$3*'Voting History'!T28</f>
        <v>0</v>
      </c>
      <c r="O28" s="147" t="n">
        <f aca="false">Polling!C28</f>
        <v>0.328211761353734</v>
      </c>
      <c r="P28" s="148" t="n">
        <f aca="false">Polling!D28</f>
        <v>0.325370354283574</v>
      </c>
      <c r="Q28" s="149" t="n">
        <f aca="false">Polling!E28</f>
        <v>0.148883466186282</v>
      </c>
      <c r="R28" s="150" t="n">
        <f aca="false">Polling!F28</f>
        <v>0.141980770356471</v>
      </c>
      <c r="S28" s="151" t="n">
        <f aca="false">Polling!G28</f>
        <v>0.0555536478199403</v>
      </c>
      <c r="T28" s="152" t="n">
        <f aca="false">Polling!H28</f>
        <v>0</v>
      </c>
      <c r="U28" s="153" t="n">
        <f aca="false">AJ28/$AP28</f>
        <v>0.323145784482768</v>
      </c>
      <c r="V28" s="154" t="n">
        <f aca="false">AK28/$AP28</f>
        <v>0.284325370780322</v>
      </c>
      <c r="W28" s="155" t="n">
        <f aca="false">AL28/$AP28</f>
        <v>0.16032856097121</v>
      </c>
      <c r="X28" s="156" t="n">
        <f aca="false">AM28/$AP28</f>
        <v>0.160989545921857</v>
      </c>
      <c r="Y28" s="157" t="n">
        <f aca="false">AN28/$AP28</f>
        <v>0.0712107378438424</v>
      </c>
      <c r="Z28" s="158" t="n">
        <f aca="false">AO28/$AP28</f>
        <v>0</v>
      </c>
      <c r="AA28" s="66" t="n">
        <f aca="false">SUMPRODUCT(Demographics!$C28:$I28,Demographics!$C$43:$I$43)</f>
        <v>0.638979821689476</v>
      </c>
      <c r="AC28" s="145" t="n">
        <f aca="false">SUMPRODUCT(Demographics!$C28:$I28,Demographics!$C$43:$I$43,Demographics!$C$44:$I$44)</f>
        <v>0.150396103161429</v>
      </c>
      <c r="AD28" s="145" t="n">
        <f aca="false">SUMPRODUCT(Demographics!$C28:$I28,Demographics!$C$43:$I$43,Demographics!$C$45:$I$45)</f>
        <v>0.178123592414079</v>
      </c>
      <c r="AE28" s="145" t="n">
        <f aca="false">SUMPRODUCT(Demographics!$C28:$I28,Demographics!$C$43:$I$43,Demographics!$C$46:$I$46)</f>
        <v>0.113321151162313</v>
      </c>
      <c r="AF28" s="145" t="n">
        <f aca="false">SUMPRODUCT(Demographics!$C28:$I28,Demographics!$C$43:$I$43,Demographics!$C$47:$I$47)</f>
        <v>0.135046949728862</v>
      </c>
      <c r="AG28" s="145" t="n">
        <f aca="false">SUMPRODUCT(Demographics!$C28:$I28,Demographics!$C$43:$I$43,Demographics!$C$48:$I$48)</f>
        <v>0.0620920252227936</v>
      </c>
      <c r="AH28" s="145" t="n">
        <f aca="false">SUMPRODUCT(Demographics!$C28:$I28,Demographics!$C$43:$I$43,Demographics!$C$49:$I$49)</f>
        <v>0</v>
      </c>
      <c r="AI28" s="145" t="n">
        <f aca="false">SUM(AC28:AH28)</f>
        <v>0.638979821689476</v>
      </c>
      <c r="AJ28" s="145" t="n">
        <f aca="false">$D$3*C28+$F$3*I28+$H$3*O28</f>
        <v>0.323145784482768</v>
      </c>
      <c r="AK28" s="145" t="n">
        <f aca="false">$D$3*D28+$F$3*J28+$H$3*P28</f>
        <v>0.284325370780322</v>
      </c>
      <c r="AL28" s="145" t="n">
        <f aca="false">$D$3*E28+$F$3*K28+$H$3*Q28</f>
        <v>0.16032856097121</v>
      </c>
      <c r="AM28" s="145" t="n">
        <f aca="false">$D$3*F28+$F$3*L28+$H$3*R28</f>
        <v>0.160989545921857</v>
      </c>
      <c r="AN28" s="145" t="n">
        <f aca="false">$D$3*G28+$F$3*M28+$H$3*S28</f>
        <v>0.0712107378438424</v>
      </c>
      <c r="AO28" s="145" t="n">
        <f aca="false">$D$3*H28+$F$3*N28+$H$3*T28</f>
        <v>0</v>
      </c>
      <c r="AP28" s="145" t="n">
        <f aca="false">SUM(AJ28:AO28)</f>
        <v>1</v>
      </c>
      <c r="AR28" s="145" t="n">
        <f aca="false">IF(U28&lt;0.000000001,0,MAX(0.0002,U28+Incumbency!C$20*Incumbency!$C$6+'Tactical &amp; Candidate'!C$12/100))</f>
        <v>0.323145784482768</v>
      </c>
      <c r="AS28" s="145" t="n">
        <f aca="false">IF(V28&lt;0.000000001,0,MAX(0.0002,V28+Incumbency!D$20*Incumbency!$C$6+'Tactical &amp; Candidate'!D$12/100))</f>
        <v>0.308325370780322</v>
      </c>
      <c r="AT28" s="145" t="n">
        <f aca="false">IF(W28&lt;0.000000001,0,MAX(0.0002,W28+Incumbency!E$20*Incumbency!$C$6+'Tactical &amp; Candidate'!E$12/100))</f>
        <v>0.16032856097121</v>
      </c>
      <c r="AU28" s="145" t="n">
        <f aca="false">IF(X28&lt;0.000000001,0,MAX(0.0002,X28+Incumbency!F$20*Incumbency!$C$6+'Tactical &amp; Candidate'!F$12/100))</f>
        <v>0.160989545921857</v>
      </c>
      <c r="AV28" s="145" t="n">
        <f aca="false">IF(Y28&lt;0.000000001,0,MAX(0.0002,Y28+Incumbency!G$20*Incumbency!$C$6+'Tactical &amp; Candidate'!G$12/100))</f>
        <v>0.0712107378438424</v>
      </c>
      <c r="AW28" s="145" t="n">
        <f aca="false">IF(Z28&lt;0.000000001,0,MAX(0.0002,Z28+Incumbency!H$20*Incumbency!$C$6+'Tactical &amp; Candidate'!H$12/100))</f>
        <v>0</v>
      </c>
      <c r="AX28" s="145" t="n">
        <f aca="false">SUM(AR28:AW28)</f>
        <v>1.024</v>
      </c>
      <c r="AY28" s="145" t="n">
        <f aca="false">AR28/$AX28</f>
        <v>0.315572055158953</v>
      </c>
      <c r="AZ28" s="145" t="n">
        <f aca="false">AS28/$AX28</f>
        <v>0.301098994902658</v>
      </c>
      <c r="BA28" s="145" t="n">
        <f aca="false">AT28/$AX28</f>
        <v>0.156570860323448</v>
      </c>
      <c r="BB28" s="145" t="n">
        <f aca="false">AU28/$AX28</f>
        <v>0.157216353439313</v>
      </c>
      <c r="BC28" s="145" t="n">
        <f aca="false">AV28/$AX28</f>
        <v>0.0695417361756273</v>
      </c>
      <c r="BD28" s="145" t="n">
        <f aca="false">AW28/$AX28</f>
        <v>0</v>
      </c>
      <c r="BF28" s="145" t="n">
        <f aca="false">AY28*(1-'Tactical &amp; Candidate'!C$8)</f>
        <v>0.315572055158953</v>
      </c>
      <c r="BG28" s="145" t="n">
        <f aca="false">AZ28*(1-'Tactical &amp; Candidate'!D$8)</f>
        <v>0.301098994902658</v>
      </c>
      <c r="BH28" s="145" t="n">
        <f aca="false">BA28*(1-'Tactical &amp; Candidate'!E$8)</f>
        <v>0.156570860323448</v>
      </c>
      <c r="BI28" s="145" t="n">
        <f aca="false">BB28*(1-'Tactical &amp; Candidate'!F$8)</f>
        <v>0.157216353439313</v>
      </c>
      <c r="BJ28" s="145" t="n">
        <f aca="false">BC28*(1-'Tactical &amp; Candidate'!G$8)</f>
        <v>0.0695417361756273</v>
      </c>
      <c r="BK28" s="145" t="n">
        <f aca="false">BD28*(1-'Tactical &amp; Candidate'!H$8)</f>
        <v>0</v>
      </c>
      <c r="BL28" s="145" t="n">
        <f aca="false">LARGE(AY28:BD28,2)</f>
        <v>0.301098994902658</v>
      </c>
      <c r="BM28" s="145" t="n">
        <f aca="false">SUMPRODUCT((AY28:BD28&lt;$BL28)*AY28:BD28)*'Tactical &amp; Candidate'!$C$6</f>
        <v>0</v>
      </c>
      <c r="BN28" s="145" t="n">
        <f aca="false">MAX(BF28:BK28)</f>
        <v>0.315572055158953</v>
      </c>
      <c r="BO28" s="146" t="n">
        <f aca="false">SUMPRODUCT((BF28:BK28=$BN28)*1)</f>
        <v>1</v>
      </c>
      <c r="BQ28" s="145" t="n">
        <f aca="false">AY28*(1-'Tactical &amp; Candidate'!$C$6*(AY28&lt;$BL28))+IF(BF28=$BN28,$BM28/$BO28,0)</f>
        <v>0.315572055158953</v>
      </c>
      <c r="BR28" s="145" t="n">
        <f aca="false">AZ28*(1-'Tactical &amp; Candidate'!$C$6*(AZ28&lt;$BL28))+IF(BG28=$BN28,$BM28/$BO28,0)</f>
        <v>0.301098994902658</v>
      </c>
      <c r="BS28" s="145" t="n">
        <f aca="false">BA28*(1-'Tactical &amp; Candidate'!$C$6*(BA28&lt;$BL28))+IF(BH28=$BN28,$BM28/$BO28,0)</f>
        <v>0.156570860323448</v>
      </c>
      <c r="BT28" s="145" t="n">
        <f aca="false">BB28*(1-'Tactical &amp; Candidate'!$C$6*(BB28&lt;$BL28))+IF(BI28=$BN28,$BM28/$BO28,0)</f>
        <v>0.157216353439313</v>
      </c>
      <c r="BU28" s="145" t="n">
        <f aca="false">BC28*(1-'Tactical &amp; Candidate'!$C$6*(BC28&lt;$BL28))+IF(BJ28=$BN28,$BM28/$BO28,0)</f>
        <v>0.0695417361756273</v>
      </c>
      <c r="BV28" s="145" t="n">
        <f aca="false">BD28*(1-'Tactical &amp; Candidate'!$C$6*(BD28&lt;$BL28))+IF(BK28=$BN28,$BM28/$BO28,0)</f>
        <v>0</v>
      </c>
      <c r="BW28" s="145" t="n">
        <f aca="false">SUM(BQ28:BV28)</f>
        <v>1</v>
      </c>
      <c r="BX28" s="145" t="n">
        <f aca="false">BQ28/$BW28</f>
        <v>0.315572055158953</v>
      </c>
      <c r="BY28" s="145" t="n">
        <f aca="false">BR28/$BW28</f>
        <v>0.301098994902658</v>
      </c>
      <c r="BZ28" s="145" t="n">
        <f aca="false">BS28/$BW28</f>
        <v>0.156570860323448</v>
      </c>
      <c r="CA28" s="145" t="n">
        <f aca="false">BT28/$BW28</f>
        <v>0.157216353439313</v>
      </c>
      <c r="CB28" s="145" t="n">
        <f aca="false">BU28/$BW28</f>
        <v>0.0695417361756273</v>
      </c>
      <c r="CC28" s="145" t="n">
        <f aca="false">BV28/$BW28</f>
        <v>0</v>
      </c>
    </row>
    <row r="29" customFormat="false" ht="15" hidden="false" customHeight="false" outlineLevel="0" collapsed="false">
      <c r="B29" s="9" t="s">
        <v>71</v>
      </c>
      <c r="C29" s="134" t="n">
        <f aca="false">AC29/$AI29</f>
        <v>0.214677072646756</v>
      </c>
      <c r="D29" s="135" t="n">
        <f aca="false">AD29/$AI29</f>
        <v>0.338846181851422</v>
      </c>
      <c r="E29" s="136" t="n">
        <f aca="false">AE29/$AI29</f>
        <v>0.161701377226644</v>
      </c>
      <c r="F29" s="132" t="n">
        <f aca="false">AF29/$AI29</f>
        <v>0.195480019174814</v>
      </c>
      <c r="G29" s="137" t="n">
        <f aca="false">AG29/$AI29</f>
        <v>0.0892953491003646</v>
      </c>
      <c r="H29" s="138" t="n">
        <f aca="false">AH29/$AI29</f>
        <v>0</v>
      </c>
      <c r="I29" s="134" t="n">
        <f aca="false">$L$3*'Voting History'!C29+$M$3*'Voting History'!I29+$N$3*'Voting History'!O29</f>
        <v>0.329117738596877</v>
      </c>
      <c r="J29" s="135" t="n">
        <f aca="false">$L$3*'Voting History'!D29+$M$3*'Voting History'!J29+$N$3*'Voting History'!P29</f>
        <v>0.216896089327988</v>
      </c>
      <c r="K29" s="136" t="n">
        <f aca="false">$L$3*'Voting History'!E29+$M$3*'Voting History'!K29+$N$3*'Voting History'!Q29</f>
        <v>0.156920770227935</v>
      </c>
      <c r="L29" s="132" t="n">
        <f aca="false">$L$3*'Voting History'!F29+$M$3*'Voting History'!L29+$N$3*'Voting History'!R29</f>
        <v>0.208991591805896</v>
      </c>
      <c r="M29" s="137" t="n">
        <f aca="false">$L$3*'Voting History'!G29+$M$3*'Voting History'!M29+$N$3*'Voting History'!S29</f>
        <v>0.0880738100413039</v>
      </c>
      <c r="N29" s="138" t="n">
        <f aca="false">$L$3*'Voting History'!H29+$M$3*'Voting History'!N29+$N$3*'Voting History'!T29</f>
        <v>0</v>
      </c>
      <c r="O29" s="134" t="n">
        <f aca="false">Polling!C29</f>
        <v>0.249645722461788</v>
      </c>
      <c r="P29" s="135" t="n">
        <f aca="false">Polling!D29</f>
        <v>0.322451681789271</v>
      </c>
      <c r="Q29" s="136" t="n">
        <f aca="false">Polling!E29</f>
        <v>0.139522774206054</v>
      </c>
      <c r="R29" s="132" t="n">
        <f aca="false">Polling!F29</f>
        <v>0.220271077282901</v>
      </c>
      <c r="S29" s="137" t="n">
        <f aca="false">Polling!G29</f>
        <v>0.0681087442599865</v>
      </c>
      <c r="T29" s="138" t="n">
        <f aca="false">Polling!H29</f>
        <v>0</v>
      </c>
      <c r="U29" s="139" t="n">
        <f aca="false">AJ29/$AP29</f>
        <v>0.25902313155105</v>
      </c>
      <c r="V29" s="140" t="n">
        <f aca="false">AK29/$AP29</f>
        <v>0.300981133692595</v>
      </c>
      <c r="W29" s="141" t="n">
        <f aca="false">AL29/$AP29</f>
        <v>0.150525854117701</v>
      </c>
      <c r="X29" s="142" t="n">
        <f aca="false">AM29/$AP29</f>
        <v>0.210013888481224</v>
      </c>
      <c r="Y29" s="143" t="n">
        <f aca="false">AN29/$AP29</f>
        <v>0.0794559921574293</v>
      </c>
      <c r="Z29" s="144" t="n">
        <f aca="false">AO29/$AP29</f>
        <v>0</v>
      </c>
      <c r="AA29" s="55" t="n">
        <f aca="false">SUMPRODUCT(Demographics!$C29:$I29,Demographics!$C$43:$I$43)</f>
        <v>0.6201950401239</v>
      </c>
      <c r="AC29" s="145" t="n">
        <f aca="false">SUMPRODUCT(Demographics!$C29:$I29,Demographics!$C$43:$I$43,Demographics!$C$44:$I$44)</f>
        <v>0.133141655683836</v>
      </c>
      <c r="AD29" s="145" t="n">
        <f aca="false">SUMPRODUCT(Demographics!$C29:$I29,Demographics!$C$43:$I$43,Demographics!$C$45:$I$45)</f>
        <v>0.210150721349173</v>
      </c>
      <c r="AE29" s="145" t="n">
        <f aca="false">SUMPRODUCT(Demographics!$C29:$I29,Demographics!$C$43:$I$43,Demographics!$C$46:$I$46)</f>
        <v>0.100286392137169</v>
      </c>
      <c r="AF29" s="145" t="n">
        <f aca="false">SUMPRODUCT(Demographics!$C29:$I29,Demographics!$C$43:$I$43,Demographics!$C$47:$I$47)</f>
        <v>0.121235738335544</v>
      </c>
      <c r="AG29" s="145" t="n">
        <f aca="false">SUMPRODUCT(Demographics!$C29:$I29,Demographics!$C$43:$I$43,Demographics!$C$48:$I$48)</f>
        <v>0.0553805326181783</v>
      </c>
      <c r="AH29" s="145" t="n">
        <f aca="false">SUMPRODUCT(Demographics!$C29:$I29,Demographics!$C$43:$I$43,Demographics!$C$49:$I$49)</f>
        <v>0</v>
      </c>
      <c r="AI29" s="145" t="n">
        <f aca="false">SUM(AC29:AH29)</f>
        <v>0.6201950401239</v>
      </c>
      <c r="AJ29" s="145" t="n">
        <f aca="false">$D$3*C29+$F$3*I29+$H$3*O29</f>
        <v>0.25902313155105</v>
      </c>
      <c r="AK29" s="145" t="n">
        <f aca="false">$D$3*D29+$F$3*J29+$H$3*P29</f>
        <v>0.300981133692595</v>
      </c>
      <c r="AL29" s="145" t="n">
        <f aca="false">$D$3*E29+$F$3*K29+$H$3*Q29</f>
        <v>0.150525854117701</v>
      </c>
      <c r="AM29" s="145" t="n">
        <f aca="false">$D$3*F29+$F$3*L29+$H$3*R29</f>
        <v>0.210013888481224</v>
      </c>
      <c r="AN29" s="145" t="n">
        <f aca="false">$D$3*G29+$F$3*M29+$H$3*S29</f>
        <v>0.0794559921574293</v>
      </c>
      <c r="AO29" s="145" t="n">
        <f aca="false">$D$3*H29+$F$3*N29+$H$3*T29</f>
        <v>0</v>
      </c>
      <c r="AP29" s="145" t="n">
        <f aca="false">SUM(AJ29:AO29)</f>
        <v>1</v>
      </c>
      <c r="AR29" s="145" t="n">
        <f aca="false">IF(U29&lt;0.000000001,0,MAX(0.0002,U29+Incumbency!C$20*Incumbency!$C$6+'Tactical &amp; Candidate'!C$12/100))</f>
        <v>0.25902313155105</v>
      </c>
      <c r="AS29" s="145" t="n">
        <f aca="false">IF(V29&lt;0.000000001,0,MAX(0.0002,V29+Incumbency!D$20*Incumbency!$C$6+'Tactical &amp; Candidate'!D$12/100))</f>
        <v>0.324981133692595</v>
      </c>
      <c r="AT29" s="145" t="n">
        <f aca="false">IF(W29&lt;0.000000001,0,MAX(0.0002,W29+Incumbency!E$20*Incumbency!$C$6+'Tactical &amp; Candidate'!E$12/100))</f>
        <v>0.150525854117701</v>
      </c>
      <c r="AU29" s="145" t="n">
        <f aca="false">IF(X29&lt;0.000000001,0,MAX(0.0002,X29+Incumbency!F$20*Incumbency!$C$6+'Tactical &amp; Candidate'!F$12/100))</f>
        <v>0.210013888481224</v>
      </c>
      <c r="AV29" s="145" t="n">
        <f aca="false">IF(Y29&lt;0.000000001,0,MAX(0.0002,Y29+Incumbency!G$20*Incumbency!$C$6+'Tactical &amp; Candidate'!G$12/100))</f>
        <v>0.0794559921574293</v>
      </c>
      <c r="AW29" s="145" t="n">
        <f aca="false">IF(Z29&lt;0.000000001,0,MAX(0.0002,Z29+Incumbency!H$20*Incumbency!$C$6+'Tactical &amp; Candidate'!H$12/100))</f>
        <v>0</v>
      </c>
      <c r="AX29" s="145" t="n">
        <f aca="false">SUM(AR29:AW29)</f>
        <v>1.024</v>
      </c>
      <c r="AY29" s="145" t="n">
        <f aca="false">AR29/$AX29</f>
        <v>0.252952276905322</v>
      </c>
      <c r="AZ29" s="145" t="n">
        <f aca="false">AS29/$AX29</f>
        <v>0.317364388371675</v>
      </c>
      <c r="BA29" s="145" t="n">
        <f aca="false">AT29/$AX29</f>
        <v>0.146997904411818</v>
      </c>
      <c r="BB29" s="145" t="n">
        <f aca="false">AU29/$AX29</f>
        <v>0.205091687969945</v>
      </c>
      <c r="BC29" s="145" t="n">
        <f aca="false">AV29/$AX29</f>
        <v>0.0775937423412395</v>
      </c>
      <c r="BD29" s="145" t="n">
        <f aca="false">AW29/$AX29</f>
        <v>0</v>
      </c>
      <c r="BF29" s="145" t="n">
        <f aca="false">AY29*(1-'Tactical &amp; Candidate'!C$8)</f>
        <v>0.252952276905322</v>
      </c>
      <c r="BG29" s="145" t="n">
        <f aca="false">AZ29*(1-'Tactical &amp; Candidate'!D$8)</f>
        <v>0.317364388371675</v>
      </c>
      <c r="BH29" s="145" t="n">
        <f aca="false">BA29*(1-'Tactical &amp; Candidate'!E$8)</f>
        <v>0.146997904411818</v>
      </c>
      <c r="BI29" s="145" t="n">
        <f aca="false">BB29*(1-'Tactical &amp; Candidate'!F$8)</f>
        <v>0.205091687969945</v>
      </c>
      <c r="BJ29" s="145" t="n">
        <f aca="false">BC29*(1-'Tactical &amp; Candidate'!G$8)</f>
        <v>0.0775937423412395</v>
      </c>
      <c r="BK29" s="145" t="n">
        <f aca="false">BD29*(1-'Tactical &amp; Candidate'!H$8)</f>
        <v>0</v>
      </c>
      <c r="BL29" s="145" t="n">
        <f aca="false">LARGE(AY29:BD29,2)</f>
        <v>0.252952276905322</v>
      </c>
      <c r="BM29" s="145" t="n">
        <f aca="false">SUMPRODUCT((AY29:BD29&lt;$BL29)*AY29:BD29)*'Tactical &amp; Candidate'!$C$6</f>
        <v>0</v>
      </c>
      <c r="BN29" s="145" t="n">
        <f aca="false">MAX(BF29:BK29)</f>
        <v>0.317364388371675</v>
      </c>
      <c r="BO29" s="146" t="n">
        <f aca="false">SUMPRODUCT((BF29:BK29=$BN29)*1)</f>
        <v>1</v>
      </c>
      <c r="BQ29" s="145" t="n">
        <f aca="false">AY29*(1-'Tactical &amp; Candidate'!$C$6*(AY29&lt;$BL29))+IF(BF29=$BN29,$BM29/$BO29,0)</f>
        <v>0.252952276905322</v>
      </c>
      <c r="BR29" s="145" t="n">
        <f aca="false">AZ29*(1-'Tactical &amp; Candidate'!$C$6*(AZ29&lt;$BL29))+IF(BG29=$BN29,$BM29/$BO29,0)</f>
        <v>0.317364388371675</v>
      </c>
      <c r="BS29" s="145" t="n">
        <f aca="false">BA29*(1-'Tactical &amp; Candidate'!$C$6*(BA29&lt;$BL29))+IF(BH29=$BN29,$BM29/$BO29,0)</f>
        <v>0.146997904411818</v>
      </c>
      <c r="BT29" s="145" t="n">
        <f aca="false">BB29*(1-'Tactical &amp; Candidate'!$C$6*(BB29&lt;$BL29))+IF(BI29=$BN29,$BM29/$BO29,0)</f>
        <v>0.205091687969945</v>
      </c>
      <c r="BU29" s="145" t="n">
        <f aca="false">BC29*(1-'Tactical &amp; Candidate'!$C$6*(BC29&lt;$BL29))+IF(BJ29=$BN29,$BM29/$BO29,0)</f>
        <v>0.0775937423412395</v>
      </c>
      <c r="BV29" s="145" t="n">
        <f aca="false">BD29*(1-'Tactical &amp; Candidate'!$C$6*(BD29&lt;$BL29))+IF(BK29=$BN29,$BM29/$BO29,0)</f>
        <v>0</v>
      </c>
      <c r="BW29" s="145" t="n">
        <f aca="false">SUM(BQ29:BV29)</f>
        <v>1</v>
      </c>
      <c r="BX29" s="145" t="n">
        <f aca="false">BQ29/$BW29</f>
        <v>0.252952276905323</v>
      </c>
      <c r="BY29" s="145" t="n">
        <f aca="false">BR29/$BW29</f>
        <v>0.317364388371675</v>
      </c>
      <c r="BZ29" s="145" t="n">
        <f aca="false">BS29/$BW29</f>
        <v>0.146997904411818</v>
      </c>
      <c r="CA29" s="145" t="n">
        <f aca="false">BT29/$BW29</f>
        <v>0.205091687969945</v>
      </c>
      <c r="CB29" s="145" t="n">
        <f aca="false">BU29/$BW29</f>
        <v>0.0775937423412395</v>
      </c>
      <c r="CC29" s="145" t="n">
        <f aca="false">BV29/$BW29</f>
        <v>0</v>
      </c>
    </row>
    <row r="30" customFormat="false" ht="15" hidden="false" customHeight="false" outlineLevel="0" collapsed="false">
      <c r="B30" s="22" t="s">
        <v>72</v>
      </c>
      <c r="C30" s="147" t="n">
        <f aca="false">AC30/$AI30</f>
        <v>0.219234656219337</v>
      </c>
      <c r="D30" s="148" t="n">
        <f aca="false">AD30/$AI30</f>
        <v>0.323541839431381</v>
      </c>
      <c r="E30" s="149" t="n">
        <f aca="false">AE30/$AI30</f>
        <v>0.17504142880433</v>
      </c>
      <c r="F30" s="150" t="n">
        <f aca="false">AF30/$AI30</f>
        <v>0.190737374675096</v>
      </c>
      <c r="G30" s="151" t="n">
        <f aca="false">AG30/$AI30</f>
        <v>0.0914447008698565</v>
      </c>
      <c r="H30" s="152" t="n">
        <f aca="false">AH30/$AI30</f>
        <v>0</v>
      </c>
      <c r="I30" s="147" t="n">
        <f aca="false">$L$3*'Voting History'!C30+$M$3*'Voting History'!I30+$N$3*'Voting History'!O30</f>
        <v>0.387435803074716</v>
      </c>
      <c r="J30" s="148" t="n">
        <f aca="false">$L$3*'Voting History'!D30+$M$3*'Voting History'!J30+$N$3*'Voting History'!P30</f>
        <v>0.247038495019246</v>
      </c>
      <c r="K30" s="149" t="n">
        <f aca="false">$L$3*'Voting History'!E30+$M$3*'Voting History'!K30+$N$3*'Voting History'!Q30</f>
        <v>0.176370632953165</v>
      </c>
      <c r="L30" s="150" t="n">
        <f aca="false">$L$3*'Voting History'!F30+$M$3*'Voting History'!L30+$N$3*'Voting History'!R30</f>
        <v>0.111355302754547</v>
      </c>
      <c r="M30" s="151" t="n">
        <f aca="false">$L$3*'Voting History'!G30+$M$3*'Voting History'!M30+$N$3*'Voting History'!S30</f>
        <v>0.0777997661983264</v>
      </c>
      <c r="N30" s="152" t="n">
        <f aca="false">$L$3*'Voting History'!H30+$M$3*'Voting History'!N30+$N$3*'Voting History'!T30</f>
        <v>0</v>
      </c>
      <c r="O30" s="147" t="n">
        <f aca="false">Polling!C30</f>
        <v>0.258941391574081</v>
      </c>
      <c r="P30" s="148" t="n">
        <f aca="false">Polling!D30</f>
        <v>0.386798404878215</v>
      </c>
      <c r="Q30" s="149" t="n">
        <f aca="false">Polling!E30</f>
        <v>0.15927637423688</v>
      </c>
      <c r="R30" s="150" t="n">
        <f aca="false">Polling!F30</f>
        <v>0.128298721557072</v>
      </c>
      <c r="S30" s="151" t="n">
        <f aca="false">Polling!G30</f>
        <v>0.0666851077537523</v>
      </c>
      <c r="T30" s="152" t="n">
        <f aca="false">Polling!H30</f>
        <v>0</v>
      </c>
      <c r="U30" s="153" t="n">
        <f aca="false">AJ30/$AP30</f>
        <v>0.279152973842816</v>
      </c>
      <c r="V30" s="154" t="n">
        <f aca="false">AK30/$AP30</f>
        <v>0.332881457779422</v>
      </c>
      <c r="W30" s="155" t="n">
        <f aca="false">AL30/$AP30</f>
        <v>0.168279455286186</v>
      </c>
      <c r="X30" s="156" t="n">
        <f aca="false">AM30/$AP30</f>
        <v>0.142794462791848</v>
      </c>
      <c r="Y30" s="157" t="n">
        <f aca="false">AN30/$AP30</f>
        <v>0.0768916502997271</v>
      </c>
      <c r="Z30" s="158" t="n">
        <f aca="false">AO30/$AP30</f>
        <v>0</v>
      </c>
      <c r="AA30" s="66" t="n">
        <f aca="false">SUMPRODUCT(Demographics!$C30:$I30,Demographics!$C$43:$I$43)</f>
        <v>0.634249200681392</v>
      </c>
      <c r="AC30" s="145" t="n">
        <f aca="false">SUMPRODUCT(Demographics!$C30:$I30,Demographics!$C$43:$I$43,Demographics!$C$44:$I$44)</f>
        <v>0.139049405468774</v>
      </c>
      <c r="AD30" s="145" t="n">
        <f aca="false">SUMPRODUCT(Demographics!$C30:$I30,Demographics!$C$43:$I$43,Demographics!$C$45:$I$45)</f>
        <v>0.205206153046341</v>
      </c>
      <c r="AE30" s="145" t="n">
        <f aca="false">SUMPRODUCT(Demographics!$C30:$I30,Demographics!$C$43:$I$43,Demographics!$C$46:$I$46)</f>
        <v>0.111019886305275</v>
      </c>
      <c r="AF30" s="145" t="n">
        <f aca="false">SUMPRODUCT(Demographics!$C30:$I30,Demographics!$C$43:$I$43,Demographics!$C$47:$I$47)</f>
        <v>0.120975027427747</v>
      </c>
      <c r="AG30" s="145" t="n">
        <f aca="false">SUMPRODUCT(Demographics!$C30:$I30,Demographics!$C$43:$I$43,Demographics!$C$48:$I$48)</f>
        <v>0.0579987284332555</v>
      </c>
      <c r="AH30" s="145" t="n">
        <f aca="false">SUMPRODUCT(Demographics!$C30:$I30,Demographics!$C$43:$I$43,Demographics!$C$49:$I$49)</f>
        <v>0</v>
      </c>
      <c r="AI30" s="145" t="n">
        <f aca="false">SUM(AC30:AH30)</f>
        <v>0.634249200681392</v>
      </c>
      <c r="AJ30" s="145" t="n">
        <f aca="false">$D$3*C30+$F$3*I30+$H$3*O30</f>
        <v>0.279152973842816</v>
      </c>
      <c r="AK30" s="145" t="n">
        <f aca="false">$D$3*D30+$F$3*J30+$H$3*P30</f>
        <v>0.332881457779422</v>
      </c>
      <c r="AL30" s="145" t="n">
        <f aca="false">$D$3*E30+$F$3*K30+$H$3*Q30</f>
        <v>0.168279455286186</v>
      </c>
      <c r="AM30" s="145" t="n">
        <f aca="false">$D$3*F30+$F$3*L30+$H$3*R30</f>
        <v>0.142794462791848</v>
      </c>
      <c r="AN30" s="145" t="n">
        <f aca="false">$D$3*G30+$F$3*M30+$H$3*S30</f>
        <v>0.0768916502997271</v>
      </c>
      <c r="AO30" s="145" t="n">
        <f aca="false">$D$3*H30+$F$3*N30+$H$3*T30</f>
        <v>0</v>
      </c>
      <c r="AP30" s="145" t="n">
        <f aca="false">SUM(AJ30:AO30)</f>
        <v>1</v>
      </c>
      <c r="AR30" s="145" t="n">
        <f aca="false">IF(U30&lt;0.000000001,0,MAX(0.0002,U30+Incumbency!C$20*Incumbency!$C$6+'Tactical &amp; Candidate'!C$12/100))</f>
        <v>0.279152973842816</v>
      </c>
      <c r="AS30" s="145" t="n">
        <f aca="false">IF(V30&lt;0.000000001,0,MAX(0.0002,V30+Incumbency!D$20*Incumbency!$C$6+'Tactical &amp; Candidate'!D$12/100))</f>
        <v>0.356881457779422</v>
      </c>
      <c r="AT30" s="145" t="n">
        <f aca="false">IF(W30&lt;0.000000001,0,MAX(0.0002,W30+Incumbency!E$20*Incumbency!$C$6+'Tactical &amp; Candidate'!E$12/100))</f>
        <v>0.168279455286186</v>
      </c>
      <c r="AU30" s="145" t="n">
        <f aca="false">IF(X30&lt;0.000000001,0,MAX(0.0002,X30+Incumbency!F$20*Incumbency!$C$6+'Tactical &amp; Candidate'!F$12/100))</f>
        <v>0.142794462791848</v>
      </c>
      <c r="AV30" s="145" t="n">
        <f aca="false">IF(Y30&lt;0.000000001,0,MAX(0.0002,Y30+Incumbency!G$20*Incumbency!$C$6+'Tactical &amp; Candidate'!G$12/100))</f>
        <v>0.0768916502997271</v>
      </c>
      <c r="AW30" s="145" t="n">
        <f aca="false">IF(Z30&lt;0.000000001,0,MAX(0.0002,Z30+Incumbency!H$20*Incumbency!$C$6+'Tactical &amp; Candidate'!H$12/100))</f>
        <v>0</v>
      </c>
      <c r="AX30" s="145" t="n">
        <f aca="false">SUM(AR30:AW30)</f>
        <v>1.024</v>
      </c>
      <c r="AY30" s="145" t="n">
        <f aca="false">AR30/$AX30</f>
        <v>0.272610326018375</v>
      </c>
      <c r="AZ30" s="145" t="n">
        <f aca="false">AS30/$AX30</f>
        <v>0.348517048612717</v>
      </c>
      <c r="BA30" s="145" t="n">
        <f aca="false">AT30/$AX30</f>
        <v>0.164335405552916</v>
      </c>
      <c r="BB30" s="145" t="n">
        <f aca="false">AU30/$AX30</f>
        <v>0.139447717570164</v>
      </c>
      <c r="BC30" s="145" t="n">
        <f aca="false">AV30/$AX30</f>
        <v>0.0750895022458272</v>
      </c>
      <c r="BD30" s="145" t="n">
        <f aca="false">AW30/$AX30</f>
        <v>0</v>
      </c>
      <c r="BF30" s="145" t="n">
        <f aca="false">AY30*(1-'Tactical &amp; Candidate'!C$8)</f>
        <v>0.272610326018375</v>
      </c>
      <c r="BG30" s="145" t="n">
        <f aca="false">AZ30*(1-'Tactical &amp; Candidate'!D$8)</f>
        <v>0.348517048612717</v>
      </c>
      <c r="BH30" s="145" t="n">
        <f aca="false">BA30*(1-'Tactical &amp; Candidate'!E$8)</f>
        <v>0.164335405552916</v>
      </c>
      <c r="BI30" s="145" t="n">
        <f aca="false">BB30*(1-'Tactical &amp; Candidate'!F$8)</f>
        <v>0.139447717570164</v>
      </c>
      <c r="BJ30" s="145" t="n">
        <f aca="false">BC30*(1-'Tactical &amp; Candidate'!G$8)</f>
        <v>0.0750895022458272</v>
      </c>
      <c r="BK30" s="145" t="n">
        <f aca="false">BD30*(1-'Tactical &amp; Candidate'!H$8)</f>
        <v>0</v>
      </c>
      <c r="BL30" s="145" t="n">
        <f aca="false">LARGE(AY30:BD30,2)</f>
        <v>0.272610326018375</v>
      </c>
      <c r="BM30" s="145" t="n">
        <f aca="false">SUMPRODUCT((AY30:BD30&lt;$BL30)*AY30:BD30)*'Tactical &amp; Candidate'!$C$6</f>
        <v>0</v>
      </c>
      <c r="BN30" s="145" t="n">
        <f aca="false">MAX(BF30:BK30)</f>
        <v>0.348517048612717</v>
      </c>
      <c r="BO30" s="146" t="n">
        <f aca="false">SUMPRODUCT((BF30:BK30=$BN30)*1)</f>
        <v>1</v>
      </c>
      <c r="BQ30" s="145" t="n">
        <f aca="false">AY30*(1-'Tactical &amp; Candidate'!$C$6*(AY30&lt;$BL30))+IF(BF30=$BN30,$BM30/$BO30,0)</f>
        <v>0.272610326018375</v>
      </c>
      <c r="BR30" s="145" t="n">
        <f aca="false">AZ30*(1-'Tactical &amp; Candidate'!$C$6*(AZ30&lt;$BL30))+IF(BG30=$BN30,$BM30/$BO30,0)</f>
        <v>0.348517048612717</v>
      </c>
      <c r="BS30" s="145" t="n">
        <f aca="false">BA30*(1-'Tactical &amp; Candidate'!$C$6*(BA30&lt;$BL30))+IF(BH30=$BN30,$BM30/$BO30,0)</f>
        <v>0.164335405552916</v>
      </c>
      <c r="BT30" s="145" t="n">
        <f aca="false">BB30*(1-'Tactical &amp; Candidate'!$C$6*(BB30&lt;$BL30))+IF(BI30=$BN30,$BM30/$BO30,0)</f>
        <v>0.139447717570164</v>
      </c>
      <c r="BU30" s="145" t="n">
        <f aca="false">BC30*(1-'Tactical &amp; Candidate'!$C$6*(BC30&lt;$BL30))+IF(BJ30=$BN30,$BM30/$BO30,0)</f>
        <v>0.0750895022458272</v>
      </c>
      <c r="BV30" s="145" t="n">
        <f aca="false">BD30*(1-'Tactical &amp; Candidate'!$C$6*(BD30&lt;$BL30))+IF(BK30=$BN30,$BM30/$BO30,0)</f>
        <v>0</v>
      </c>
      <c r="BW30" s="145" t="n">
        <f aca="false">SUM(BQ30:BV30)</f>
        <v>1</v>
      </c>
      <c r="BX30" s="145" t="n">
        <f aca="false">BQ30/$BW30</f>
        <v>0.272610326018375</v>
      </c>
      <c r="BY30" s="145" t="n">
        <f aca="false">BR30/$BW30</f>
        <v>0.348517048612717</v>
      </c>
      <c r="BZ30" s="145" t="n">
        <f aca="false">BS30/$BW30</f>
        <v>0.164335405552916</v>
      </c>
      <c r="CA30" s="145" t="n">
        <f aca="false">BT30/$BW30</f>
        <v>0.139447717570164</v>
      </c>
      <c r="CB30" s="145" t="n">
        <f aca="false">BU30/$BW30</f>
        <v>0.0750895022458272</v>
      </c>
      <c r="CC30" s="145" t="n">
        <f aca="false">BV30/$BW30</f>
        <v>0</v>
      </c>
    </row>
    <row r="31" customFormat="false" ht="15" hidden="false" customHeight="false" outlineLevel="0" collapsed="false">
      <c r="B31" s="9" t="s">
        <v>73</v>
      </c>
      <c r="C31" s="134" t="n">
        <f aca="false">AC31/$AI31</f>
        <v>0.228405526997777</v>
      </c>
      <c r="D31" s="135" t="n">
        <f aca="false">AD31/$AI31</f>
        <v>0.296788741279798</v>
      </c>
      <c r="E31" s="136" t="n">
        <f aca="false">AE31/$AI31</f>
        <v>0.143294568999653</v>
      </c>
      <c r="F31" s="132" t="n">
        <f aca="false">AF31/$AI31</f>
        <v>0.236550016378287</v>
      </c>
      <c r="G31" s="137" t="n">
        <f aca="false">AG31/$AI31</f>
        <v>0.0949611463444851</v>
      </c>
      <c r="H31" s="138" t="n">
        <f aca="false">AH31/$AI31</f>
        <v>0</v>
      </c>
      <c r="I31" s="134" t="n">
        <f aca="false">$L$3*'Voting History'!C31+$M$3*'Voting History'!I31+$N$3*'Voting History'!O31</f>
        <v>0.365300579812442</v>
      </c>
      <c r="J31" s="135" t="n">
        <f aca="false">$L$3*'Voting History'!D31+$M$3*'Voting History'!J31+$N$3*'Voting History'!P31</f>
        <v>0.18222079314325</v>
      </c>
      <c r="K31" s="136" t="n">
        <f aca="false">$L$3*'Voting History'!E31+$M$3*'Voting History'!K31+$N$3*'Voting History'!Q31</f>
        <v>0.130727108254206</v>
      </c>
      <c r="L31" s="132" t="n">
        <f aca="false">$L$3*'Voting History'!F31+$M$3*'Voting History'!L31+$N$3*'Voting History'!R31</f>
        <v>0.226381985809341</v>
      </c>
      <c r="M31" s="137" t="n">
        <f aca="false">$L$3*'Voting History'!G31+$M$3*'Voting History'!M31+$N$3*'Voting History'!S31</f>
        <v>0.0953695329807608</v>
      </c>
      <c r="N31" s="138" t="n">
        <f aca="false">$L$3*'Voting History'!H31+$M$3*'Voting History'!N31+$N$3*'Voting History'!T31</f>
        <v>0</v>
      </c>
      <c r="O31" s="134" t="n">
        <f aca="false">Polling!C31</f>
        <v>0.294087285350026</v>
      </c>
      <c r="P31" s="135" t="n">
        <f aca="false">Polling!D31</f>
        <v>0.254301121567508</v>
      </c>
      <c r="Q31" s="136" t="n">
        <f aca="false">Polling!E31</f>
        <v>0.12021488964589</v>
      </c>
      <c r="R31" s="132" t="n">
        <f aca="false">Polling!F31</f>
        <v>0.26110309095403</v>
      </c>
      <c r="S31" s="137" t="n">
        <f aca="false">Polling!G31</f>
        <v>0.0702936124825465</v>
      </c>
      <c r="T31" s="138" t="n">
        <f aca="false">Polling!H31</f>
        <v>0</v>
      </c>
      <c r="U31" s="139" t="n">
        <f aca="false">AJ31/$AP31</f>
        <v>0.292186081459955</v>
      </c>
      <c r="V31" s="140" t="n">
        <f aca="false">AK31/$AP31</f>
        <v>0.249027325375131</v>
      </c>
      <c r="W31" s="141" t="n">
        <f aca="false">AL31/$AP31</f>
        <v>0.129766848104098</v>
      </c>
      <c r="X31" s="142" t="n">
        <f aca="false">AM31/$AP31</f>
        <v>0.245056892295135</v>
      </c>
      <c r="Y31" s="143" t="n">
        <f aca="false">AN31/$AP31</f>
        <v>0.0839628527656817</v>
      </c>
      <c r="Z31" s="144" t="n">
        <f aca="false">AO31/$AP31</f>
        <v>0</v>
      </c>
      <c r="AA31" s="55" t="n">
        <f aca="false">SUMPRODUCT(Demographics!$C31:$I31,Demographics!$C$43:$I$43)</f>
        <v>0.624664825666292</v>
      </c>
      <c r="AC31" s="145" t="n">
        <f aca="false">SUMPRODUCT(Demographics!$C31:$I31,Demographics!$C$43:$I$43,Demographics!$C$44:$I$44)</f>
        <v>0.142676898703284</v>
      </c>
      <c r="AD31" s="145" t="n">
        <f aca="false">SUMPRODUCT(Demographics!$C31:$I31,Demographics!$C$43:$I$43,Demographics!$C$45:$I$45)</f>
        <v>0.185393487331263</v>
      </c>
      <c r="AE31" s="145" t="n">
        <f aca="false">SUMPRODUCT(Demographics!$C31:$I31,Demographics!$C$43:$I$43,Demographics!$C$46:$I$46)</f>
        <v>0.0895110769630946</v>
      </c>
      <c r="AF31" s="145" t="n">
        <f aca="false">SUMPRODUCT(Demographics!$C31:$I31,Demographics!$C$43:$I$43,Demographics!$C$47:$I$47)</f>
        <v>0.147764474742301</v>
      </c>
      <c r="AG31" s="145" t="n">
        <f aca="false">SUMPRODUCT(Demographics!$C31:$I31,Demographics!$C$43:$I$43,Demographics!$C$48:$I$48)</f>
        <v>0.059318887926349</v>
      </c>
      <c r="AH31" s="145" t="n">
        <f aca="false">SUMPRODUCT(Demographics!$C31:$I31,Demographics!$C$43:$I$43,Demographics!$C$49:$I$49)</f>
        <v>0</v>
      </c>
      <c r="AI31" s="145" t="n">
        <f aca="false">SUM(AC31:AH31)</f>
        <v>0.624664825666292</v>
      </c>
      <c r="AJ31" s="145" t="n">
        <f aca="false">$D$3*C31+$F$3*I31+$H$3*O31</f>
        <v>0.292186081459955</v>
      </c>
      <c r="AK31" s="145" t="n">
        <f aca="false">$D$3*D31+$F$3*J31+$H$3*P31</f>
        <v>0.249027325375131</v>
      </c>
      <c r="AL31" s="145" t="n">
        <f aca="false">$D$3*E31+$F$3*K31+$H$3*Q31</f>
        <v>0.129766848104098</v>
      </c>
      <c r="AM31" s="145" t="n">
        <f aca="false">$D$3*F31+$F$3*L31+$H$3*R31</f>
        <v>0.245056892295135</v>
      </c>
      <c r="AN31" s="145" t="n">
        <f aca="false">$D$3*G31+$F$3*M31+$H$3*S31</f>
        <v>0.0839628527656817</v>
      </c>
      <c r="AO31" s="145" t="n">
        <f aca="false">$D$3*H31+$F$3*N31+$H$3*T31</f>
        <v>0</v>
      </c>
      <c r="AP31" s="145" t="n">
        <f aca="false">SUM(AJ31:AO31)</f>
        <v>1</v>
      </c>
      <c r="AR31" s="145" t="n">
        <f aca="false">IF(U31&lt;0.000000001,0,MAX(0.0002,U31+Incumbency!C$20*Incumbency!$C$6+'Tactical &amp; Candidate'!C$12/100))</f>
        <v>0.292186081459955</v>
      </c>
      <c r="AS31" s="145" t="n">
        <f aca="false">IF(V31&lt;0.000000001,0,MAX(0.0002,V31+Incumbency!D$20*Incumbency!$C$6+'Tactical &amp; Candidate'!D$12/100))</f>
        <v>0.273027325375131</v>
      </c>
      <c r="AT31" s="145" t="n">
        <f aca="false">IF(W31&lt;0.000000001,0,MAX(0.0002,W31+Incumbency!E$20*Incumbency!$C$6+'Tactical &amp; Candidate'!E$12/100))</f>
        <v>0.129766848104098</v>
      </c>
      <c r="AU31" s="145" t="n">
        <f aca="false">IF(X31&lt;0.000000001,0,MAX(0.0002,X31+Incumbency!F$20*Incumbency!$C$6+'Tactical &amp; Candidate'!F$12/100))</f>
        <v>0.245056892295135</v>
      </c>
      <c r="AV31" s="145" t="n">
        <f aca="false">IF(Y31&lt;0.000000001,0,MAX(0.0002,Y31+Incumbency!G$20*Incumbency!$C$6+'Tactical &amp; Candidate'!G$12/100))</f>
        <v>0.0839628527656817</v>
      </c>
      <c r="AW31" s="145" t="n">
        <f aca="false">IF(Z31&lt;0.000000001,0,MAX(0.0002,Z31+Incumbency!H$20*Incumbency!$C$6+'Tactical &amp; Candidate'!H$12/100))</f>
        <v>0</v>
      </c>
      <c r="AX31" s="145" t="n">
        <f aca="false">SUM(AR31:AW31)</f>
        <v>1.024</v>
      </c>
      <c r="AY31" s="145" t="n">
        <f aca="false">AR31/$AX31</f>
        <v>0.285337970175737</v>
      </c>
      <c r="AZ31" s="145" t="n">
        <f aca="false">AS31/$AX31</f>
        <v>0.266628247436651</v>
      </c>
      <c r="BA31" s="145" t="n">
        <f aca="false">AT31/$AX31</f>
        <v>0.126725437601658</v>
      </c>
      <c r="BB31" s="145" t="n">
        <f aca="false">AU31/$AX31</f>
        <v>0.239313371381967</v>
      </c>
      <c r="BC31" s="145" t="n">
        <f aca="false">AV31/$AX31</f>
        <v>0.081994973403986</v>
      </c>
      <c r="BD31" s="145" t="n">
        <f aca="false">AW31/$AX31</f>
        <v>0</v>
      </c>
      <c r="BF31" s="145" t="n">
        <f aca="false">AY31*(1-'Tactical &amp; Candidate'!C$8)</f>
        <v>0.285337970175737</v>
      </c>
      <c r="BG31" s="145" t="n">
        <f aca="false">AZ31*(1-'Tactical &amp; Candidate'!D$8)</f>
        <v>0.266628247436651</v>
      </c>
      <c r="BH31" s="145" t="n">
        <f aca="false">BA31*(1-'Tactical &amp; Candidate'!E$8)</f>
        <v>0.126725437601658</v>
      </c>
      <c r="BI31" s="145" t="n">
        <f aca="false">BB31*(1-'Tactical &amp; Candidate'!F$8)</f>
        <v>0.239313371381967</v>
      </c>
      <c r="BJ31" s="145" t="n">
        <f aca="false">BC31*(1-'Tactical &amp; Candidate'!G$8)</f>
        <v>0.081994973403986</v>
      </c>
      <c r="BK31" s="145" t="n">
        <f aca="false">BD31*(1-'Tactical &amp; Candidate'!H$8)</f>
        <v>0</v>
      </c>
      <c r="BL31" s="145" t="n">
        <f aca="false">LARGE(AY31:BD31,2)</f>
        <v>0.266628247436651</v>
      </c>
      <c r="BM31" s="145" t="n">
        <f aca="false">SUMPRODUCT((AY31:BD31&lt;$BL31)*AY31:BD31)*'Tactical &amp; Candidate'!$C$6</f>
        <v>0</v>
      </c>
      <c r="BN31" s="145" t="n">
        <f aca="false">MAX(BF31:BK31)</f>
        <v>0.285337970175737</v>
      </c>
      <c r="BO31" s="146" t="n">
        <f aca="false">SUMPRODUCT((BF31:BK31=$BN31)*1)</f>
        <v>1</v>
      </c>
      <c r="BQ31" s="145" t="n">
        <f aca="false">AY31*(1-'Tactical &amp; Candidate'!$C$6*(AY31&lt;$BL31))+IF(BF31=$BN31,$BM31/$BO31,0)</f>
        <v>0.285337970175737</v>
      </c>
      <c r="BR31" s="145" t="n">
        <f aca="false">AZ31*(1-'Tactical &amp; Candidate'!$C$6*(AZ31&lt;$BL31))+IF(BG31=$BN31,$BM31/$BO31,0)</f>
        <v>0.266628247436651</v>
      </c>
      <c r="BS31" s="145" t="n">
        <f aca="false">BA31*(1-'Tactical &amp; Candidate'!$C$6*(BA31&lt;$BL31))+IF(BH31=$BN31,$BM31/$BO31,0)</f>
        <v>0.126725437601658</v>
      </c>
      <c r="BT31" s="145" t="n">
        <f aca="false">BB31*(1-'Tactical &amp; Candidate'!$C$6*(BB31&lt;$BL31))+IF(BI31=$BN31,$BM31/$BO31,0)</f>
        <v>0.239313371381967</v>
      </c>
      <c r="BU31" s="145" t="n">
        <f aca="false">BC31*(1-'Tactical &amp; Candidate'!$C$6*(BC31&lt;$BL31))+IF(BJ31=$BN31,$BM31/$BO31,0)</f>
        <v>0.081994973403986</v>
      </c>
      <c r="BV31" s="145" t="n">
        <f aca="false">BD31*(1-'Tactical &amp; Candidate'!$C$6*(BD31&lt;$BL31))+IF(BK31=$BN31,$BM31/$BO31,0)</f>
        <v>0</v>
      </c>
      <c r="BW31" s="145" t="n">
        <f aca="false">SUM(BQ31:BV31)</f>
        <v>1</v>
      </c>
      <c r="BX31" s="145" t="n">
        <f aca="false">BQ31/$BW31</f>
        <v>0.285337970175737</v>
      </c>
      <c r="BY31" s="145" t="n">
        <f aca="false">BR31/$BW31</f>
        <v>0.266628247436651</v>
      </c>
      <c r="BZ31" s="145" t="n">
        <f aca="false">BS31/$BW31</f>
        <v>0.126725437601658</v>
      </c>
      <c r="CA31" s="145" t="n">
        <f aca="false">BT31/$BW31</f>
        <v>0.239313371381967</v>
      </c>
      <c r="CB31" s="145" t="n">
        <f aca="false">BU31/$BW31</f>
        <v>0.081994973403986</v>
      </c>
      <c r="CC31" s="145" t="n">
        <f aca="false">BV31/$BW31</f>
        <v>0</v>
      </c>
    </row>
    <row r="32" customFormat="false" ht="15" hidden="false" customHeight="false" outlineLevel="0" collapsed="false">
      <c r="B32" s="22" t="s">
        <v>74</v>
      </c>
      <c r="C32" s="147" t="n">
        <f aca="false">AC32/$AI32</f>
        <v>0.222541916698823</v>
      </c>
      <c r="D32" s="148" t="n">
        <f aca="false">AD32/$AI32</f>
        <v>0.315436060048248</v>
      </c>
      <c r="E32" s="149" t="n">
        <f aca="false">AE32/$AI32</f>
        <v>0.171631385857882</v>
      </c>
      <c r="F32" s="150" t="n">
        <f aca="false">AF32/$AI32</f>
        <v>0.197986232744461</v>
      </c>
      <c r="G32" s="151" t="n">
        <f aca="false">AG32/$AI32</f>
        <v>0.0924044046505858</v>
      </c>
      <c r="H32" s="152" t="n">
        <f aca="false">AH32/$AI32</f>
        <v>0</v>
      </c>
      <c r="I32" s="147" t="n">
        <f aca="false">$L$3*'Voting History'!C32+$M$3*'Voting History'!I32+$N$3*'Voting History'!O32</f>
        <v>0.267645320575252</v>
      </c>
      <c r="J32" s="148" t="n">
        <f aca="false">$L$3*'Voting History'!D32+$M$3*'Voting History'!J32+$N$3*'Voting History'!P32</f>
        <v>0.258325003707608</v>
      </c>
      <c r="K32" s="149" t="n">
        <f aca="false">$L$3*'Voting History'!E32+$M$3*'Voting History'!K32+$N$3*'Voting History'!Q32</f>
        <v>0.266006168734501</v>
      </c>
      <c r="L32" s="150" t="n">
        <f aca="false">$L$3*'Voting History'!F32+$M$3*'Voting History'!L32+$N$3*'Voting History'!R32</f>
        <v>0.100284791634067</v>
      </c>
      <c r="M32" s="151" t="n">
        <f aca="false">$L$3*'Voting History'!G32+$M$3*'Voting History'!M32+$N$3*'Voting History'!S32</f>
        <v>0.107738715348571</v>
      </c>
      <c r="N32" s="152" t="n">
        <f aca="false">$L$3*'Voting History'!H32+$M$3*'Voting History'!N32+$N$3*'Voting History'!T32</f>
        <v>0</v>
      </c>
      <c r="O32" s="147" t="n">
        <f aca="false">Polling!C32</f>
        <v>0.183991049969898</v>
      </c>
      <c r="P32" s="148" t="n">
        <f aca="false">Polling!D32</f>
        <v>0.391615303334024</v>
      </c>
      <c r="Q32" s="149" t="n">
        <f aca="false">Polling!E32</f>
        <v>0.242103311776701</v>
      </c>
      <c r="R32" s="150" t="n">
        <f aca="false">Polling!F32</f>
        <v>0.103721677229127</v>
      </c>
      <c r="S32" s="151" t="n">
        <f aca="false">Polling!G32</f>
        <v>0.0785686576902501</v>
      </c>
      <c r="T32" s="152" t="n">
        <f aca="false">Polling!H32</f>
        <v>0</v>
      </c>
      <c r="U32" s="153" t="n">
        <f aca="false">AJ32/$AP32</f>
        <v>0.216469877639914</v>
      </c>
      <c r="V32" s="154" t="n">
        <f aca="false">AK32/$AP32</f>
        <v>0.335438955441687</v>
      </c>
      <c r="W32" s="155" t="n">
        <f aca="false">AL32/$AP32</f>
        <v>0.226937448240505</v>
      </c>
      <c r="X32" s="156" t="n">
        <f aca="false">AM32/$AP32</f>
        <v>0.131141822484962</v>
      </c>
      <c r="Y32" s="157" t="n">
        <f aca="false">AN32/$AP32</f>
        <v>0.0900118961929311</v>
      </c>
      <c r="Z32" s="158" t="n">
        <f aca="false">AO32/$AP32</f>
        <v>0</v>
      </c>
      <c r="AA32" s="66" t="n">
        <f aca="false">SUMPRODUCT(Demographics!$C32:$I32,Demographics!$C$43:$I$43)</f>
        <v>0.603233074092578</v>
      </c>
      <c r="AC32" s="145" t="n">
        <f aca="false">SUMPRODUCT(Demographics!$C32:$I32,Demographics!$C$43:$I$43,Demographics!$C$44:$I$44)</f>
        <v>0.134244644524686</v>
      </c>
      <c r="AD32" s="145" t="n">
        <f aca="false">SUMPRODUCT(Demographics!$C32:$I32,Demographics!$C$43:$I$43,Demographics!$C$45:$I$45)</f>
        <v>0.190281464182556</v>
      </c>
      <c r="AE32" s="145" t="n">
        <f aca="false">SUMPRODUCT(Demographics!$C32:$I32,Demographics!$C$43:$I$43,Demographics!$C$46:$I$46)</f>
        <v>0.10353372850182</v>
      </c>
      <c r="AF32" s="145" t="n">
        <f aca="false">SUMPRODUCT(Demographics!$C32:$I32,Demographics!$C$43:$I$43,Demographics!$C$47:$I$47)</f>
        <v>0.11943184380645</v>
      </c>
      <c r="AG32" s="145" t="n">
        <f aca="false">SUMPRODUCT(Demographics!$C32:$I32,Demographics!$C$43:$I$43,Demographics!$C$48:$I$48)</f>
        <v>0.0557413930770674</v>
      </c>
      <c r="AH32" s="145" t="n">
        <f aca="false">SUMPRODUCT(Demographics!$C32:$I32,Demographics!$C$43:$I$43,Demographics!$C$49:$I$49)</f>
        <v>0</v>
      </c>
      <c r="AI32" s="145" t="n">
        <f aca="false">SUM(AC32:AH32)</f>
        <v>0.603233074092578</v>
      </c>
      <c r="AJ32" s="145" t="n">
        <f aca="false">$D$3*C32+$F$3*I32+$H$3*O32</f>
        <v>0.216469877639914</v>
      </c>
      <c r="AK32" s="145" t="n">
        <f aca="false">$D$3*D32+$F$3*J32+$H$3*P32</f>
        <v>0.335438955441687</v>
      </c>
      <c r="AL32" s="145" t="n">
        <f aca="false">$D$3*E32+$F$3*K32+$H$3*Q32</f>
        <v>0.226937448240505</v>
      </c>
      <c r="AM32" s="145" t="n">
        <f aca="false">$D$3*F32+$F$3*L32+$H$3*R32</f>
        <v>0.131141822484962</v>
      </c>
      <c r="AN32" s="145" t="n">
        <f aca="false">$D$3*G32+$F$3*M32+$H$3*S32</f>
        <v>0.0900118961929311</v>
      </c>
      <c r="AO32" s="145" t="n">
        <f aca="false">$D$3*H32+$F$3*N32+$H$3*T32</f>
        <v>0</v>
      </c>
      <c r="AP32" s="145" t="n">
        <f aca="false">SUM(AJ32:AO32)</f>
        <v>1</v>
      </c>
      <c r="AR32" s="145" t="n">
        <f aca="false">IF(U32&lt;0.000000001,0,MAX(0.0002,U32+Incumbency!C$20*Incumbency!$C$6+'Tactical &amp; Candidate'!C$12/100))</f>
        <v>0.216469877639914</v>
      </c>
      <c r="AS32" s="145" t="n">
        <f aca="false">IF(V32&lt;0.000000001,0,MAX(0.0002,V32+Incumbency!D$20*Incumbency!$C$6+'Tactical &amp; Candidate'!D$12/100))</f>
        <v>0.359438955441687</v>
      </c>
      <c r="AT32" s="145" t="n">
        <f aca="false">IF(W32&lt;0.000000001,0,MAX(0.0002,W32+Incumbency!E$20*Incumbency!$C$6+'Tactical &amp; Candidate'!E$12/100))</f>
        <v>0.226937448240505</v>
      </c>
      <c r="AU32" s="145" t="n">
        <f aca="false">IF(X32&lt;0.000000001,0,MAX(0.0002,X32+Incumbency!F$20*Incumbency!$C$6+'Tactical &amp; Candidate'!F$12/100))</f>
        <v>0.131141822484962</v>
      </c>
      <c r="AV32" s="145" t="n">
        <f aca="false">IF(Y32&lt;0.000000001,0,MAX(0.0002,Y32+Incumbency!G$20*Incumbency!$C$6+'Tactical &amp; Candidate'!G$12/100))</f>
        <v>0.0900118961929311</v>
      </c>
      <c r="AW32" s="145" t="n">
        <f aca="false">IF(Z32&lt;0.000000001,0,MAX(0.0002,Z32+Incumbency!H$20*Incumbency!$C$6+'Tactical &amp; Candidate'!H$12/100))</f>
        <v>0</v>
      </c>
      <c r="AX32" s="145" t="n">
        <f aca="false">SUM(AR32:AW32)</f>
        <v>1.024</v>
      </c>
      <c r="AY32" s="145" t="n">
        <f aca="false">AR32/$AX32</f>
        <v>0.211396364882729</v>
      </c>
      <c r="AZ32" s="145" t="n">
        <f aca="false">AS32/$AX32</f>
        <v>0.351014604923523</v>
      </c>
      <c r="BA32" s="145" t="n">
        <f aca="false">AT32/$AX32</f>
        <v>0.221618601797368</v>
      </c>
      <c r="BB32" s="145" t="n">
        <f aca="false">AU32/$AX32</f>
        <v>0.128068186020471</v>
      </c>
      <c r="BC32" s="145" t="n">
        <f aca="false">AV32/$AX32</f>
        <v>0.0879022423759093</v>
      </c>
      <c r="BD32" s="145" t="n">
        <f aca="false">AW32/$AX32</f>
        <v>0</v>
      </c>
      <c r="BF32" s="145" t="n">
        <f aca="false">AY32*(1-'Tactical &amp; Candidate'!C$8)</f>
        <v>0.211396364882729</v>
      </c>
      <c r="BG32" s="145" t="n">
        <f aca="false">AZ32*(1-'Tactical &amp; Candidate'!D$8)</f>
        <v>0.351014604923523</v>
      </c>
      <c r="BH32" s="145" t="n">
        <f aca="false">BA32*(1-'Tactical &amp; Candidate'!E$8)</f>
        <v>0.221618601797368</v>
      </c>
      <c r="BI32" s="145" t="n">
        <f aca="false">BB32*(1-'Tactical &amp; Candidate'!F$8)</f>
        <v>0.128068186020471</v>
      </c>
      <c r="BJ32" s="145" t="n">
        <f aca="false">BC32*(1-'Tactical &amp; Candidate'!G$8)</f>
        <v>0.0879022423759093</v>
      </c>
      <c r="BK32" s="145" t="n">
        <f aca="false">BD32*(1-'Tactical &amp; Candidate'!H$8)</f>
        <v>0</v>
      </c>
      <c r="BL32" s="145" t="n">
        <f aca="false">LARGE(AY32:BD32,2)</f>
        <v>0.221618601797368</v>
      </c>
      <c r="BM32" s="145" t="n">
        <f aca="false">SUMPRODUCT((AY32:BD32&lt;$BL32)*AY32:BD32)*'Tactical &amp; Candidate'!$C$6</f>
        <v>0</v>
      </c>
      <c r="BN32" s="145" t="n">
        <f aca="false">MAX(BF32:BK32)</f>
        <v>0.351014604923523</v>
      </c>
      <c r="BO32" s="146" t="n">
        <f aca="false">SUMPRODUCT((BF32:BK32=$BN32)*1)</f>
        <v>1</v>
      </c>
      <c r="BQ32" s="145" t="n">
        <f aca="false">AY32*(1-'Tactical &amp; Candidate'!$C$6*(AY32&lt;$BL32))+IF(BF32=$BN32,$BM32/$BO32,0)</f>
        <v>0.211396364882729</v>
      </c>
      <c r="BR32" s="145" t="n">
        <f aca="false">AZ32*(1-'Tactical &amp; Candidate'!$C$6*(AZ32&lt;$BL32))+IF(BG32=$BN32,$BM32/$BO32,0)</f>
        <v>0.351014604923523</v>
      </c>
      <c r="BS32" s="145" t="n">
        <f aca="false">BA32*(1-'Tactical &amp; Candidate'!$C$6*(BA32&lt;$BL32))+IF(BH32=$BN32,$BM32/$BO32,0)</f>
        <v>0.221618601797368</v>
      </c>
      <c r="BT32" s="145" t="n">
        <f aca="false">BB32*(1-'Tactical &amp; Candidate'!$C$6*(BB32&lt;$BL32))+IF(BI32=$BN32,$BM32/$BO32,0)</f>
        <v>0.128068186020471</v>
      </c>
      <c r="BU32" s="145" t="n">
        <f aca="false">BC32*(1-'Tactical &amp; Candidate'!$C$6*(BC32&lt;$BL32))+IF(BJ32=$BN32,$BM32/$BO32,0)</f>
        <v>0.0879022423759093</v>
      </c>
      <c r="BV32" s="145" t="n">
        <f aca="false">BD32*(1-'Tactical &amp; Candidate'!$C$6*(BD32&lt;$BL32))+IF(BK32=$BN32,$BM32/$BO32,0)</f>
        <v>0</v>
      </c>
      <c r="BW32" s="145" t="n">
        <f aca="false">SUM(BQ32:BV32)</f>
        <v>1</v>
      </c>
      <c r="BX32" s="145" t="n">
        <f aca="false">BQ32/$BW32</f>
        <v>0.211396364882729</v>
      </c>
      <c r="BY32" s="145" t="n">
        <f aca="false">BR32/$BW32</f>
        <v>0.351014604923523</v>
      </c>
      <c r="BZ32" s="145" t="n">
        <f aca="false">BS32/$BW32</f>
        <v>0.221618601797368</v>
      </c>
      <c r="CA32" s="145" t="n">
        <f aca="false">BT32/$BW32</f>
        <v>0.128068186020471</v>
      </c>
      <c r="CB32" s="145" t="n">
        <f aca="false">BU32/$BW32</f>
        <v>0.0879022423759093</v>
      </c>
      <c r="CC32" s="145" t="n">
        <f aca="false">BV32/$BW32</f>
        <v>0</v>
      </c>
    </row>
    <row r="33" customFormat="false" ht="15" hidden="false" customHeight="false" outlineLevel="0" collapsed="false">
      <c r="B33" s="9" t="s">
        <v>75</v>
      </c>
      <c r="C33" s="134" t="n">
        <f aca="false">AC33/$AI33</f>
        <v>0.219892065802171</v>
      </c>
      <c r="D33" s="135" t="n">
        <f aca="false">AD33/$AI33</f>
        <v>0.3199911136497</v>
      </c>
      <c r="E33" s="136" t="n">
        <f aca="false">AE33/$AI33</f>
        <v>0.183273431544972</v>
      </c>
      <c r="F33" s="132" t="n">
        <f aca="false">AF33/$AI33</f>
        <v>0.184820024893531</v>
      </c>
      <c r="G33" s="137" t="n">
        <f aca="false">AG33/$AI33</f>
        <v>0.0920233641096257</v>
      </c>
      <c r="H33" s="138" t="n">
        <f aca="false">AH33/$AI33</f>
        <v>0</v>
      </c>
      <c r="I33" s="134" t="n">
        <f aca="false">$L$3*'Voting History'!C33+$M$3*'Voting History'!I33+$N$3*'Voting History'!O33</f>
        <v>0.262715586054107</v>
      </c>
      <c r="J33" s="135" t="n">
        <f aca="false">$L$3*'Voting History'!D33+$M$3*'Voting History'!J33+$N$3*'Voting History'!P33</f>
        <v>0.277982221953622</v>
      </c>
      <c r="K33" s="136" t="n">
        <f aca="false">$L$3*'Voting History'!E33+$M$3*'Voting History'!K33+$N$3*'Voting History'!Q33</f>
        <v>0.268562551649924</v>
      </c>
      <c r="L33" s="132" t="n">
        <f aca="false">$L$3*'Voting History'!F33+$M$3*'Voting History'!L33+$N$3*'Voting History'!R33</f>
        <v>0.103768923825017</v>
      </c>
      <c r="M33" s="137" t="n">
        <f aca="false">$L$3*'Voting History'!G33+$M$3*'Voting History'!M33+$N$3*'Voting History'!S33</f>
        <v>0.0869707165173308</v>
      </c>
      <c r="N33" s="138" t="n">
        <f aca="false">$L$3*'Voting History'!H33+$M$3*'Voting History'!N33+$N$3*'Voting History'!T33</f>
        <v>0</v>
      </c>
      <c r="O33" s="134" t="n">
        <f aca="false">Polling!C33</f>
        <v>0.17887356461433</v>
      </c>
      <c r="P33" s="135" t="n">
        <f aca="false">Polling!D33</f>
        <v>0.407806945203763</v>
      </c>
      <c r="Q33" s="136" t="n">
        <f aca="false">Polling!E33</f>
        <v>0.23411276480802</v>
      </c>
      <c r="R33" s="132" t="n">
        <f aca="false">Polling!F33</f>
        <v>0.113034710553935</v>
      </c>
      <c r="S33" s="137" t="n">
        <f aca="false">Polling!G33</f>
        <v>0.0661720148199523</v>
      </c>
      <c r="T33" s="138" t="n">
        <f aca="false">Polling!H33</f>
        <v>0</v>
      </c>
      <c r="U33" s="139" t="n">
        <f aca="false">AJ33/$AP33</f>
        <v>0.212139620330627</v>
      </c>
      <c r="V33" s="140" t="n">
        <f aca="false">AK33/$AP33</f>
        <v>0.349006014925009</v>
      </c>
      <c r="W33" s="141" t="n">
        <f aca="false">AL33/$AP33</f>
        <v>0.227473411539582</v>
      </c>
      <c r="X33" s="142" t="n">
        <f aca="false">AM33/$AP33</f>
        <v>0.132253858173584</v>
      </c>
      <c r="Y33" s="143" t="n">
        <f aca="false">AN33/$AP33</f>
        <v>0.079127095031199</v>
      </c>
      <c r="Z33" s="144" t="n">
        <f aca="false">AO33/$AP33</f>
        <v>0</v>
      </c>
      <c r="AA33" s="55" t="n">
        <f aca="false">SUMPRODUCT(Demographics!$C33:$I33,Demographics!$C$43:$I$43)</f>
        <v>0.608276801172938</v>
      </c>
      <c r="AC33" s="145" t="n">
        <f aca="false">SUMPRODUCT(Demographics!$C33:$I33,Demographics!$C$43:$I$43,Demographics!$C$44:$I$44)</f>
        <v>0.133755242389454</v>
      </c>
      <c r="AD33" s="145" t="n">
        <f aca="false">SUMPRODUCT(Demographics!$C33:$I33,Demographics!$C$43:$I$43,Demographics!$C$45:$I$45)</f>
        <v>0.194643171014606</v>
      </c>
      <c r="AE33" s="145" t="n">
        <f aca="false">SUMPRODUCT(Demographics!$C33:$I33,Demographics!$C$43:$I$43,Demographics!$C$46:$I$46)</f>
        <v>0.111480976680163</v>
      </c>
      <c r="AF33" s="145" t="n">
        <f aca="false">SUMPRODUCT(Demographics!$C33:$I33,Demographics!$C$43:$I$43,Demographics!$C$47:$I$47)</f>
        <v>0.11242173353494</v>
      </c>
      <c r="AG33" s="145" t="n">
        <f aca="false">SUMPRODUCT(Demographics!$C33:$I33,Demographics!$C$43:$I$43,Demographics!$C$48:$I$48)</f>
        <v>0.0559756775537757</v>
      </c>
      <c r="AH33" s="145" t="n">
        <f aca="false">SUMPRODUCT(Demographics!$C33:$I33,Demographics!$C$43:$I$43,Demographics!$C$49:$I$49)</f>
        <v>0</v>
      </c>
      <c r="AI33" s="145" t="n">
        <f aca="false">SUM(AC33:AH33)</f>
        <v>0.608276801172938</v>
      </c>
      <c r="AJ33" s="145" t="n">
        <f aca="false">$D$3*C33+$F$3*I33+$H$3*O33</f>
        <v>0.212139620330627</v>
      </c>
      <c r="AK33" s="145" t="n">
        <f aca="false">$D$3*D33+$F$3*J33+$H$3*P33</f>
        <v>0.349006014925009</v>
      </c>
      <c r="AL33" s="145" t="n">
        <f aca="false">$D$3*E33+$F$3*K33+$H$3*Q33</f>
        <v>0.227473411539582</v>
      </c>
      <c r="AM33" s="145" t="n">
        <f aca="false">$D$3*F33+$F$3*L33+$H$3*R33</f>
        <v>0.132253858173584</v>
      </c>
      <c r="AN33" s="145" t="n">
        <f aca="false">$D$3*G33+$F$3*M33+$H$3*S33</f>
        <v>0.079127095031199</v>
      </c>
      <c r="AO33" s="145" t="n">
        <f aca="false">$D$3*H33+$F$3*N33+$H$3*T33</f>
        <v>0</v>
      </c>
      <c r="AP33" s="145" t="n">
        <f aca="false">SUM(AJ33:AO33)</f>
        <v>1</v>
      </c>
      <c r="AR33" s="145" t="n">
        <f aca="false">IF(U33&lt;0.000000001,0,MAX(0.0002,U33+Incumbency!C$20*Incumbency!$C$6+'Tactical &amp; Candidate'!C$12/100))</f>
        <v>0.212139620330627</v>
      </c>
      <c r="AS33" s="145" t="n">
        <f aca="false">IF(V33&lt;0.000000001,0,MAX(0.0002,V33+Incumbency!D$20*Incumbency!$C$6+'Tactical &amp; Candidate'!D$12/100))</f>
        <v>0.373006014925009</v>
      </c>
      <c r="AT33" s="145" t="n">
        <f aca="false">IF(W33&lt;0.000000001,0,MAX(0.0002,W33+Incumbency!E$20*Incumbency!$C$6+'Tactical &amp; Candidate'!E$12/100))</f>
        <v>0.227473411539582</v>
      </c>
      <c r="AU33" s="145" t="n">
        <f aca="false">IF(X33&lt;0.000000001,0,MAX(0.0002,X33+Incumbency!F$20*Incumbency!$C$6+'Tactical &amp; Candidate'!F$12/100))</f>
        <v>0.132253858173584</v>
      </c>
      <c r="AV33" s="145" t="n">
        <f aca="false">IF(Y33&lt;0.000000001,0,MAX(0.0002,Y33+Incumbency!G$20*Incumbency!$C$6+'Tactical &amp; Candidate'!G$12/100))</f>
        <v>0.079127095031199</v>
      </c>
      <c r="AW33" s="145" t="n">
        <f aca="false">IF(Z33&lt;0.000000001,0,MAX(0.0002,Z33+Incumbency!H$20*Incumbency!$C$6+'Tactical &amp; Candidate'!H$12/100))</f>
        <v>0</v>
      </c>
      <c r="AX33" s="145" t="n">
        <f aca="false">SUM(AR33:AW33)</f>
        <v>1.024</v>
      </c>
      <c r="AY33" s="145" t="n">
        <f aca="false">AR33/$AX33</f>
        <v>0.207167597979128</v>
      </c>
      <c r="AZ33" s="145" t="n">
        <f aca="false">AS33/$AX33</f>
        <v>0.364263686450204</v>
      </c>
      <c r="BA33" s="145" t="n">
        <f aca="false">AT33/$AX33</f>
        <v>0.222142003456623</v>
      </c>
      <c r="BB33" s="145" t="n">
        <f aca="false">AU33/$AX33</f>
        <v>0.129154158372641</v>
      </c>
      <c r="BC33" s="145" t="n">
        <f aca="false">AV33/$AX33</f>
        <v>0.0772725537414052</v>
      </c>
      <c r="BD33" s="145" t="n">
        <f aca="false">AW33/$AX33</f>
        <v>0</v>
      </c>
      <c r="BF33" s="145" t="n">
        <f aca="false">AY33*(1-'Tactical &amp; Candidate'!C$8)</f>
        <v>0.207167597979128</v>
      </c>
      <c r="BG33" s="145" t="n">
        <f aca="false">AZ33*(1-'Tactical &amp; Candidate'!D$8)</f>
        <v>0.364263686450204</v>
      </c>
      <c r="BH33" s="145" t="n">
        <f aca="false">BA33*(1-'Tactical &amp; Candidate'!E$8)</f>
        <v>0.222142003456623</v>
      </c>
      <c r="BI33" s="145" t="n">
        <f aca="false">BB33*(1-'Tactical &amp; Candidate'!F$8)</f>
        <v>0.129154158372641</v>
      </c>
      <c r="BJ33" s="145" t="n">
        <f aca="false">BC33*(1-'Tactical &amp; Candidate'!G$8)</f>
        <v>0.0772725537414052</v>
      </c>
      <c r="BK33" s="145" t="n">
        <f aca="false">BD33*(1-'Tactical &amp; Candidate'!H$8)</f>
        <v>0</v>
      </c>
      <c r="BL33" s="145" t="n">
        <f aca="false">LARGE(AY33:BD33,2)</f>
        <v>0.222142003456623</v>
      </c>
      <c r="BM33" s="145" t="n">
        <f aca="false">SUMPRODUCT((AY33:BD33&lt;$BL33)*AY33:BD33)*'Tactical &amp; Candidate'!$C$6</f>
        <v>0</v>
      </c>
      <c r="BN33" s="145" t="n">
        <f aca="false">MAX(BF33:BK33)</f>
        <v>0.364263686450204</v>
      </c>
      <c r="BO33" s="146" t="n">
        <f aca="false">SUMPRODUCT((BF33:BK33=$BN33)*1)</f>
        <v>1</v>
      </c>
      <c r="BQ33" s="145" t="n">
        <f aca="false">AY33*(1-'Tactical &amp; Candidate'!$C$6*(AY33&lt;$BL33))+IF(BF33=$BN33,$BM33/$BO33,0)</f>
        <v>0.207167597979128</v>
      </c>
      <c r="BR33" s="145" t="n">
        <f aca="false">AZ33*(1-'Tactical &amp; Candidate'!$C$6*(AZ33&lt;$BL33))+IF(BG33=$BN33,$BM33/$BO33,0)</f>
        <v>0.364263686450204</v>
      </c>
      <c r="BS33" s="145" t="n">
        <f aca="false">BA33*(1-'Tactical &amp; Candidate'!$C$6*(BA33&lt;$BL33))+IF(BH33=$BN33,$BM33/$BO33,0)</f>
        <v>0.222142003456623</v>
      </c>
      <c r="BT33" s="145" t="n">
        <f aca="false">BB33*(1-'Tactical &amp; Candidate'!$C$6*(BB33&lt;$BL33))+IF(BI33=$BN33,$BM33/$BO33,0)</f>
        <v>0.129154158372641</v>
      </c>
      <c r="BU33" s="145" t="n">
        <f aca="false">BC33*(1-'Tactical &amp; Candidate'!$C$6*(BC33&lt;$BL33))+IF(BJ33=$BN33,$BM33/$BO33,0)</f>
        <v>0.0772725537414052</v>
      </c>
      <c r="BV33" s="145" t="n">
        <f aca="false">BD33*(1-'Tactical &amp; Candidate'!$C$6*(BD33&lt;$BL33))+IF(BK33=$BN33,$BM33/$BO33,0)</f>
        <v>0</v>
      </c>
      <c r="BW33" s="145" t="n">
        <f aca="false">SUM(BQ33:BV33)</f>
        <v>1</v>
      </c>
      <c r="BX33" s="145" t="n">
        <f aca="false">BQ33/$BW33</f>
        <v>0.207167597979128</v>
      </c>
      <c r="BY33" s="145" t="n">
        <f aca="false">BR33/$BW33</f>
        <v>0.364263686450204</v>
      </c>
      <c r="BZ33" s="145" t="n">
        <f aca="false">BS33/$BW33</f>
        <v>0.222142003456623</v>
      </c>
      <c r="CA33" s="145" t="n">
        <f aca="false">BT33/$BW33</f>
        <v>0.129154158372641</v>
      </c>
      <c r="CB33" s="145" t="n">
        <f aca="false">BU33/$BW33</f>
        <v>0.0772725537414052</v>
      </c>
      <c r="CC33" s="145" t="n">
        <f aca="false">BV33/$BW33</f>
        <v>0</v>
      </c>
    </row>
    <row r="34" customFormat="false" ht="15" hidden="false" customHeight="false" outlineLevel="0" collapsed="false">
      <c r="B34" s="22" t="s">
        <v>77</v>
      </c>
      <c r="C34" s="147" t="n">
        <f aca="false">AC34/$AI34</f>
        <v>0.205577824628875</v>
      </c>
      <c r="D34" s="148" t="n">
        <f aca="false">AD34/$AI34</f>
        <v>0.364029249157376</v>
      </c>
      <c r="E34" s="149" t="n">
        <f aca="false">AE34/$AI34</f>
        <v>0.150003056680868</v>
      </c>
      <c r="F34" s="150" t="n">
        <f aca="false">AF34/$AI34</f>
        <v>0.194311284290132</v>
      </c>
      <c r="G34" s="151" t="n">
        <f aca="false">AG34/$AI34</f>
        <v>0.0860785852427498</v>
      </c>
      <c r="H34" s="152" t="n">
        <f aca="false">AH34/$AI34</f>
        <v>0</v>
      </c>
      <c r="I34" s="147" t="n">
        <f aca="false">$L$3*'Voting History'!C34+$M$3*'Voting History'!I34+$N$3*'Voting History'!O34</f>
        <v>0.413831463223497</v>
      </c>
      <c r="J34" s="148" t="n">
        <f aca="false">$L$3*'Voting History'!D34+$M$3*'Voting History'!J34+$N$3*'Voting History'!P34</f>
        <v>0.175714372403882</v>
      </c>
      <c r="K34" s="149" t="n">
        <f aca="false">$L$3*'Voting History'!E34+$M$3*'Voting History'!K34+$N$3*'Voting History'!Q34</f>
        <v>0.140976265674693</v>
      </c>
      <c r="L34" s="150" t="n">
        <f aca="false">$L$3*'Voting History'!F34+$M$3*'Voting History'!L34+$N$3*'Voting History'!R34</f>
        <v>0.18847514421795</v>
      </c>
      <c r="M34" s="151" t="n">
        <f aca="false">$L$3*'Voting History'!G34+$M$3*'Voting History'!M34+$N$3*'Voting History'!S34</f>
        <v>0.0810027544799786</v>
      </c>
      <c r="N34" s="152" t="n">
        <f aca="false">$L$3*'Voting History'!H34+$M$3*'Voting History'!N34+$N$3*'Voting History'!T34</f>
        <v>0</v>
      </c>
      <c r="O34" s="147" t="n">
        <f aca="false">Polling!C34</f>
        <v>0.315361015764831</v>
      </c>
      <c r="P34" s="148" t="n">
        <f aca="false">Polling!D34</f>
        <v>0.292797778569549</v>
      </c>
      <c r="Q34" s="149" t="n">
        <f aca="false">Polling!E34</f>
        <v>0.134067223906616</v>
      </c>
      <c r="R34" s="150" t="n">
        <f aca="false">Polling!F34</f>
        <v>0.19402534198999</v>
      </c>
      <c r="S34" s="151" t="n">
        <f aca="false">Polling!G34</f>
        <v>0.0637486397690137</v>
      </c>
      <c r="T34" s="152" t="n">
        <f aca="false">Polling!H34</f>
        <v>0</v>
      </c>
      <c r="U34" s="153" t="n">
        <f aca="false">AJ34/$AP34</f>
        <v>0.307043670288711</v>
      </c>
      <c r="V34" s="154" t="n">
        <f aca="false">AK34/$AP34</f>
        <v>0.28489636820448</v>
      </c>
      <c r="W34" s="155" t="n">
        <f aca="false">AL34/$AP34</f>
        <v>0.140575234180911</v>
      </c>
      <c r="X34" s="156" t="n">
        <f aca="false">AM34/$AP34</f>
        <v>0.192723575237023</v>
      </c>
      <c r="Y34" s="157" t="n">
        <f aca="false">AN34/$AP34</f>
        <v>0.0747611520888758</v>
      </c>
      <c r="Z34" s="158" t="n">
        <f aca="false">AO34/$AP34</f>
        <v>0</v>
      </c>
      <c r="AA34" s="66" t="n">
        <f aca="false">SUMPRODUCT(Demographics!$C34:$I34,Demographics!$C$43:$I$43)</f>
        <v>0.618989913480541</v>
      </c>
      <c r="AC34" s="145" t="n">
        <f aca="false">SUMPRODUCT(Demographics!$C34:$I34,Demographics!$C$43:$I$43,Demographics!$C$44:$I$44)</f>
        <v>0.127250599880545</v>
      </c>
      <c r="AD34" s="145" t="n">
        <f aca="false">SUMPRODUCT(Demographics!$C34:$I34,Demographics!$C$43:$I$43,Demographics!$C$45:$I$45)</f>
        <v>0.225330433440311</v>
      </c>
      <c r="AE34" s="145" t="n">
        <f aca="false">SUMPRODUCT(Demographics!$C34:$I34,Demographics!$C$43:$I$43,Demographics!$C$46:$I$46)</f>
        <v>0.092850379076707</v>
      </c>
      <c r="AF34" s="145" t="n">
        <f aca="false">SUMPRODUCT(Demographics!$C34:$I34,Demographics!$C$43:$I$43,Demographics!$C$47:$I$47)</f>
        <v>0.120276725051041</v>
      </c>
      <c r="AG34" s="145" t="n">
        <f aca="false">SUMPRODUCT(Demographics!$C34:$I34,Demographics!$C$43:$I$43,Demographics!$C$48:$I$48)</f>
        <v>0.0532817760319371</v>
      </c>
      <c r="AH34" s="145" t="n">
        <f aca="false">SUMPRODUCT(Demographics!$C34:$I34,Demographics!$C$43:$I$43,Demographics!$C$49:$I$49)</f>
        <v>0</v>
      </c>
      <c r="AI34" s="145" t="n">
        <f aca="false">SUM(AC34:AH34)</f>
        <v>0.618989913480541</v>
      </c>
      <c r="AJ34" s="145" t="n">
        <f aca="false">$D$3*C34+$F$3*I34+$H$3*O34</f>
        <v>0.307043670288711</v>
      </c>
      <c r="AK34" s="145" t="n">
        <f aca="false">$D$3*D34+$F$3*J34+$H$3*P34</f>
        <v>0.28489636820448</v>
      </c>
      <c r="AL34" s="145" t="n">
        <f aca="false">$D$3*E34+$F$3*K34+$H$3*Q34</f>
        <v>0.140575234180911</v>
      </c>
      <c r="AM34" s="145" t="n">
        <f aca="false">$D$3*F34+$F$3*L34+$H$3*R34</f>
        <v>0.192723575237023</v>
      </c>
      <c r="AN34" s="145" t="n">
        <f aca="false">$D$3*G34+$F$3*M34+$H$3*S34</f>
        <v>0.0747611520888758</v>
      </c>
      <c r="AO34" s="145" t="n">
        <f aca="false">$D$3*H34+$F$3*N34+$H$3*T34</f>
        <v>0</v>
      </c>
      <c r="AP34" s="145" t="n">
        <f aca="false">SUM(AJ34:AO34)</f>
        <v>1</v>
      </c>
      <c r="AR34" s="145" t="n">
        <f aca="false">IF(U34&lt;0.000000001,0,MAX(0.0002,U34+Incumbency!C$20*Incumbency!$C$6+'Tactical &amp; Candidate'!C$12/100))</f>
        <v>0.307043670288711</v>
      </c>
      <c r="AS34" s="145" t="n">
        <f aca="false">IF(V34&lt;0.000000001,0,MAX(0.0002,V34+Incumbency!D$20*Incumbency!$C$6+'Tactical &amp; Candidate'!D$12/100))</f>
        <v>0.30889636820448</v>
      </c>
      <c r="AT34" s="145" t="n">
        <f aca="false">IF(W34&lt;0.000000001,0,MAX(0.0002,W34+Incumbency!E$20*Incumbency!$C$6+'Tactical &amp; Candidate'!E$12/100))</f>
        <v>0.140575234180911</v>
      </c>
      <c r="AU34" s="145" t="n">
        <f aca="false">IF(X34&lt;0.000000001,0,MAX(0.0002,X34+Incumbency!F$20*Incumbency!$C$6+'Tactical &amp; Candidate'!F$12/100))</f>
        <v>0.192723575237023</v>
      </c>
      <c r="AV34" s="145" t="n">
        <f aca="false">IF(Y34&lt;0.000000001,0,MAX(0.0002,Y34+Incumbency!G$20*Incumbency!$C$6+'Tactical &amp; Candidate'!G$12/100))</f>
        <v>0.0747611520888758</v>
      </c>
      <c r="AW34" s="145" t="n">
        <f aca="false">IF(Z34&lt;0.000000001,0,MAX(0.0002,Z34+Incumbency!H$20*Incumbency!$C$6+'Tactical &amp; Candidate'!H$12/100))</f>
        <v>0</v>
      </c>
      <c r="AX34" s="145" t="n">
        <f aca="false">SUM(AR34:AW34)</f>
        <v>1.024</v>
      </c>
      <c r="AY34" s="145" t="n">
        <f aca="false">AR34/$AX34</f>
        <v>0.299847334266319</v>
      </c>
      <c r="AZ34" s="145" t="n">
        <f aca="false">AS34/$AX34</f>
        <v>0.301656609574688</v>
      </c>
      <c r="BA34" s="145" t="n">
        <f aca="false">AT34/$AX34</f>
        <v>0.137280502129796</v>
      </c>
      <c r="BB34" s="145" t="n">
        <f aca="false">AU34/$AX34</f>
        <v>0.188206616442405</v>
      </c>
      <c r="BC34" s="145" t="n">
        <f aca="false">AV34/$AX34</f>
        <v>0.0730089375867927</v>
      </c>
      <c r="BD34" s="145" t="n">
        <f aca="false">AW34/$AX34</f>
        <v>0</v>
      </c>
      <c r="BF34" s="145" t="n">
        <f aca="false">AY34*(1-'Tactical &amp; Candidate'!C$8)</f>
        <v>0.299847334266319</v>
      </c>
      <c r="BG34" s="145" t="n">
        <f aca="false">AZ34*(1-'Tactical &amp; Candidate'!D$8)</f>
        <v>0.301656609574688</v>
      </c>
      <c r="BH34" s="145" t="n">
        <f aca="false">BA34*(1-'Tactical &amp; Candidate'!E$8)</f>
        <v>0.137280502129796</v>
      </c>
      <c r="BI34" s="145" t="n">
        <f aca="false">BB34*(1-'Tactical &amp; Candidate'!F$8)</f>
        <v>0.188206616442405</v>
      </c>
      <c r="BJ34" s="145" t="n">
        <f aca="false">BC34*(1-'Tactical &amp; Candidate'!G$8)</f>
        <v>0.0730089375867927</v>
      </c>
      <c r="BK34" s="145" t="n">
        <f aca="false">BD34*(1-'Tactical &amp; Candidate'!H$8)</f>
        <v>0</v>
      </c>
      <c r="BL34" s="145" t="n">
        <f aca="false">LARGE(AY34:BD34,2)</f>
        <v>0.299847334266319</v>
      </c>
      <c r="BM34" s="145" t="n">
        <f aca="false">SUMPRODUCT((AY34:BD34&lt;$BL34)*AY34:BD34)*'Tactical &amp; Candidate'!$C$6</f>
        <v>0</v>
      </c>
      <c r="BN34" s="145" t="n">
        <f aca="false">MAX(BF34:BK34)</f>
        <v>0.301656609574688</v>
      </c>
      <c r="BO34" s="146" t="n">
        <f aca="false">SUMPRODUCT((BF34:BK34=$BN34)*1)</f>
        <v>1</v>
      </c>
      <c r="BQ34" s="145" t="n">
        <f aca="false">AY34*(1-'Tactical &amp; Candidate'!$C$6*(AY34&lt;$BL34))+IF(BF34=$BN34,$BM34/$BO34,0)</f>
        <v>0.299847334266319</v>
      </c>
      <c r="BR34" s="145" t="n">
        <f aca="false">AZ34*(1-'Tactical &amp; Candidate'!$C$6*(AZ34&lt;$BL34))+IF(BG34=$BN34,$BM34/$BO34,0)</f>
        <v>0.301656609574688</v>
      </c>
      <c r="BS34" s="145" t="n">
        <f aca="false">BA34*(1-'Tactical &amp; Candidate'!$C$6*(BA34&lt;$BL34))+IF(BH34=$BN34,$BM34/$BO34,0)</f>
        <v>0.137280502129796</v>
      </c>
      <c r="BT34" s="145" t="n">
        <f aca="false">BB34*(1-'Tactical &amp; Candidate'!$C$6*(BB34&lt;$BL34))+IF(BI34=$BN34,$BM34/$BO34,0)</f>
        <v>0.188206616442405</v>
      </c>
      <c r="BU34" s="145" t="n">
        <f aca="false">BC34*(1-'Tactical &amp; Candidate'!$C$6*(BC34&lt;$BL34))+IF(BJ34=$BN34,$BM34/$BO34,0)</f>
        <v>0.0730089375867927</v>
      </c>
      <c r="BV34" s="145" t="n">
        <f aca="false">BD34*(1-'Tactical &amp; Candidate'!$C$6*(BD34&lt;$BL34))+IF(BK34=$BN34,$BM34/$BO34,0)</f>
        <v>0</v>
      </c>
      <c r="BW34" s="145" t="n">
        <f aca="false">SUM(BQ34:BV34)</f>
        <v>1</v>
      </c>
      <c r="BX34" s="145" t="n">
        <f aca="false">BQ34/$BW34</f>
        <v>0.299847334266319</v>
      </c>
      <c r="BY34" s="145" t="n">
        <f aca="false">BR34/$BW34</f>
        <v>0.301656609574688</v>
      </c>
      <c r="BZ34" s="145" t="n">
        <f aca="false">BS34/$BW34</f>
        <v>0.137280502129796</v>
      </c>
      <c r="CA34" s="145" t="n">
        <f aca="false">BT34/$BW34</f>
        <v>0.188206616442405</v>
      </c>
      <c r="CB34" s="145" t="n">
        <f aca="false">BU34/$BW34</f>
        <v>0.0730089375867927</v>
      </c>
      <c r="CC34" s="145" t="n">
        <f aca="false">BV34/$BW34</f>
        <v>0</v>
      </c>
    </row>
    <row r="35" customFormat="false" ht="15" hidden="false" customHeight="false" outlineLevel="0" collapsed="false">
      <c r="B35" s="9" t="s">
        <v>79</v>
      </c>
      <c r="C35" s="134" t="n">
        <f aca="false">AC35/$AI35</f>
        <v>0.219721174559952</v>
      </c>
      <c r="D35" s="135" t="n">
        <f aca="false">AD35/$AI35</f>
        <v>0.327540203720661</v>
      </c>
      <c r="E35" s="136" t="n">
        <f aca="false">AE35/$AI35</f>
        <v>0.189390569284004</v>
      </c>
      <c r="F35" s="132" t="n">
        <f aca="false">AF35/$AI35</f>
        <v>0.172800328091505</v>
      </c>
      <c r="G35" s="137" t="n">
        <f aca="false">AG35/$AI35</f>
        <v>0.0905477243438773</v>
      </c>
      <c r="H35" s="138" t="n">
        <f aca="false">AH35/$AI35</f>
        <v>0</v>
      </c>
      <c r="I35" s="134" t="n">
        <f aca="false">$L$3*'Voting History'!C35+$M$3*'Voting History'!I35+$N$3*'Voting History'!O35</f>
        <v>0.268861639470304</v>
      </c>
      <c r="J35" s="135" t="n">
        <f aca="false">$L$3*'Voting History'!D35+$M$3*'Voting History'!J35+$N$3*'Voting History'!P35</f>
        <v>0.272317479251303</v>
      </c>
      <c r="K35" s="136" t="n">
        <f aca="false">$L$3*'Voting History'!E35+$M$3*'Voting History'!K35+$N$3*'Voting History'!Q35</f>
        <v>0.255029341407124</v>
      </c>
      <c r="L35" s="132" t="n">
        <f aca="false">$L$3*'Voting History'!F35+$M$3*'Voting History'!L35+$N$3*'Voting History'!R35</f>
        <v>0.0923140336705307</v>
      </c>
      <c r="M35" s="137" t="n">
        <f aca="false">$L$3*'Voting History'!G35+$M$3*'Voting History'!M35+$N$3*'Voting History'!S35</f>
        <v>0.111477506200738</v>
      </c>
      <c r="N35" s="138" t="n">
        <f aca="false">$L$3*'Voting History'!H35+$M$3*'Voting History'!N35+$N$3*'Voting History'!T35</f>
        <v>0</v>
      </c>
      <c r="O35" s="134" t="n">
        <f aca="false">Polling!C35</f>
        <v>0.186315278465969</v>
      </c>
      <c r="P35" s="135" t="n">
        <f aca="false">Polling!D35</f>
        <v>0.39830161105387</v>
      </c>
      <c r="Q35" s="136" t="n">
        <f aca="false">Polling!E35</f>
        <v>0.216551537815974</v>
      </c>
      <c r="R35" s="132" t="n">
        <f aca="false">Polling!F35</f>
        <v>0.107590872307407</v>
      </c>
      <c r="S35" s="137" t="n">
        <f aca="false">Polling!G35</f>
        <v>0.0912407003567797</v>
      </c>
      <c r="T35" s="138" t="n">
        <f aca="false">Polling!H35</f>
        <v>0</v>
      </c>
      <c r="U35" s="139" t="n">
        <f aca="false">AJ35/$AP35</f>
        <v>0.216973637545248</v>
      </c>
      <c r="V35" s="140" t="n">
        <f aca="false">AK35/$AP35</f>
        <v>0.345577155903266</v>
      </c>
      <c r="W35" s="141" t="n">
        <f aca="false">AL35/$AP35</f>
        <v>0.218022698154171</v>
      </c>
      <c r="X35" s="142" t="n">
        <f aca="false">AM35/$AP35</f>
        <v>0.123334499383417</v>
      </c>
      <c r="Y35" s="143" t="n">
        <f aca="false">AN35/$AP35</f>
        <v>0.0960920090138985</v>
      </c>
      <c r="Z35" s="144" t="n">
        <f aca="false">AO35/$AP35</f>
        <v>0</v>
      </c>
      <c r="AA35" s="55" t="n">
        <f aca="false">SUMPRODUCT(Demographics!$C35:$I35,Demographics!$C$43:$I$43)</f>
        <v>0.607309263630757</v>
      </c>
      <c r="AC35" s="145" t="n">
        <f aca="false">SUMPRODUCT(Demographics!$C35:$I35,Demographics!$C$43:$I$43,Demographics!$C$44:$I$44)</f>
        <v>0.133438704726089</v>
      </c>
      <c r="AD35" s="145" t="n">
        <f aca="false">SUMPRODUCT(Demographics!$C35:$I35,Demographics!$C$43:$I$43,Demographics!$C$45:$I$45)</f>
        <v>0.198918199931063</v>
      </c>
      <c r="AE35" s="145" t="n">
        <f aca="false">SUMPRODUCT(Demographics!$C35:$I35,Demographics!$C$43:$I$43,Demographics!$C$46:$I$46)</f>
        <v>0.115018647170478</v>
      </c>
      <c r="AF35" s="145" t="n">
        <f aca="false">SUMPRODUCT(Demographics!$C35:$I35,Demographics!$C$43:$I$43,Demographics!$C$47:$I$47)</f>
        <v>0.104943240008405</v>
      </c>
      <c r="AG35" s="145" t="n">
        <f aca="false">SUMPRODUCT(Demographics!$C35:$I35,Demographics!$C$43:$I$43,Demographics!$C$48:$I$48)</f>
        <v>0.0549904717947209</v>
      </c>
      <c r="AH35" s="145" t="n">
        <f aca="false">SUMPRODUCT(Demographics!$C35:$I35,Demographics!$C$43:$I$43,Demographics!$C$49:$I$49)</f>
        <v>0</v>
      </c>
      <c r="AI35" s="145" t="n">
        <f aca="false">SUM(AC35:AH35)</f>
        <v>0.607309263630757</v>
      </c>
      <c r="AJ35" s="145" t="n">
        <f aca="false">$D$3*C35+$F$3*I35+$H$3*O35</f>
        <v>0.216973637545248</v>
      </c>
      <c r="AK35" s="145" t="n">
        <f aca="false">$D$3*D35+$F$3*J35+$H$3*P35</f>
        <v>0.345577155903266</v>
      </c>
      <c r="AL35" s="145" t="n">
        <f aca="false">$D$3*E35+$F$3*K35+$H$3*Q35</f>
        <v>0.218022698154171</v>
      </c>
      <c r="AM35" s="145" t="n">
        <f aca="false">$D$3*F35+$F$3*L35+$H$3*R35</f>
        <v>0.123334499383417</v>
      </c>
      <c r="AN35" s="145" t="n">
        <f aca="false">$D$3*G35+$F$3*M35+$H$3*S35</f>
        <v>0.0960920090138985</v>
      </c>
      <c r="AO35" s="145" t="n">
        <f aca="false">$D$3*H35+$F$3*N35+$H$3*T35</f>
        <v>0</v>
      </c>
      <c r="AP35" s="145" t="n">
        <f aca="false">SUM(AJ35:AO35)</f>
        <v>1</v>
      </c>
      <c r="AR35" s="145" t="n">
        <f aca="false">IF(U35&lt;0.000000001,0,MAX(0.0002,U35+Incumbency!C$20*Incumbency!$C$6+'Tactical &amp; Candidate'!C$12/100))</f>
        <v>0.216973637545248</v>
      </c>
      <c r="AS35" s="145" t="n">
        <f aca="false">IF(V35&lt;0.000000001,0,MAX(0.0002,V35+Incumbency!D$20*Incumbency!$C$6+'Tactical &amp; Candidate'!D$12/100))</f>
        <v>0.369577155903266</v>
      </c>
      <c r="AT35" s="145" t="n">
        <f aca="false">IF(W35&lt;0.000000001,0,MAX(0.0002,W35+Incumbency!E$20*Incumbency!$C$6+'Tactical &amp; Candidate'!E$12/100))</f>
        <v>0.218022698154171</v>
      </c>
      <c r="AU35" s="145" t="n">
        <f aca="false">IF(X35&lt;0.000000001,0,MAX(0.0002,X35+Incumbency!F$20*Incumbency!$C$6+'Tactical &amp; Candidate'!F$12/100))</f>
        <v>0.123334499383417</v>
      </c>
      <c r="AV35" s="145" t="n">
        <f aca="false">IF(Y35&lt;0.000000001,0,MAX(0.0002,Y35+Incumbency!G$20*Incumbency!$C$6+'Tactical &amp; Candidate'!G$12/100))</f>
        <v>0.0960920090138985</v>
      </c>
      <c r="AW35" s="145" t="n">
        <f aca="false">IF(Z35&lt;0.000000001,0,MAX(0.0002,Z35+Incumbency!H$20*Incumbency!$C$6+'Tactical &amp; Candidate'!H$12/100))</f>
        <v>0</v>
      </c>
      <c r="AX35" s="145" t="n">
        <f aca="false">SUM(AR35:AW35)</f>
        <v>1.024</v>
      </c>
      <c r="AY35" s="145" t="n">
        <f aca="false">AR35/$AX35</f>
        <v>0.211888317915281</v>
      </c>
      <c r="AZ35" s="145" t="n">
        <f aca="false">AS35/$AX35</f>
        <v>0.360915191311783</v>
      </c>
      <c r="BA35" s="145" t="n">
        <f aca="false">AT35/$AX35</f>
        <v>0.212912791166183</v>
      </c>
      <c r="BB35" s="145" t="n">
        <f aca="false">AU35/$AX35</f>
        <v>0.120443847054118</v>
      </c>
      <c r="BC35" s="145" t="n">
        <f aca="false">AV35/$AX35</f>
        <v>0.0938398525526353</v>
      </c>
      <c r="BD35" s="145" t="n">
        <f aca="false">AW35/$AX35</f>
        <v>0</v>
      </c>
      <c r="BF35" s="145" t="n">
        <f aca="false">AY35*(1-'Tactical &amp; Candidate'!C$8)</f>
        <v>0.211888317915281</v>
      </c>
      <c r="BG35" s="145" t="n">
        <f aca="false">AZ35*(1-'Tactical &amp; Candidate'!D$8)</f>
        <v>0.360915191311783</v>
      </c>
      <c r="BH35" s="145" t="n">
        <f aca="false">BA35*(1-'Tactical &amp; Candidate'!E$8)</f>
        <v>0.212912791166183</v>
      </c>
      <c r="BI35" s="145" t="n">
        <f aca="false">BB35*(1-'Tactical &amp; Candidate'!F$8)</f>
        <v>0.120443847054118</v>
      </c>
      <c r="BJ35" s="145" t="n">
        <f aca="false">BC35*(1-'Tactical &amp; Candidate'!G$8)</f>
        <v>0.0938398525526353</v>
      </c>
      <c r="BK35" s="145" t="n">
        <f aca="false">BD35*(1-'Tactical &amp; Candidate'!H$8)</f>
        <v>0</v>
      </c>
      <c r="BL35" s="145" t="n">
        <f aca="false">LARGE(AY35:BD35,2)</f>
        <v>0.212912791166183</v>
      </c>
      <c r="BM35" s="145" t="n">
        <f aca="false">SUMPRODUCT((AY35:BD35&lt;$BL35)*AY35:BD35)*'Tactical &amp; Candidate'!$C$6</f>
        <v>0</v>
      </c>
      <c r="BN35" s="145" t="n">
        <f aca="false">MAX(BF35:BK35)</f>
        <v>0.360915191311783</v>
      </c>
      <c r="BO35" s="146" t="n">
        <f aca="false">SUMPRODUCT((BF35:BK35=$BN35)*1)</f>
        <v>1</v>
      </c>
      <c r="BQ35" s="145" t="n">
        <f aca="false">AY35*(1-'Tactical &amp; Candidate'!$C$6*(AY35&lt;$BL35))+IF(BF35=$BN35,$BM35/$BO35,0)</f>
        <v>0.211888317915281</v>
      </c>
      <c r="BR35" s="145" t="n">
        <f aca="false">AZ35*(1-'Tactical &amp; Candidate'!$C$6*(AZ35&lt;$BL35))+IF(BG35=$BN35,$BM35/$BO35,0)</f>
        <v>0.360915191311783</v>
      </c>
      <c r="BS35" s="145" t="n">
        <f aca="false">BA35*(1-'Tactical &amp; Candidate'!$C$6*(BA35&lt;$BL35))+IF(BH35=$BN35,$BM35/$BO35,0)</f>
        <v>0.212912791166183</v>
      </c>
      <c r="BT35" s="145" t="n">
        <f aca="false">BB35*(1-'Tactical &amp; Candidate'!$C$6*(BB35&lt;$BL35))+IF(BI35=$BN35,$BM35/$BO35,0)</f>
        <v>0.120443847054118</v>
      </c>
      <c r="BU35" s="145" t="n">
        <f aca="false">BC35*(1-'Tactical &amp; Candidate'!$C$6*(BC35&lt;$BL35))+IF(BJ35=$BN35,$BM35/$BO35,0)</f>
        <v>0.0938398525526353</v>
      </c>
      <c r="BV35" s="145" t="n">
        <f aca="false">BD35*(1-'Tactical &amp; Candidate'!$C$6*(BD35&lt;$BL35))+IF(BK35=$BN35,$BM35/$BO35,0)</f>
        <v>0</v>
      </c>
      <c r="BW35" s="145" t="n">
        <f aca="false">SUM(BQ35:BV35)</f>
        <v>1</v>
      </c>
      <c r="BX35" s="145" t="n">
        <f aca="false">BQ35/$BW35</f>
        <v>0.211888317915281</v>
      </c>
      <c r="BY35" s="145" t="n">
        <f aca="false">BR35/$BW35</f>
        <v>0.360915191311783</v>
      </c>
      <c r="BZ35" s="145" t="n">
        <f aca="false">BS35/$BW35</f>
        <v>0.212912791166183</v>
      </c>
      <c r="CA35" s="145" t="n">
        <f aca="false">BT35/$BW35</f>
        <v>0.120443847054118</v>
      </c>
      <c r="CB35" s="145" t="n">
        <f aca="false">BU35/$BW35</f>
        <v>0.0938398525526353</v>
      </c>
      <c r="CC35" s="145" t="n">
        <f aca="false">BV35/$BW35</f>
        <v>0</v>
      </c>
    </row>
    <row r="36" customFormat="false" ht="15" hidden="false" customHeight="false" outlineLevel="0" collapsed="false">
      <c r="B36" s="22" t="s">
        <v>81</v>
      </c>
      <c r="C36" s="147" t="n">
        <f aca="false">AC36/$AI36</f>
        <v>0.2149041022075</v>
      </c>
      <c r="D36" s="148" t="n">
        <f aca="false">AD36/$AI36</f>
        <v>0.341536740352146</v>
      </c>
      <c r="E36" s="149" t="n">
        <f aca="false">AE36/$AI36</f>
        <v>0.169338213214255</v>
      </c>
      <c r="F36" s="150" t="n">
        <f aca="false">AF36/$AI36</f>
        <v>0.185509112738029</v>
      </c>
      <c r="G36" s="151" t="n">
        <f aca="false">AG36/$AI36</f>
        <v>0.0887118314880709</v>
      </c>
      <c r="H36" s="152" t="n">
        <f aca="false">AH36/$AI36</f>
        <v>0</v>
      </c>
      <c r="I36" s="147" t="n">
        <f aca="false">$L$3*'Voting History'!C36+$M$3*'Voting History'!I36+$N$3*'Voting History'!O36</f>
        <v>0.38303835657583</v>
      </c>
      <c r="J36" s="148" t="n">
        <f aca="false">$L$3*'Voting History'!D36+$M$3*'Voting History'!J36+$N$3*'Voting History'!P36</f>
        <v>0.171156321439216</v>
      </c>
      <c r="K36" s="149" t="n">
        <f aca="false">$L$3*'Voting History'!E36+$M$3*'Voting History'!K36+$N$3*'Voting History'!Q36</f>
        <v>0.165946691301849</v>
      </c>
      <c r="L36" s="150" t="n">
        <f aca="false">$L$3*'Voting History'!F36+$M$3*'Voting History'!L36+$N$3*'Voting History'!R36</f>
        <v>0.187643029716889</v>
      </c>
      <c r="M36" s="151" t="n">
        <f aca="false">$L$3*'Voting History'!G36+$M$3*'Voting History'!M36+$N$3*'Voting History'!S36</f>
        <v>0.0922156009662164</v>
      </c>
      <c r="N36" s="152" t="n">
        <f aca="false">$L$3*'Voting History'!H36+$M$3*'Voting History'!N36+$N$3*'Voting History'!T36</f>
        <v>0</v>
      </c>
      <c r="O36" s="147" t="n">
        <f aca="false">Polling!C36</f>
        <v>0.307476571865154</v>
      </c>
      <c r="P36" s="148" t="n">
        <f aca="false">Polling!D36</f>
        <v>0.252661183651335</v>
      </c>
      <c r="Q36" s="149" t="n">
        <f aca="false">Polling!E36</f>
        <v>0.143392996065578</v>
      </c>
      <c r="R36" s="150" t="n">
        <f aca="false">Polling!F36</f>
        <v>0.221307103626212</v>
      </c>
      <c r="S36" s="151" t="n">
        <f aca="false">Polling!G36</f>
        <v>0.0751621447917218</v>
      </c>
      <c r="T36" s="152" t="n">
        <f aca="false">Polling!H36</f>
        <v>0</v>
      </c>
      <c r="U36" s="153" t="n">
        <f aca="false">AJ36/$AP36</f>
        <v>0.298595277145527</v>
      </c>
      <c r="V36" s="154" t="n">
        <f aca="false">AK36/$AP36</f>
        <v>0.258947635108548</v>
      </c>
      <c r="W36" s="155" t="n">
        <f aca="false">AL36/$AP36</f>
        <v>0.156814985019249</v>
      </c>
      <c r="X36" s="156" t="n">
        <f aca="false">AM36/$AP36</f>
        <v>0.202151687882426</v>
      </c>
      <c r="Y36" s="157" t="n">
        <f aca="false">AN36/$AP36</f>
        <v>0.0834904148442502</v>
      </c>
      <c r="Z36" s="158" t="n">
        <f aca="false">AO36/$AP36</f>
        <v>0</v>
      </c>
      <c r="AA36" s="66" t="n">
        <f aca="false">SUMPRODUCT(Demographics!$C36:$I36,Demographics!$C$43:$I$43)</f>
        <v>0.640834552513208</v>
      </c>
      <c r="AC36" s="145" t="n">
        <f aca="false">SUMPRODUCT(Demographics!$C36:$I36,Demographics!$C$43:$I$43,Demographics!$C$44:$I$44)</f>
        <v>0.137717974171396</v>
      </c>
      <c r="AD36" s="145" t="n">
        <f aca="false">SUMPRODUCT(Demographics!$C36:$I36,Demographics!$C$43:$I$43,Demographics!$C$45:$I$45)</f>
        <v>0.218868544170387</v>
      </c>
      <c r="AE36" s="145" t="n">
        <f aca="false">SUMPRODUCT(Demographics!$C36:$I36,Demographics!$C$43:$I$43,Demographics!$C$46:$I$46)</f>
        <v>0.108517778088543</v>
      </c>
      <c r="AF36" s="145" t="n">
        <f aca="false">SUMPRODUCT(Demographics!$C36:$I36,Demographics!$C$43:$I$43,Demographics!$C$47:$I$47)</f>
        <v>0.118880649248597</v>
      </c>
      <c r="AG36" s="145" t="n">
        <f aca="false">SUMPRODUCT(Demographics!$C36:$I36,Demographics!$C$43:$I$43,Demographics!$C$48:$I$48)</f>
        <v>0.056849606834285</v>
      </c>
      <c r="AH36" s="145" t="n">
        <f aca="false">SUMPRODUCT(Demographics!$C36:$I36,Demographics!$C$43:$I$43,Demographics!$C$49:$I$49)</f>
        <v>0</v>
      </c>
      <c r="AI36" s="145" t="n">
        <f aca="false">SUM(AC36:AH36)</f>
        <v>0.640834552513208</v>
      </c>
      <c r="AJ36" s="145" t="n">
        <f aca="false">$D$3*C36+$F$3*I36+$H$3*O36</f>
        <v>0.298595277145527</v>
      </c>
      <c r="AK36" s="145" t="n">
        <f aca="false">$D$3*D36+$F$3*J36+$H$3*P36</f>
        <v>0.258947635108548</v>
      </c>
      <c r="AL36" s="145" t="n">
        <f aca="false">$D$3*E36+$F$3*K36+$H$3*Q36</f>
        <v>0.156814985019249</v>
      </c>
      <c r="AM36" s="145" t="n">
        <f aca="false">$D$3*F36+$F$3*L36+$H$3*R36</f>
        <v>0.202151687882426</v>
      </c>
      <c r="AN36" s="145" t="n">
        <f aca="false">$D$3*G36+$F$3*M36+$H$3*S36</f>
        <v>0.0834904148442502</v>
      </c>
      <c r="AO36" s="145" t="n">
        <f aca="false">$D$3*H36+$F$3*N36+$H$3*T36</f>
        <v>0</v>
      </c>
      <c r="AP36" s="145" t="n">
        <f aca="false">SUM(AJ36:AO36)</f>
        <v>1</v>
      </c>
      <c r="AR36" s="145" t="n">
        <f aca="false">IF(U36&lt;0.000000001,0,MAX(0.0002,U36+Incumbency!C$20*Incumbency!$C$6+'Tactical &amp; Candidate'!C$12/100))</f>
        <v>0.298595277145527</v>
      </c>
      <c r="AS36" s="145" t="n">
        <f aca="false">IF(V36&lt;0.000000001,0,MAX(0.0002,V36+Incumbency!D$20*Incumbency!$C$6+'Tactical &amp; Candidate'!D$12/100))</f>
        <v>0.282947635108548</v>
      </c>
      <c r="AT36" s="145" t="n">
        <f aca="false">IF(W36&lt;0.000000001,0,MAX(0.0002,W36+Incumbency!E$20*Incumbency!$C$6+'Tactical &amp; Candidate'!E$12/100))</f>
        <v>0.156814985019249</v>
      </c>
      <c r="AU36" s="145" t="n">
        <f aca="false">IF(X36&lt;0.000000001,0,MAX(0.0002,X36+Incumbency!F$20*Incumbency!$C$6+'Tactical &amp; Candidate'!F$12/100))</f>
        <v>0.202151687882426</v>
      </c>
      <c r="AV36" s="145" t="n">
        <f aca="false">IF(Y36&lt;0.000000001,0,MAX(0.0002,Y36+Incumbency!G$20*Incumbency!$C$6+'Tactical &amp; Candidate'!G$12/100))</f>
        <v>0.0834904148442502</v>
      </c>
      <c r="AW36" s="145" t="n">
        <f aca="false">IF(Z36&lt;0.000000001,0,MAX(0.0002,Z36+Incumbency!H$20*Incumbency!$C$6+'Tactical &amp; Candidate'!H$12/100))</f>
        <v>0</v>
      </c>
      <c r="AX36" s="145" t="n">
        <f aca="false">SUM(AR36:AW36)</f>
        <v>1.024</v>
      </c>
      <c r="AY36" s="145" t="n">
        <f aca="false">AR36/$AX36</f>
        <v>0.291596950337429</v>
      </c>
      <c r="AZ36" s="145" t="n">
        <f aca="false">AS36/$AX36</f>
        <v>0.276316049910692</v>
      </c>
      <c r="BA36" s="145" t="n">
        <f aca="false">AT36/$AX36</f>
        <v>0.15313963380786</v>
      </c>
      <c r="BB36" s="145" t="n">
        <f aca="false">AU36/$AX36</f>
        <v>0.197413757697682</v>
      </c>
      <c r="BC36" s="145" t="n">
        <f aca="false">AV36/$AX36</f>
        <v>0.081533608246338</v>
      </c>
      <c r="BD36" s="145" t="n">
        <f aca="false">AW36/$AX36</f>
        <v>0</v>
      </c>
      <c r="BF36" s="145" t="n">
        <f aca="false">AY36*(1-'Tactical &amp; Candidate'!C$8)</f>
        <v>0.291596950337429</v>
      </c>
      <c r="BG36" s="145" t="n">
        <f aca="false">AZ36*(1-'Tactical &amp; Candidate'!D$8)</f>
        <v>0.276316049910692</v>
      </c>
      <c r="BH36" s="145" t="n">
        <f aca="false">BA36*(1-'Tactical &amp; Candidate'!E$8)</f>
        <v>0.15313963380786</v>
      </c>
      <c r="BI36" s="145" t="n">
        <f aca="false">BB36*(1-'Tactical &amp; Candidate'!F$8)</f>
        <v>0.197413757697682</v>
      </c>
      <c r="BJ36" s="145" t="n">
        <f aca="false">BC36*(1-'Tactical &amp; Candidate'!G$8)</f>
        <v>0.081533608246338</v>
      </c>
      <c r="BK36" s="145" t="n">
        <f aca="false">BD36*(1-'Tactical &amp; Candidate'!H$8)</f>
        <v>0</v>
      </c>
      <c r="BL36" s="145" t="n">
        <f aca="false">LARGE(AY36:BD36,2)</f>
        <v>0.276316049910692</v>
      </c>
      <c r="BM36" s="145" t="n">
        <f aca="false">SUMPRODUCT((AY36:BD36&lt;$BL36)*AY36:BD36)*'Tactical &amp; Candidate'!$C$6</f>
        <v>0</v>
      </c>
      <c r="BN36" s="145" t="n">
        <f aca="false">MAX(BF36:BK36)</f>
        <v>0.291596950337429</v>
      </c>
      <c r="BO36" s="146" t="n">
        <f aca="false">SUMPRODUCT((BF36:BK36=$BN36)*1)</f>
        <v>1</v>
      </c>
      <c r="BQ36" s="145" t="n">
        <f aca="false">AY36*(1-'Tactical &amp; Candidate'!$C$6*(AY36&lt;$BL36))+IF(BF36=$BN36,$BM36/$BO36,0)</f>
        <v>0.291596950337429</v>
      </c>
      <c r="BR36" s="145" t="n">
        <f aca="false">AZ36*(1-'Tactical &amp; Candidate'!$C$6*(AZ36&lt;$BL36))+IF(BG36=$BN36,$BM36/$BO36,0)</f>
        <v>0.276316049910692</v>
      </c>
      <c r="BS36" s="145" t="n">
        <f aca="false">BA36*(1-'Tactical &amp; Candidate'!$C$6*(BA36&lt;$BL36))+IF(BH36=$BN36,$BM36/$BO36,0)</f>
        <v>0.15313963380786</v>
      </c>
      <c r="BT36" s="145" t="n">
        <f aca="false">BB36*(1-'Tactical &amp; Candidate'!$C$6*(BB36&lt;$BL36))+IF(BI36=$BN36,$BM36/$BO36,0)</f>
        <v>0.197413757697682</v>
      </c>
      <c r="BU36" s="145" t="n">
        <f aca="false">BC36*(1-'Tactical &amp; Candidate'!$C$6*(BC36&lt;$BL36))+IF(BJ36=$BN36,$BM36/$BO36,0)</f>
        <v>0.081533608246338</v>
      </c>
      <c r="BV36" s="145" t="n">
        <f aca="false">BD36*(1-'Tactical &amp; Candidate'!$C$6*(BD36&lt;$BL36))+IF(BK36=$BN36,$BM36/$BO36,0)</f>
        <v>0</v>
      </c>
      <c r="BW36" s="145" t="n">
        <f aca="false">SUM(BQ36:BV36)</f>
        <v>1</v>
      </c>
      <c r="BX36" s="145" t="n">
        <f aca="false">BQ36/$BW36</f>
        <v>0.291596950337429</v>
      </c>
      <c r="BY36" s="145" t="n">
        <f aca="false">BR36/$BW36</f>
        <v>0.276316049910692</v>
      </c>
      <c r="BZ36" s="145" t="n">
        <f aca="false">BS36/$BW36</f>
        <v>0.15313963380786</v>
      </c>
      <c r="CA36" s="145" t="n">
        <f aca="false">BT36/$BW36</f>
        <v>0.197413757697682</v>
      </c>
      <c r="CB36" s="145" t="n">
        <f aca="false">BU36/$BW36</f>
        <v>0.081533608246338</v>
      </c>
      <c r="CC36" s="145" t="n">
        <f aca="false">BV36/$BW36</f>
        <v>0</v>
      </c>
    </row>
    <row r="37" customFormat="false" ht="15" hidden="false" customHeight="false" outlineLevel="0" collapsed="false">
      <c r="B37" s="9" t="s">
        <v>83</v>
      </c>
      <c r="C37" s="134" t="n">
        <f aca="false">AC37/$AI37</f>
        <v>0.220062819497288</v>
      </c>
      <c r="D37" s="135" t="n">
        <f aca="false">AD37/$AI37</f>
        <v>0.318628498174139</v>
      </c>
      <c r="E37" s="136" t="n">
        <f aca="false">AE37/$AI37</f>
        <v>0.183914194224559</v>
      </c>
      <c r="F37" s="132" t="n">
        <f aca="false">AF37/$AI37</f>
        <v>0.1851327516383</v>
      </c>
      <c r="G37" s="137" t="n">
        <f aca="false">AG37/$AI37</f>
        <v>0.0922617364657147</v>
      </c>
      <c r="H37" s="138" t="n">
        <f aca="false">AH37/$AI37</f>
        <v>0</v>
      </c>
      <c r="I37" s="134" t="n">
        <f aca="false">$L$3*'Voting History'!C37+$M$3*'Voting History'!I37+$N$3*'Voting History'!O37</f>
        <v>0.320368497244308</v>
      </c>
      <c r="J37" s="135" t="n">
        <f aca="false">$L$3*'Voting History'!D37+$M$3*'Voting History'!J37+$N$3*'Voting History'!P37</f>
        <v>0.275622360044472</v>
      </c>
      <c r="K37" s="136" t="n">
        <f aca="false">$L$3*'Voting History'!E37+$M$3*'Voting History'!K37+$N$3*'Voting History'!Q37</f>
        <v>0.166767676090192</v>
      </c>
      <c r="L37" s="132" t="n">
        <f aca="false">$L$3*'Voting History'!F37+$M$3*'Voting History'!L37+$N$3*'Voting History'!R37</f>
        <v>0.150345762347255</v>
      </c>
      <c r="M37" s="137" t="n">
        <f aca="false">$L$3*'Voting History'!G37+$M$3*'Voting History'!M37+$N$3*'Voting History'!S37</f>
        <v>0.0868957042737729</v>
      </c>
      <c r="N37" s="138" t="n">
        <f aca="false">$L$3*'Voting History'!H37+$M$3*'Voting History'!N37+$N$3*'Voting History'!T37</f>
        <v>0</v>
      </c>
      <c r="O37" s="134" t="n">
        <f aca="false">Polling!C37</f>
        <v>0.228470274658537</v>
      </c>
      <c r="P37" s="135" t="n">
        <f aca="false">Polling!D37</f>
        <v>0.379908157853608</v>
      </c>
      <c r="Q37" s="136" t="n">
        <f aca="false">Polling!E37</f>
        <v>0.153288130826958</v>
      </c>
      <c r="R37" s="132" t="n">
        <f aca="false">Polling!F37</f>
        <v>0.170168578090381</v>
      </c>
      <c r="S37" s="137" t="n">
        <f aca="false">Polling!G37</f>
        <v>0.0681648585705164</v>
      </c>
      <c r="T37" s="138" t="n">
        <f aca="false">Polling!H37</f>
        <v>0</v>
      </c>
      <c r="U37" s="139" t="n">
        <f aca="false">AJ37/$AP37</f>
        <v>0.248922593756605</v>
      </c>
      <c r="V37" s="140" t="n">
        <f aca="false">AK37/$AP37</f>
        <v>0.335452810497483</v>
      </c>
      <c r="W37" s="141" t="n">
        <f aca="false">AL37/$AP37</f>
        <v>0.165845836162047</v>
      </c>
      <c r="X37" s="142" t="n">
        <f aca="false">AM37/$AP37</f>
        <v>0.169702126218975</v>
      </c>
      <c r="Y37" s="143" t="n">
        <f aca="false">AN37/$AP37</f>
        <v>0.08007663336489</v>
      </c>
      <c r="Z37" s="144" t="n">
        <f aca="false">AO37/$AP37</f>
        <v>0</v>
      </c>
      <c r="AA37" s="55" t="n">
        <f aca="false">SUMPRODUCT(Demographics!$C37:$I37,Demographics!$C$43:$I$43)</f>
        <v>0.636611219667272</v>
      </c>
      <c r="AC37" s="145" t="n">
        <f aca="false">SUMPRODUCT(Demographics!$C37:$I37,Demographics!$C$43:$I$43,Demographics!$C$44:$I$44)</f>
        <v>0.140094459923587</v>
      </c>
      <c r="AD37" s="145" t="n">
        <f aca="false">SUMPRODUCT(Demographics!$C37:$I37,Demographics!$C$43:$I$43,Demographics!$C$45:$I$45)</f>
        <v>0.202842476843389</v>
      </c>
      <c r="AE37" s="145" t="n">
        <f aca="false">SUMPRODUCT(Demographics!$C37:$I37,Demographics!$C$43:$I$43,Demographics!$C$46:$I$46)</f>
        <v>0.11708183949942</v>
      </c>
      <c r="AF37" s="145" t="n">
        <f aca="false">SUMPRODUCT(Demographics!$C37:$I37,Demographics!$C$43:$I$43,Demographics!$C$47:$I$47)</f>
        <v>0.117857586820816</v>
      </c>
      <c r="AG37" s="145" t="n">
        <f aca="false">SUMPRODUCT(Demographics!$C37:$I37,Demographics!$C$43:$I$43,Demographics!$C$48:$I$48)</f>
        <v>0.0587348565800591</v>
      </c>
      <c r="AH37" s="145" t="n">
        <f aca="false">SUMPRODUCT(Demographics!$C37:$I37,Demographics!$C$43:$I$43,Demographics!$C$49:$I$49)</f>
        <v>0</v>
      </c>
      <c r="AI37" s="145" t="n">
        <f aca="false">SUM(AC37:AH37)</f>
        <v>0.636611219667272</v>
      </c>
      <c r="AJ37" s="145" t="n">
        <f aca="false">$D$3*C37+$F$3*I37+$H$3*O37</f>
        <v>0.248922593756605</v>
      </c>
      <c r="AK37" s="145" t="n">
        <f aca="false">$D$3*D37+$F$3*J37+$H$3*P37</f>
        <v>0.335452810497483</v>
      </c>
      <c r="AL37" s="145" t="n">
        <f aca="false">$D$3*E37+$F$3*K37+$H$3*Q37</f>
        <v>0.165845836162047</v>
      </c>
      <c r="AM37" s="145" t="n">
        <f aca="false">$D$3*F37+$F$3*L37+$H$3*R37</f>
        <v>0.169702126218975</v>
      </c>
      <c r="AN37" s="145" t="n">
        <f aca="false">$D$3*G37+$F$3*M37+$H$3*S37</f>
        <v>0.08007663336489</v>
      </c>
      <c r="AO37" s="145" t="n">
        <f aca="false">$D$3*H37+$F$3*N37+$H$3*T37</f>
        <v>0</v>
      </c>
      <c r="AP37" s="145" t="n">
        <f aca="false">SUM(AJ37:AO37)</f>
        <v>1</v>
      </c>
      <c r="AR37" s="145" t="n">
        <f aca="false">IF(U37&lt;0.000000001,0,MAX(0.0002,U37+Incumbency!C$20*Incumbency!$C$6+'Tactical &amp; Candidate'!C$12/100))</f>
        <v>0.248922593756605</v>
      </c>
      <c r="AS37" s="145" t="n">
        <f aca="false">IF(V37&lt;0.000000001,0,MAX(0.0002,V37+Incumbency!D$20*Incumbency!$C$6+'Tactical &amp; Candidate'!D$12/100))</f>
        <v>0.359452810497483</v>
      </c>
      <c r="AT37" s="145" t="n">
        <f aca="false">IF(W37&lt;0.000000001,0,MAX(0.0002,W37+Incumbency!E$20*Incumbency!$C$6+'Tactical &amp; Candidate'!E$12/100))</f>
        <v>0.165845836162047</v>
      </c>
      <c r="AU37" s="145" t="n">
        <f aca="false">IF(X37&lt;0.000000001,0,MAX(0.0002,X37+Incumbency!F$20*Incumbency!$C$6+'Tactical &amp; Candidate'!F$12/100))</f>
        <v>0.169702126218975</v>
      </c>
      <c r="AV37" s="145" t="n">
        <f aca="false">IF(Y37&lt;0.000000001,0,MAX(0.0002,Y37+Incumbency!G$20*Incumbency!$C$6+'Tactical &amp; Candidate'!G$12/100))</f>
        <v>0.08007663336489</v>
      </c>
      <c r="AW37" s="145" t="n">
        <f aca="false">IF(Z37&lt;0.000000001,0,MAX(0.0002,Z37+Incumbency!H$20*Incumbency!$C$6+'Tactical &amp; Candidate'!H$12/100))</f>
        <v>0</v>
      </c>
      <c r="AX37" s="145" t="n">
        <f aca="false">SUM(AR37:AW37)</f>
        <v>1.024</v>
      </c>
      <c r="AY37" s="145" t="n">
        <f aca="false">AR37/$AX37</f>
        <v>0.243088470465434</v>
      </c>
      <c r="AZ37" s="145" t="n">
        <f aca="false">AS37/$AX37</f>
        <v>0.351028135251449</v>
      </c>
      <c r="BA37" s="145" t="n">
        <f aca="false">AT37/$AX37</f>
        <v>0.161958824376999</v>
      </c>
      <c r="BB37" s="145" t="n">
        <f aca="false">AU37/$AX37</f>
        <v>0.165724732635718</v>
      </c>
      <c r="BC37" s="145" t="n">
        <f aca="false">AV37/$AX37</f>
        <v>0.0781998372704004</v>
      </c>
      <c r="BD37" s="145" t="n">
        <f aca="false">AW37/$AX37</f>
        <v>0</v>
      </c>
      <c r="BF37" s="145" t="n">
        <f aca="false">AY37*(1-'Tactical &amp; Candidate'!C$8)</f>
        <v>0.243088470465434</v>
      </c>
      <c r="BG37" s="145" t="n">
        <f aca="false">AZ37*(1-'Tactical &amp; Candidate'!D$8)</f>
        <v>0.351028135251449</v>
      </c>
      <c r="BH37" s="145" t="n">
        <f aca="false">BA37*(1-'Tactical &amp; Candidate'!E$8)</f>
        <v>0.161958824376999</v>
      </c>
      <c r="BI37" s="145" t="n">
        <f aca="false">BB37*(1-'Tactical &amp; Candidate'!F$8)</f>
        <v>0.165724732635718</v>
      </c>
      <c r="BJ37" s="145" t="n">
        <f aca="false">BC37*(1-'Tactical &amp; Candidate'!G$8)</f>
        <v>0.0781998372704004</v>
      </c>
      <c r="BK37" s="145" t="n">
        <f aca="false">BD37*(1-'Tactical &amp; Candidate'!H$8)</f>
        <v>0</v>
      </c>
      <c r="BL37" s="145" t="n">
        <f aca="false">LARGE(AY37:BD37,2)</f>
        <v>0.243088470465434</v>
      </c>
      <c r="BM37" s="145" t="n">
        <f aca="false">SUMPRODUCT((AY37:BD37&lt;$BL37)*AY37:BD37)*'Tactical &amp; Candidate'!$C$6</f>
        <v>0</v>
      </c>
      <c r="BN37" s="145" t="n">
        <f aca="false">MAX(BF37:BK37)</f>
        <v>0.351028135251449</v>
      </c>
      <c r="BO37" s="146" t="n">
        <f aca="false">SUMPRODUCT((BF37:BK37=$BN37)*1)</f>
        <v>1</v>
      </c>
      <c r="BQ37" s="145" t="n">
        <f aca="false">AY37*(1-'Tactical &amp; Candidate'!$C$6*(AY37&lt;$BL37))+IF(BF37=$BN37,$BM37/$BO37,0)</f>
        <v>0.243088470465434</v>
      </c>
      <c r="BR37" s="145" t="n">
        <f aca="false">AZ37*(1-'Tactical &amp; Candidate'!$C$6*(AZ37&lt;$BL37))+IF(BG37=$BN37,$BM37/$BO37,0)</f>
        <v>0.351028135251449</v>
      </c>
      <c r="BS37" s="145" t="n">
        <f aca="false">BA37*(1-'Tactical &amp; Candidate'!$C$6*(BA37&lt;$BL37))+IF(BH37=$BN37,$BM37/$BO37,0)</f>
        <v>0.161958824376999</v>
      </c>
      <c r="BT37" s="145" t="n">
        <f aca="false">BB37*(1-'Tactical &amp; Candidate'!$C$6*(BB37&lt;$BL37))+IF(BI37=$BN37,$BM37/$BO37,0)</f>
        <v>0.165724732635718</v>
      </c>
      <c r="BU37" s="145" t="n">
        <f aca="false">BC37*(1-'Tactical &amp; Candidate'!$C$6*(BC37&lt;$BL37))+IF(BJ37=$BN37,$BM37/$BO37,0)</f>
        <v>0.0781998372704004</v>
      </c>
      <c r="BV37" s="145" t="n">
        <f aca="false">BD37*(1-'Tactical &amp; Candidate'!$C$6*(BD37&lt;$BL37))+IF(BK37=$BN37,$BM37/$BO37,0)</f>
        <v>0</v>
      </c>
      <c r="BW37" s="145" t="n">
        <f aca="false">SUM(BQ37:BV37)</f>
        <v>1</v>
      </c>
      <c r="BX37" s="145" t="n">
        <f aca="false">BQ37/$BW37</f>
        <v>0.243088470465434</v>
      </c>
      <c r="BY37" s="145" t="n">
        <f aca="false">BR37/$BW37</f>
        <v>0.351028135251449</v>
      </c>
      <c r="BZ37" s="145" t="n">
        <f aca="false">BS37/$BW37</f>
        <v>0.161958824376999</v>
      </c>
      <c r="CA37" s="145" t="n">
        <f aca="false">BT37/$BW37</f>
        <v>0.165724732635718</v>
      </c>
      <c r="CB37" s="145" t="n">
        <f aca="false">BU37/$BW37</f>
        <v>0.0781998372704004</v>
      </c>
      <c r="CC37" s="145" t="n">
        <f aca="false">BV37/$BW37</f>
        <v>0</v>
      </c>
    </row>
    <row r="38" customFormat="false" ht="15" hidden="false" customHeight="false" outlineLevel="0" collapsed="false">
      <c r="B38" s="22" t="s">
        <v>84</v>
      </c>
      <c r="C38" s="147" t="n">
        <f aca="false">AC38/$AI38</f>
        <v>0.219115213976381</v>
      </c>
      <c r="D38" s="148" t="n">
        <f aca="false">AD38/$AI38</f>
        <v>0.322229143271107</v>
      </c>
      <c r="E38" s="149" t="n">
        <f aca="false">AE38/$AI38</f>
        <v>0.179539890296418</v>
      </c>
      <c r="F38" s="150" t="n">
        <f aca="false">AF38/$AI38</f>
        <v>0.187384623905591</v>
      </c>
      <c r="G38" s="151" t="n">
        <f aca="false">AG38/$AI38</f>
        <v>0.0917311285505023</v>
      </c>
      <c r="H38" s="152" t="n">
        <f aca="false">AH38/$AI38</f>
        <v>0</v>
      </c>
      <c r="I38" s="147" t="n">
        <f aca="false">$L$3*'Voting History'!C38+$M$3*'Voting History'!I38+$N$3*'Voting History'!O38</f>
        <v>0.371214969975343</v>
      </c>
      <c r="J38" s="148" t="n">
        <f aca="false">$L$3*'Voting History'!D38+$M$3*'Voting History'!J38+$N$3*'Voting History'!P38</f>
        <v>0.255037407288918</v>
      </c>
      <c r="K38" s="149" t="n">
        <f aca="false">$L$3*'Voting History'!E38+$M$3*'Voting History'!K38+$N$3*'Voting History'!Q38</f>
        <v>0.184808193199168</v>
      </c>
      <c r="L38" s="150" t="n">
        <f aca="false">$L$3*'Voting History'!F38+$M$3*'Voting History'!L38+$N$3*'Voting History'!R38</f>
        <v>0.114264461314292</v>
      </c>
      <c r="M38" s="151" t="n">
        <f aca="false">$L$3*'Voting History'!G38+$M$3*'Voting History'!M38+$N$3*'Voting History'!S38</f>
        <v>0.0746749682222792</v>
      </c>
      <c r="N38" s="152" t="n">
        <f aca="false">$L$3*'Voting History'!H38+$M$3*'Voting History'!N38+$N$3*'Voting History'!T38</f>
        <v>0</v>
      </c>
      <c r="O38" s="147" t="n">
        <f aca="false">Polling!C38</f>
        <v>0.281323284405518</v>
      </c>
      <c r="P38" s="148" t="n">
        <f aca="false">Polling!D38</f>
        <v>0.380890659858465</v>
      </c>
      <c r="Q38" s="149" t="n">
        <f aca="false">Polling!E38</f>
        <v>0.159429556597443</v>
      </c>
      <c r="R38" s="150" t="n">
        <f aca="false">Polling!F38</f>
        <v>0.117724502390091</v>
      </c>
      <c r="S38" s="151" t="n">
        <f aca="false">Polling!G38</f>
        <v>0.0606319967484832</v>
      </c>
      <c r="T38" s="152" t="n">
        <f aca="false">Polling!H38</f>
        <v>0</v>
      </c>
      <c r="U38" s="153" t="n">
        <f aca="false">AJ38/$AP38</f>
        <v>0.285133784669233</v>
      </c>
      <c r="V38" s="154" t="n">
        <f aca="false">AK38/$AP38</f>
        <v>0.331828891739871</v>
      </c>
      <c r="W38" s="155" t="n">
        <f aca="false">AL38/$AP38</f>
        <v>0.171807315857567</v>
      </c>
      <c r="X38" s="156" t="n">
        <f aca="false">AM38/$AP38</f>
        <v>0.137757528575791</v>
      </c>
      <c r="Y38" s="157" t="n">
        <f aca="false">AN38/$AP38</f>
        <v>0.0734724791575379</v>
      </c>
      <c r="Z38" s="158" t="n">
        <f aca="false">AO38/$AP38</f>
        <v>0</v>
      </c>
      <c r="AA38" s="66" t="n">
        <f aca="false">SUMPRODUCT(Demographics!$C38:$I38,Demographics!$C$43:$I$43)</f>
        <v>0.628918631117452</v>
      </c>
      <c r="AC38" s="145" t="n">
        <f aca="false">SUMPRODUCT(Demographics!$C38:$I38,Demographics!$C$43:$I$43,Demographics!$C$44:$I$44)</f>
        <v>0.137805640431033</v>
      </c>
      <c r="AD38" s="145" t="n">
        <f aca="false">SUMPRODUCT(Demographics!$C38:$I38,Demographics!$C$43:$I$43,Demographics!$C$45:$I$45)</f>
        <v>0.202655911692214</v>
      </c>
      <c r="AE38" s="145" t="n">
        <f aca="false">SUMPRODUCT(Demographics!$C38:$I38,Demographics!$C$43:$I$43,Demographics!$C$46:$I$46)</f>
        <v>0.112915982036201</v>
      </c>
      <c r="AF38" s="145" t="n">
        <f aca="false">SUMPRODUCT(Demographics!$C38:$I38,Demographics!$C$43:$I$43,Demographics!$C$47:$I$47)</f>
        <v>0.117849681159163</v>
      </c>
      <c r="AG38" s="145" t="n">
        <f aca="false">SUMPRODUCT(Demographics!$C38:$I38,Demographics!$C$43:$I$43,Demographics!$C$48:$I$48)</f>
        <v>0.0576914157988409</v>
      </c>
      <c r="AH38" s="145" t="n">
        <f aca="false">SUMPRODUCT(Demographics!$C38:$I38,Demographics!$C$43:$I$43,Demographics!$C$49:$I$49)</f>
        <v>0</v>
      </c>
      <c r="AI38" s="145" t="n">
        <f aca="false">SUM(AC38:AH38)</f>
        <v>0.628918631117452</v>
      </c>
      <c r="AJ38" s="145" t="n">
        <f aca="false">$D$3*C38+$F$3*I38+$H$3*O38</f>
        <v>0.285133784669233</v>
      </c>
      <c r="AK38" s="145" t="n">
        <f aca="false">$D$3*D38+$F$3*J38+$H$3*P38</f>
        <v>0.331828891739871</v>
      </c>
      <c r="AL38" s="145" t="n">
        <f aca="false">$D$3*E38+$F$3*K38+$H$3*Q38</f>
        <v>0.171807315857567</v>
      </c>
      <c r="AM38" s="145" t="n">
        <f aca="false">$D$3*F38+$F$3*L38+$H$3*R38</f>
        <v>0.137757528575791</v>
      </c>
      <c r="AN38" s="145" t="n">
        <f aca="false">$D$3*G38+$F$3*M38+$H$3*S38</f>
        <v>0.0734724791575379</v>
      </c>
      <c r="AO38" s="145" t="n">
        <f aca="false">$D$3*H38+$F$3*N38+$H$3*T38</f>
        <v>0</v>
      </c>
      <c r="AP38" s="145" t="n">
        <f aca="false">SUM(AJ38:AO38)</f>
        <v>1</v>
      </c>
      <c r="AR38" s="145" t="n">
        <f aca="false">IF(U38&lt;0.000000001,0,MAX(0.0002,U38+Incumbency!C$20*Incumbency!$C$6+'Tactical &amp; Candidate'!C$12/100))</f>
        <v>0.285133784669233</v>
      </c>
      <c r="AS38" s="145" t="n">
        <f aca="false">IF(V38&lt;0.000000001,0,MAX(0.0002,V38+Incumbency!D$20*Incumbency!$C$6+'Tactical &amp; Candidate'!D$12/100))</f>
        <v>0.355828891739871</v>
      </c>
      <c r="AT38" s="145" t="n">
        <f aca="false">IF(W38&lt;0.000000001,0,MAX(0.0002,W38+Incumbency!E$20*Incumbency!$C$6+'Tactical &amp; Candidate'!E$12/100))</f>
        <v>0.171807315857567</v>
      </c>
      <c r="AU38" s="145" t="n">
        <f aca="false">IF(X38&lt;0.000000001,0,MAX(0.0002,X38+Incumbency!F$20*Incumbency!$C$6+'Tactical &amp; Candidate'!F$12/100))</f>
        <v>0.137757528575791</v>
      </c>
      <c r="AV38" s="145" t="n">
        <f aca="false">IF(Y38&lt;0.000000001,0,MAX(0.0002,Y38+Incumbency!G$20*Incumbency!$C$6+'Tactical &amp; Candidate'!G$12/100))</f>
        <v>0.0734724791575379</v>
      </c>
      <c r="AW38" s="145" t="n">
        <f aca="false">IF(Z38&lt;0.000000001,0,MAX(0.0002,Z38+Incumbency!H$20*Incumbency!$C$6+'Tactical &amp; Candidate'!H$12/100))</f>
        <v>0</v>
      </c>
      <c r="AX38" s="145" t="n">
        <f aca="false">SUM(AR38:AW38)</f>
        <v>1.024</v>
      </c>
      <c r="AY38" s="145" t="n">
        <f aca="false">AR38/$AX38</f>
        <v>0.278450961591048</v>
      </c>
      <c r="AZ38" s="145" t="n">
        <f aca="false">AS38/$AX38</f>
        <v>0.347489152089718</v>
      </c>
      <c r="BA38" s="145" t="n">
        <f aca="false">AT38/$AX38</f>
        <v>0.167780581892155</v>
      </c>
      <c r="BB38" s="145" t="n">
        <f aca="false">AU38/$AX38</f>
        <v>0.134528836499796</v>
      </c>
      <c r="BC38" s="145" t="n">
        <f aca="false">AV38/$AX38</f>
        <v>0.0717504679272831</v>
      </c>
      <c r="BD38" s="145" t="n">
        <f aca="false">AW38/$AX38</f>
        <v>0</v>
      </c>
      <c r="BF38" s="145" t="n">
        <f aca="false">AY38*(1-'Tactical &amp; Candidate'!C$8)</f>
        <v>0.278450961591048</v>
      </c>
      <c r="BG38" s="145" t="n">
        <f aca="false">AZ38*(1-'Tactical &amp; Candidate'!D$8)</f>
        <v>0.347489152089718</v>
      </c>
      <c r="BH38" s="145" t="n">
        <f aca="false">BA38*(1-'Tactical &amp; Candidate'!E$8)</f>
        <v>0.167780581892155</v>
      </c>
      <c r="BI38" s="145" t="n">
        <f aca="false">BB38*(1-'Tactical &amp; Candidate'!F$8)</f>
        <v>0.134528836499796</v>
      </c>
      <c r="BJ38" s="145" t="n">
        <f aca="false">BC38*(1-'Tactical &amp; Candidate'!G$8)</f>
        <v>0.0717504679272831</v>
      </c>
      <c r="BK38" s="145" t="n">
        <f aca="false">BD38*(1-'Tactical &amp; Candidate'!H$8)</f>
        <v>0</v>
      </c>
      <c r="BL38" s="145" t="n">
        <f aca="false">LARGE(AY38:BD38,2)</f>
        <v>0.278450961591048</v>
      </c>
      <c r="BM38" s="145" t="n">
        <f aca="false">SUMPRODUCT((AY38:BD38&lt;$BL38)*AY38:BD38)*'Tactical &amp; Candidate'!$C$6</f>
        <v>0</v>
      </c>
      <c r="BN38" s="145" t="n">
        <f aca="false">MAX(BF38:BK38)</f>
        <v>0.347489152089718</v>
      </c>
      <c r="BO38" s="146" t="n">
        <f aca="false">SUMPRODUCT((BF38:BK38=$BN38)*1)</f>
        <v>1</v>
      </c>
      <c r="BQ38" s="145" t="n">
        <f aca="false">AY38*(1-'Tactical &amp; Candidate'!$C$6*(AY38&lt;$BL38))+IF(BF38=$BN38,$BM38/$BO38,0)</f>
        <v>0.278450961591048</v>
      </c>
      <c r="BR38" s="145" t="n">
        <f aca="false">AZ38*(1-'Tactical &amp; Candidate'!$C$6*(AZ38&lt;$BL38))+IF(BG38=$BN38,$BM38/$BO38,0)</f>
        <v>0.347489152089718</v>
      </c>
      <c r="BS38" s="145" t="n">
        <f aca="false">BA38*(1-'Tactical &amp; Candidate'!$C$6*(BA38&lt;$BL38))+IF(BH38=$BN38,$BM38/$BO38,0)</f>
        <v>0.167780581892155</v>
      </c>
      <c r="BT38" s="145" t="n">
        <f aca="false">BB38*(1-'Tactical &amp; Candidate'!$C$6*(BB38&lt;$BL38))+IF(BI38=$BN38,$BM38/$BO38,0)</f>
        <v>0.134528836499796</v>
      </c>
      <c r="BU38" s="145" t="n">
        <f aca="false">BC38*(1-'Tactical &amp; Candidate'!$C$6*(BC38&lt;$BL38))+IF(BJ38=$BN38,$BM38/$BO38,0)</f>
        <v>0.0717504679272831</v>
      </c>
      <c r="BV38" s="145" t="n">
        <f aca="false">BD38*(1-'Tactical &amp; Candidate'!$C$6*(BD38&lt;$BL38))+IF(BK38=$BN38,$BM38/$BO38,0)</f>
        <v>0</v>
      </c>
      <c r="BW38" s="145" t="n">
        <f aca="false">SUM(BQ38:BV38)</f>
        <v>1</v>
      </c>
      <c r="BX38" s="145" t="n">
        <f aca="false">BQ38/$BW38</f>
        <v>0.278450961591048</v>
      </c>
      <c r="BY38" s="145" t="n">
        <f aca="false">BR38/$BW38</f>
        <v>0.347489152089718</v>
      </c>
      <c r="BZ38" s="145" t="n">
        <f aca="false">BS38/$BW38</f>
        <v>0.167780581892155</v>
      </c>
      <c r="CA38" s="145" t="n">
        <f aca="false">BT38/$BW38</f>
        <v>0.134528836499796</v>
      </c>
      <c r="CB38" s="145" t="n">
        <f aca="false">BU38/$BW38</f>
        <v>0.0717504679272831</v>
      </c>
      <c r="CC38" s="145" t="n">
        <f aca="false">BV38/$BW38</f>
        <v>0</v>
      </c>
    </row>
    <row r="39" customFormat="false" ht="15" hidden="false" customHeight="false" outlineLevel="0" collapsed="false">
      <c r="B39" s="9" t="s">
        <v>86</v>
      </c>
      <c r="C39" s="134" t="n">
        <f aca="false">AC39/$AI39</f>
        <v>0.235026325603563</v>
      </c>
      <c r="D39" s="135" t="n">
        <f aca="false">AD39/$AI39</f>
        <v>0.297985545875169</v>
      </c>
      <c r="E39" s="136" t="n">
        <f aca="false">AE39/$AI39</f>
        <v>0.236932714093508</v>
      </c>
      <c r="F39" s="132" t="n">
        <f aca="false">AF39/$AI39</f>
        <v>0.136657788723506</v>
      </c>
      <c r="G39" s="137" t="n">
        <f aca="false">AG39/$AI39</f>
        <v>0.0933976257042537</v>
      </c>
      <c r="H39" s="138" t="n">
        <f aca="false">AH39/$AI39</f>
        <v>0</v>
      </c>
      <c r="I39" s="134" t="n">
        <f aca="false">$L$3*'Voting History'!C39+$M$3*'Voting History'!I39+$N$3*'Voting History'!O39</f>
        <v>0.455304165571715</v>
      </c>
      <c r="J39" s="135" t="n">
        <f aca="false">$L$3*'Voting History'!D39+$M$3*'Voting History'!J39+$N$3*'Voting History'!P39</f>
        <v>0.137616361170175</v>
      </c>
      <c r="K39" s="136" t="n">
        <f aca="false">$L$3*'Voting History'!E39+$M$3*'Voting History'!K39+$N$3*'Voting History'!Q39</f>
        <v>0.223383737067811</v>
      </c>
      <c r="L39" s="132" t="n">
        <f aca="false">$L$3*'Voting History'!F39+$M$3*'Voting History'!L39+$N$3*'Voting History'!R39</f>
        <v>0.0787118591771165</v>
      </c>
      <c r="M39" s="137" t="n">
        <f aca="false">$L$3*'Voting History'!G39+$M$3*'Voting History'!M39+$N$3*'Voting History'!S39</f>
        <v>0.104983877013182</v>
      </c>
      <c r="N39" s="138" t="n">
        <f aca="false">$L$3*'Voting History'!H39+$M$3*'Voting History'!N39+$N$3*'Voting History'!T39</f>
        <v>0</v>
      </c>
      <c r="O39" s="134" t="n">
        <f aca="false">Polling!C39</f>
        <v>0.397346617778967</v>
      </c>
      <c r="P39" s="135" t="n">
        <f aca="false">Polling!D39</f>
        <v>0.214267924739891</v>
      </c>
      <c r="Q39" s="136" t="n">
        <f aca="false">Polling!E39</f>
        <v>0.214860439685029</v>
      </c>
      <c r="R39" s="132" t="n">
        <f aca="false">Polling!F39</f>
        <v>0.0963290828076649</v>
      </c>
      <c r="S39" s="137" t="n">
        <f aca="false">Polling!G39</f>
        <v>0.0771959349884486</v>
      </c>
      <c r="T39" s="138" t="n">
        <f aca="false">Polling!H39</f>
        <v>0</v>
      </c>
      <c r="U39" s="139" t="n">
        <f aca="false">AJ39/$AP39</f>
        <v>0.363139917074532</v>
      </c>
      <c r="V39" s="140" t="n">
        <f aca="false">AK39/$AP39</f>
        <v>0.220220320188045</v>
      </c>
      <c r="W39" s="141" t="n">
        <f aca="false">AL39/$AP39</f>
        <v>0.223612946353268</v>
      </c>
      <c r="X39" s="142" t="n">
        <f aca="false">AM39/$AP39</f>
        <v>0.10402338867478</v>
      </c>
      <c r="Y39" s="143" t="n">
        <f aca="false">AN39/$AP39</f>
        <v>0.0890034277093735</v>
      </c>
      <c r="Z39" s="144" t="n">
        <f aca="false">AO39/$AP39</f>
        <v>0</v>
      </c>
      <c r="AA39" s="55" t="n">
        <f aca="false">SUMPRODUCT(Demographics!$C39:$I39,Demographics!$C$43:$I$43)</f>
        <v>0.68628890939946</v>
      </c>
      <c r="AC39" s="145" t="n">
        <f aca="false">SUMPRODUCT(Demographics!$C39:$I39,Demographics!$C$43:$I$43,Demographics!$C$44:$I$44)</f>
        <v>0.161295960678632</v>
      </c>
      <c r="AD39" s="145" t="n">
        <f aca="false">SUMPRODUCT(Demographics!$C39:$I39,Demographics!$C$43:$I$43,Demographics!$C$45:$I$45)</f>
        <v>0.204504175295473</v>
      </c>
      <c r="AE39" s="145" t="n">
        <f aca="false">SUMPRODUCT(Demographics!$C39:$I39,Demographics!$C$43:$I$43,Demographics!$C$46:$I$46)</f>
        <v>0.162604293956288</v>
      </c>
      <c r="AF39" s="145" t="n">
        <f aca="false">SUMPRODUCT(Demographics!$C39:$I39,Demographics!$C$43:$I$43,Demographics!$C$47:$I$47)</f>
        <v>0.0937867247839969</v>
      </c>
      <c r="AG39" s="145" t="n">
        <f aca="false">SUMPRODUCT(Demographics!$C39:$I39,Demographics!$C$43:$I$43,Demographics!$C$48:$I$48)</f>
        <v>0.0640977546850712</v>
      </c>
      <c r="AH39" s="145" t="n">
        <f aca="false">SUMPRODUCT(Demographics!$C39:$I39,Demographics!$C$43:$I$43,Demographics!$C$49:$I$49)</f>
        <v>0</v>
      </c>
      <c r="AI39" s="145" t="n">
        <f aca="false">SUM(AC39:AH39)</f>
        <v>0.68628890939946</v>
      </c>
      <c r="AJ39" s="145" t="n">
        <f aca="false">$D$3*C39+$F$3*I39+$H$3*O39</f>
        <v>0.363139917074533</v>
      </c>
      <c r="AK39" s="145" t="n">
        <f aca="false">$D$3*D39+$F$3*J39+$H$3*P39</f>
        <v>0.220220320188045</v>
      </c>
      <c r="AL39" s="145" t="n">
        <f aca="false">$D$3*E39+$F$3*K39+$H$3*Q39</f>
        <v>0.223612946353268</v>
      </c>
      <c r="AM39" s="145" t="n">
        <f aca="false">$D$3*F39+$F$3*L39+$H$3*R39</f>
        <v>0.10402338867478</v>
      </c>
      <c r="AN39" s="145" t="n">
        <f aca="false">$D$3*G39+$F$3*M39+$H$3*S39</f>
        <v>0.0890034277093736</v>
      </c>
      <c r="AO39" s="145" t="n">
        <f aca="false">$D$3*H39+$F$3*N39+$H$3*T39</f>
        <v>0</v>
      </c>
      <c r="AP39" s="145" t="n">
        <f aca="false">SUM(AJ39:AO39)</f>
        <v>1</v>
      </c>
      <c r="AR39" s="145" t="n">
        <f aca="false">IF(U39&lt;0.000000001,0,MAX(0.0002,U39+Incumbency!C$20*Incumbency!$C$6+'Tactical &amp; Candidate'!C$12/100))</f>
        <v>0.363139917074532</v>
      </c>
      <c r="AS39" s="145" t="n">
        <f aca="false">IF(V39&lt;0.000000001,0,MAX(0.0002,V39+Incumbency!D$20*Incumbency!$C$6+'Tactical &amp; Candidate'!D$12/100))</f>
        <v>0.244220320188045</v>
      </c>
      <c r="AT39" s="145" t="n">
        <f aca="false">IF(W39&lt;0.000000001,0,MAX(0.0002,W39+Incumbency!E$20*Incumbency!$C$6+'Tactical &amp; Candidate'!E$12/100))</f>
        <v>0.223612946353268</v>
      </c>
      <c r="AU39" s="145" t="n">
        <f aca="false">IF(X39&lt;0.000000001,0,MAX(0.0002,X39+Incumbency!F$20*Incumbency!$C$6+'Tactical &amp; Candidate'!F$12/100))</f>
        <v>0.10402338867478</v>
      </c>
      <c r="AV39" s="145" t="n">
        <f aca="false">IF(Y39&lt;0.000000001,0,MAX(0.0002,Y39+Incumbency!G$20*Incumbency!$C$6+'Tactical &amp; Candidate'!G$12/100))</f>
        <v>0.0890034277093735</v>
      </c>
      <c r="AW39" s="145" t="n">
        <f aca="false">IF(Z39&lt;0.000000001,0,MAX(0.0002,Z39+Incumbency!H$20*Incumbency!$C$6+'Tactical &amp; Candidate'!H$12/100))</f>
        <v>0</v>
      </c>
      <c r="AX39" s="145" t="n">
        <f aca="false">SUM(AR39:AW39)</f>
        <v>1.024</v>
      </c>
      <c r="AY39" s="145" t="n">
        <f aca="false">AR39/$AX39</f>
        <v>0.354628825268098</v>
      </c>
      <c r="AZ39" s="145" t="n">
        <f aca="false">AS39/$AX39</f>
        <v>0.238496406433638</v>
      </c>
      <c r="BA39" s="145" t="n">
        <f aca="false">AT39/$AX39</f>
        <v>0.218372017923114</v>
      </c>
      <c r="BB39" s="145" t="n">
        <f aca="false">AU39/$AX39</f>
        <v>0.101585340502715</v>
      </c>
      <c r="BC39" s="145" t="n">
        <f aca="false">AV39/$AX39</f>
        <v>0.0869174098724351</v>
      </c>
      <c r="BD39" s="145" t="n">
        <f aca="false">AW39/$AX39</f>
        <v>0</v>
      </c>
      <c r="BF39" s="145" t="n">
        <f aca="false">AY39*(1-'Tactical &amp; Candidate'!C$8)</f>
        <v>0.354628825268098</v>
      </c>
      <c r="BG39" s="145" t="n">
        <f aca="false">AZ39*(1-'Tactical &amp; Candidate'!D$8)</f>
        <v>0.238496406433638</v>
      </c>
      <c r="BH39" s="145" t="n">
        <f aca="false">BA39*(1-'Tactical &amp; Candidate'!E$8)</f>
        <v>0.218372017923114</v>
      </c>
      <c r="BI39" s="145" t="n">
        <f aca="false">BB39*(1-'Tactical &amp; Candidate'!F$8)</f>
        <v>0.101585340502715</v>
      </c>
      <c r="BJ39" s="145" t="n">
        <f aca="false">BC39*(1-'Tactical &amp; Candidate'!G$8)</f>
        <v>0.0869174098724351</v>
      </c>
      <c r="BK39" s="145" t="n">
        <f aca="false">BD39*(1-'Tactical &amp; Candidate'!H$8)</f>
        <v>0</v>
      </c>
      <c r="BL39" s="145" t="n">
        <f aca="false">LARGE(AY39:BD39,2)</f>
        <v>0.238496406433638</v>
      </c>
      <c r="BM39" s="145" t="n">
        <f aca="false">SUMPRODUCT((AY39:BD39&lt;$BL39)*AY39:BD39)*'Tactical &amp; Candidate'!$C$6</f>
        <v>0</v>
      </c>
      <c r="BN39" s="145" t="n">
        <f aca="false">MAX(BF39:BK39)</f>
        <v>0.354628825268098</v>
      </c>
      <c r="BO39" s="146" t="n">
        <f aca="false">SUMPRODUCT((BF39:BK39=$BN39)*1)</f>
        <v>1</v>
      </c>
      <c r="BQ39" s="145" t="n">
        <f aca="false">AY39*(1-'Tactical &amp; Candidate'!$C$6*(AY39&lt;$BL39))+IF(BF39=$BN39,$BM39/$BO39,0)</f>
        <v>0.354628825268098</v>
      </c>
      <c r="BR39" s="145" t="n">
        <f aca="false">AZ39*(1-'Tactical &amp; Candidate'!$C$6*(AZ39&lt;$BL39))+IF(BG39=$BN39,$BM39/$BO39,0)</f>
        <v>0.238496406433638</v>
      </c>
      <c r="BS39" s="145" t="n">
        <f aca="false">BA39*(1-'Tactical &amp; Candidate'!$C$6*(BA39&lt;$BL39))+IF(BH39=$BN39,$BM39/$BO39,0)</f>
        <v>0.218372017923114</v>
      </c>
      <c r="BT39" s="145" t="n">
        <f aca="false">BB39*(1-'Tactical &amp; Candidate'!$C$6*(BB39&lt;$BL39))+IF(BI39=$BN39,$BM39/$BO39,0)</f>
        <v>0.101585340502715</v>
      </c>
      <c r="BU39" s="145" t="n">
        <f aca="false">BC39*(1-'Tactical &amp; Candidate'!$C$6*(BC39&lt;$BL39))+IF(BJ39=$BN39,$BM39/$BO39,0)</f>
        <v>0.0869174098724351</v>
      </c>
      <c r="BV39" s="145" t="n">
        <f aca="false">BD39*(1-'Tactical &amp; Candidate'!$C$6*(BD39&lt;$BL39))+IF(BK39=$BN39,$BM39/$BO39,0)</f>
        <v>0</v>
      </c>
      <c r="BW39" s="145" t="n">
        <f aca="false">SUM(BQ39:BV39)</f>
        <v>1</v>
      </c>
      <c r="BX39" s="145" t="n">
        <f aca="false">BQ39/$BW39</f>
        <v>0.354628825268098</v>
      </c>
      <c r="BY39" s="145" t="n">
        <f aca="false">BR39/$BW39</f>
        <v>0.238496406433638</v>
      </c>
      <c r="BZ39" s="145" t="n">
        <f aca="false">BS39/$BW39</f>
        <v>0.218372017923114</v>
      </c>
      <c r="CA39" s="145" t="n">
        <f aca="false">BT39/$BW39</f>
        <v>0.101585340502715</v>
      </c>
      <c r="CB39" s="145" t="n">
        <f aca="false">BU39/$BW39</f>
        <v>0.0869174098724351</v>
      </c>
      <c r="CC39" s="145" t="n">
        <f aca="false">BV39/$BW39</f>
        <v>0</v>
      </c>
    </row>
    <row r="40" customFormat="false" ht="15" hidden="false" customHeight="false" outlineLevel="0" collapsed="false">
      <c r="B40" s="22" t="s">
        <v>88</v>
      </c>
      <c r="C40" s="147" t="n">
        <f aca="false">AC40/$AI40</f>
        <v>0.183027600597898</v>
      </c>
      <c r="D40" s="148" t="n">
        <f aca="false">AD40/$AI40</f>
        <v>0.236717969793269</v>
      </c>
      <c r="E40" s="149" t="n">
        <f aca="false">AE40/$AI40</f>
        <v>0.116653277120208</v>
      </c>
      <c r="F40" s="150" t="n">
        <f aca="false">AF40/$AI40</f>
        <v>0.187338664966288</v>
      </c>
      <c r="G40" s="151" t="n">
        <f aca="false">AG40/$AI40</f>
        <v>0.0960244357216953</v>
      </c>
      <c r="H40" s="152" t="n">
        <f aca="false">AH40/$AI40</f>
        <v>0.180238051800642</v>
      </c>
      <c r="I40" s="147" t="n">
        <f aca="false">$L$3*'Voting History'!C40+$M$3*'Voting History'!I40+$N$3*'Voting History'!O40</f>
        <v>0.132721144654613</v>
      </c>
      <c r="J40" s="148" t="n">
        <f aca="false">$L$3*'Voting History'!D40+$M$3*'Voting History'!J40+$N$3*'Voting History'!P40</f>
        <v>0.166658902658031</v>
      </c>
      <c r="K40" s="149" t="n">
        <f aca="false">$L$3*'Voting History'!E40+$M$3*'Voting History'!K40+$N$3*'Voting History'!Q40</f>
        <v>0.0779965479657344</v>
      </c>
      <c r="L40" s="150" t="n">
        <f aca="false">$L$3*'Voting History'!F40+$M$3*'Voting History'!L40+$N$3*'Voting History'!R40</f>
        <v>0.11027246032038</v>
      </c>
      <c r="M40" s="151" t="n">
        <f aca="false">$L$3*'Voting History'!G40+$M$3*'Voting History'!M40+$N$3*'Voting History'!S40</f>
        <v>0.0707023597630256</v>
      </c>
      <c r="N40" s="152" t="n">
        <f aca="false">$L$3*'Voting History'!H40+$M$3*'Voting History'!N40+$N$3*'Voting History'!T40</f>
        <v>0.441648584638216</v>
      </c>
      <c r="O40" s="147" t="n">
        <f aca="false">Polling!C40</f>
        <v>0.0962864455405258</v>
      </c>
      <c r="P40" s="148" t="n">
        <f aca="false">Polling!D40</f>
        <v>0.21993789289139</v>
      </c>
      <c r="Q40" s="149" t="n">
        <f aca="false">Polling!E40</f>
        <v>0.0678373575311472</v>
      </c>
      <c r="R40" s="150" t="n">
        <f aca="false">Polling!F40</f>
        <v>0.108215946904289</v>
      </c>
      <c r="S40" s="151" t="n">
        <f aca="false">Polling!G40</f>
        <v>0.0524746600066554</v>
      </c>
      <c r="T40" s="152" t="n">
        <f aca="false">Polling!H40</f>
        <v>0.455247697125993</v>
      </c>
      <c r="U40" s="153" t="n">
        <f aca="false">AJ40/$AP40</f>
        <v>0.131417466836259</v>
      </c>
      <c r="V40" s="154" t="n">
        <f aca="false">AK40/$AP40</f>
        <v>0.211652168403614</v>
      </c>
      <c r="W40" s="155" t="n">
        <f aca="false">AL40/$AP40</f>
        <v>0.0850219310165123</v>
      </c>
      <c r="X40" s="156" t="n">
        <f aca="false">AM40/$AP40</f>
        <v>0.132466890676912</v>
      </c>
      <c r="Y40" s="157" t="n">
        <f aca="false">AN40/$AP40</f>
        <v>0.0700965176602599</v>
      </c>
      <c r="Z40" s="158" t="n">
        <f aca="false">AO40/$AP40</f>
        <v>0.369345025406443</v>
      </c>
      <c r="AA40" s="66" t="n">
        <f aca="false">SUMPRODUCT(Demographics!$C40:$I40,Demographics!$C$43:$I$43)</f>
        <v>0.573652228497667</v>
      </c>
      <c r="AC40" s="145" t="n">
        <f aca="false">SUMPRODUCT(Demographics!$C40:$I40,Demographics!$C$43:$I$43,Demographics!$C$44:$I$44)</f>
        <v>0.104994190959565</v>
      </c>
      <c r="AD40" s="145" t="n">
        <f aca="false">SUMPRODUCT(Demographics!$C40:$I40,Demographics!$C$43:$I$43,Demographics!$C$45:$I$45)</f>
        <v>0.135793790897352</v>
      </c>
      <c r="AE40" s="145" t="n">
        <f aca="false">SUMPRODUCT(Demographics!$C40:$I40,Demographics!$C$43:$I$43,Demographics!$C$46:$I$46)</f>
        <v>0.0669184123815634</v>
      </c>
      <c r="AF40" s="145" t="n">
        <f aca="false">SUMPRODUCT(Demographics!$C40:$I40,Demographics!$C$43:$I$43,Demographics!$C$47:$I$47)</f>
        <v>0.107467242641689</v>
      </c>
      <c r="AG40" s="145" t="n">
        <f aca="false">SUMPRODUCT(Demographics!$C40:$I40,Demographics!$C$43:$I$43,Demographics!$C$48:$I$48)</f>
        <v>0.0550846315419815</v>
      </c>
      <c r="AH40" s="145" t="n">
        <f aca="false">SUMPRODUCT(Demographics!$C40:$I40,Demographics!$C$43:$I$43,Demographics!$C$49:$I$49)</f>
        <v>0.103393960075516</v>
      </c>
      <c r="AI40" s="145" t="n">
        <f aca="false">SUM(AC40:AH40)</f>
        <v>0.573652228497667</v>
      </c>
      <c r="AJ40" s="145" t="n">
        <f aca="false">$D$3*C40+$F$3*I40+$H$3*O40</f>
        <v>0.131417466836259</v>
      </c>
      <c r="AK40" s="145" t="n">
        <f aca="false">$D$3*D40+$F$3*J40+$H$3*P40</f>
        <v>0.211652168403614</v>
      </c>
      <c r="AL40" s="145" t="n">
        <f aca="false">$D$3*E40+$F$3*K40+$H$3*Q40</f>
        <v>0.0850219310165123</v>
      </c>
      <c r="AM40" s="145" t="n">
        <f aca="false">$D$3*F40+$F$3*L40+$H$3*R40</f>
        <v>0.132466890676912</v>
      </c>
      <c r="AN40" s="145" t="n">
        <f aca="false">$D$3*G40+$F$3*M40+$H$3*S40</f>
        <v>0.0700965176602599</v>
      </c>
      <c r="AO40" s="145" t="n">
        <f aca="false">$D$3*H40+$F$3*N40+$H$3*T40</f>
        <v>0.369345025406443</v>
      </c>
      <c r="AP40" s="145" t="n">
        <f aca="false">SUM(AJ40:AO40)</f>
        <v>1</v>
      </c>
      <c r="AR40" s="145" t="n">
        <f aca="false">IF(U40&lt;0.000000001,0,MAX(0.0002,U40+Incumbency!C$20*Incumbency!$C$6+'Tactical &amp; Candidate'!C$12/100))</f>
        <v>0.131417466836259</v>
      </c>
      <c r="AS40" s="145" t="n">
        <f aca="false">IF(V40&lt;0.000000001,0,MAX(0.0002,V40+Incumbency!D$20*Incumbency!$C$6+'Tactical &amp; Candidate'!D$12/100))</f>
        <v>0.235652168403614</v>
      </c>
      <c r="AT40" s="145" t="n">
        <f aca="false">IF(W40&lt;0.000000001,0,MAX(0.0002,W40+Incumbency!E$20*Incumbency!$C$6+'Tactical &amp; Candidate'!E$12/100))</f>
        <v>0.0850219310165123</v>
      </c>
      <c r="AU40" s="145" t="n">
        <f aca="false">IF(X40&lt;0.000000001,0,MAX(0.0002,X40+Incumbency!F$20*Incumbency!$C$6+'Tactical &amp; Candidate'!F$12/100))</f>
        <v>0.132466890676912</v>
      </c>
      <c r="AV40" s="145" t="n">
        <f aca="false">IF(Y40&lt;0.000000001,0,MAX(0.0002,Y40+Incumbency!G$20*Incumbency!$C$6+'Tactical &amp; Candidate'!G$12/100))</f>
        <v>0.0700965176602599</v>
      </c>
      <c r="AW40" s="145" t="n">
        <f aca="false">IF(Z40&lt;0.000000001,0,MAX(0.0002,Z40+Incumbency!H$20*Incumbency!$C$6+'Tactical &amp; Candidate'!H$12/100))</f>
        <v>0.369345025406443</v>
      </c>
      <c r="AX40" s="145" t="n">
        <f aca="false">SUM(AR40:AW40)</f>
        <v>1.024</v>
      </c>
      <c r="AY40" s="145" t="n">
        <f aca="false">AR40/$AX40</f>
        <v>0.128337369957285</v>
      </c>
      <c r="AZ40" s="145" t="n">
        <f aca="false">AS40/$AX40</f>
        <v>0.230129070706654</v>
      </c>
      <c r="BA40" s="145" t="n">
        <f aca="false">AT40/$AX40</f>
        <v>0.0830292295083128</v>
      </c>
      <c r="BB40" s="145" t="n">
        <f aca="false">AU40/$AX40</f>
        <v>0.129362197926672</v>
      </c>
      <c r="BC40" s="145" t="n">
        <f aca="false">AV40/$AX40</f>
        <v>0.0684536305275976</v>
      </c>
      <c r="BD40" s="145" t="n">
        <f aca="false">AW40/$AX40</f>
        <v>0.36068850137348</v>
      </c>
      <c r="BF40" s="145" t="n">
        <f aca="false">AY40*(1-'Tactical &amp; Candidate'!C$8)</f>
        <v>0.128337369957285</v>
      </c>
      <c r="BG40" s="145" t="n">
        <f aca="false">AZ40*(1-'Tactical &amp; Candidate'!D$8)</f>
        <v>0.230129070706654</v>
      </c>
      <c r="BH40" s="145" t="n">
        <f aca="false">BA40*(1-'Tactical &amp; Candidate'!E$8)</f>
        <v>0.0830292295083128</v>
      </c>
      <c r="BI40" s="145" t="n">
        <f aca="false">BB40*(1-'Tactical &amp; Candidate'!F$8)</f>
        <v>0.129362197926672</v>
      </c>
      <c r="BJ40" s="145" t="n">
        <f aca="false">BC40*(1-'Tactical &amp; Candidate'!G$8)</f>
        <v>0.0684536305275976</v>
      </c>
      <c r="BK40" s="145" t="n">
        <f aca="false">BD40*(1-'Tactical &amp; Candidate'!H$8)</f>
        <v>0.36068850137348</v>
      </c>
      <c r="BL40" s="145" t="n">
        <f aca="false">LARGE(AY40:BD40,2)</f>
        <v>0.230129070706654</v>
      </c>
      <c r="BM40" s="145" t="n">
        <f aca="false">SUMPRODUCT((AY40:BD40&lt;$BL40)*AY40:BD40)*'Tactical &amp; Candidate'!$C$6</f>
        <v>0</v>
      </c>
      <c r="BN40" s="145" t="n">
        <f aca="false">MAX(BF40:BK40)</f>
        <v>0.36068850137348</v>
      </c>
      <c r="BO40" s="146" t="n">
        <f aca="false">SUMPRODUCT((BF40:BK40=$BN40)*1)</f>
        <v>1</v>
      </c>
      <c r="BQ40" s="145" t="n">
        <f aca="false">AY40*(1-'Tactical &amp; Candidate'!$C$6*(AY40&lt;$BL40))+IF(BF40=$BN40,$BM40/$BO40,0)</f>
        <v>0.128337369957285</v>
      </c>
      <c r="BR40" s="145" t="n">
        <f aca="false">AZ40*(1-'Tactical &amp; Candidate'!$C$6*(AZ40&lt;$BL40))+IF(BG40=$BN40,$BM40/$BO40,0)</f>
        <v>0.230129070706654</v>
      </c>
      <c r="BS40" s="145" t="n">
        <f aca="false">BA40*(1-'Tactical &amp; Candidate'!$C$6*(BA40&lt;$BL40))+IF(BH40=$BN40,$BM40/$BO40,0)</f>
        <v>0.0830292295083128</v>
      </c>
      <c r="BT40" s="145" t="n">
        <f aca="false">BB40*(1-'Tactical &amp; Candidate'!$C$6*(BB40&lt;$BL40))+IF(BI40=$BN40,$BM40/$BO40,0)</f>
        <v>0.129362197926672</v>
      </c>
      <c r="BU40" s="145" t="n">
        <f aca="false">BC40*(1-'Tactical &amp; Candidate'!$C$6*(BC40&lt;$BL40))+IF(BJ40=$BN40,$BM40/$BO40,0)</f>
        <v>0.0684536305275976</v>
      </c>
      <c r="BV40" s="145" t="n">
        <f aca="false">BD40*(1-'Tactical &amp; Candidate'!$C$6*(BD40&lt;$BL40))+IF(BK40=$BN40,$BM40/$BO40,0)</f>
        <v>0.36068850137348</v>
      </c>
      <c r="BW40" s="145" t="n">
        <f aca="false">SUM(BQ40:BV40)</f>
        <v>1</v>
      </c>
      <c r="BX40" s="145" t="n">
        <f aca="false">BQ40/$BW40</f>
        <v>0.128337369957285</v>
      </c>
      <c r="BY40" s="145" t="n">
        <f aca="false">BR40/$BW40</f>
        <v>0.230129070706654</v>
      </c>
      <c r="BZ40" s="145" t="n">
        <f aca="false">BS40/$BW40</f>
        <v>0.0830292295083128</v>
      </c>
      <c r="CA40" s="145" t="n">
        <f aca="false">BT40/$BW40</f>
        <v>0.129362197926672</v>
      </c>
      <c r="CB40" s="145" t="n">
        <f aca="false">BU40/$BW40</f>
        <v>0.0684536305275976</v>
      </c>
      <c r="CC40" s="145" t="n">
        <f aca="false">BV40/$BW40</f>
        <v>0.36068850137348</v>
      </c>
    </row>
  </sheetData>
  <mergeCells count="6">
    <mergeCell ref="B1:AA1"/>
    <mergeCell ref="B2:AA2"/>
    <mergeCell ref="C4:H4"/>
    <mergeCell ref="I4:N4"/>
    <mergeCell ref="O4:T4"/>
    <mergeCell ref="U4:Z4"/>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E4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5" zeroHeight="false" outlineLevelRow="0" outlineLevelCol="0"/>
  <cols>
    <col collapsed="false" customWidth="true" hidden="false" outlineLevel="0" max="1" min="1" style="0" width="18"/>
  </cols>
  <sheetData>
    <row r="1" customFormat="false" ht="15" hidden="false" customHeight="false" outlineLevel="0" collapsed="false">
      <c r="A1" s="159" t="s">
        <v>195</v>
      </c>
      <c r="B1" s="106" t="n">
        <v>1</v>
      </c>
      <c r="C1" s="106" t="n">
        <v>2</v>
      </c>
      <c r="D1" s="106" t="n">
        <v>3</v>
      </c>
      <c r="E1" s="106" t="n">
        <v>4</v>
      </c>
      <c r="F1" s="106" t="n">
        <v>5</v>
      </c>
      <c r="G1" s="106" t="n">
        <v>6</v>
      </c>
      <c r="H1" s="106" t="n">
        <v>7</v>
      </c>
      <c r="I1" s="106" t="n">
        <v>8</v>
      </c>
      <c r="J1" s="106" t="n">
        <v>9</v>
      </c>
      <c r="K1" s="106" t="n">
        <v>10</v>
      </c>
      <c r="L1" s="106" t="n">
        <v>11</v>
      </c>
      <c r="M1" s="106" t="n">
        <v>12</v>
      </c>
      <c r="N1" s="106" t="n">
        <v>13</v>
      </c>
      <c r="O1" s="106" t="n">
        <v>14</v>
      </c>
      <c r="P1" s="106" t="n">
        <v>15</v>
      </c>
      <c r="Q1" s="106" t="n">
        <v>16</v>
      </c>
      <c r="R1" s="106" t="n">
        <v>17</v>
      </c>
      <c r="S1" s="106" t="n">
        <v>18</v>
      </c>
      <c r="T1" s="106" t="n">
        <v>19</v>
      </c>
      <c r="U1" s="106" t="n">
        <v>20</v>
      </c>
      <c r="V1" s="106" t="n">
        <v>21</v>
      </c>
      <c r="W1" s="106" t="n">
        <v>22</v>
      </c>
      <c r="X1" s="106" t="n">
        <v>23</v>
      </c>
      <c r="Y1" s="106" t="n">
        <v>24</v>
      </c>
      <c r="Z1" s="106" t="n">
        <v>25</v>
      </c>
      <c r="AA1" s="106" t="n">
        <v>26</v>
      </c>
      <c r="AB1" s="106" t="n">
        <v>27</v>
      </c>
      <c r="AC1" s="106" t="n">
        <v>28</v>
      </c>
      <c r="AD1" s="106" t="n">
        <v>29</v>
      </c>
      <c r="AE1" s="106" t="n">
        <v>30</v>
      </c>
      <c r="AF1" s="106" t="n">
        <v>31</v>
      </c>
      <c r="AG1" s="106" t="n">
        <v>32</v>
      </c>
      <c r="AH1" s="106" t="n">
        <v>33</v>
      </c>
      <c r="AI1" s="106" t="n">
        <v>34</v>
      </c>
      <c r="AJ1" s="106" t="n">
        <v>35</v>
      </c>
      <c r="AK1" s="106" t="n">
        <v>36</v>
      </c>
      <c r="AL1" s="106" t="n">
        <v>37</v>
      </c>
      <c r="AM1" s="106" t="n">
        <v>38</v>
      </c>
      <c r="AN1" s="106" t="n">
        <v>39</v>
      </c>
      <c r="AO1" s="106" t="n">
        <v>40</v>
      </c>
      <c r="AP1" s="106" t="n">
        <v>41</v>
      </c>
      <c r="AQ1" s="106" t="n">
        <v>42</v>
      </c>
      <c r="AR1" s="106" t="n">
        <v>43</v>
      </c>
      <c r="AS1" s="106" t="n">
        <v>44</v>
      </c>
      <c r="AT1" s="106" t="n">
        <v>45</v>
      </c>
      <c r="AU1" s="106" t="n">
        <v>46</v>
      </c>
      <c r="AV1" s="106" t="n">
        <v>47</v>
      </c>
      <c r="AW1" s="106" t="n">
        <v>48</v>
      </c>
      <c r="AX1" s="106" t="n">
        <v>49</v>
      </c>
      <c r="AY1" s="106" t="n">
        <v>50</v>
      </c>
      <c r="AZ1" s="106" t="n">
        <v>51</v>
      </c>
      <c r="BA1" s="106" t="n">
        <v>52</v>
      </c>
      <c r="BB1" s="106" t="n">
        <v>53</v>
      </c>
      <c r="BC1" s="106" t="n">
        <v>54</v>
      </c>
      <c r="BD1" s="106" t="n">
        <v>55</v>
      </c>
      <c r="BE1" s="106" t="n">
        <v>56</v>
      </c>
      <c r="BF1" s="106" t="n">
        <v>57</v>
      </c>
      <c r="BG1" s="106" t="n">
        <v>58</v>
      </c>
      <c r="BH1" s="106" t="n">
        <v>59</v>
      </c>
      <c r="BI1" s="106" t="n">
        <v>60</v>
      </c>
      <c r="BJ1" s="106" t="n">
        <v>61</v>
      </c>
      <c r="BK1" s="106" t="n">
        <v>62</v>
      </c>
      <c r="BL1" s="106" t="n">
        <v>63</v>
      </c>
      <c r="BM1" s="106" t="n">
        <v>64</v>
      </c>
      <c r="BN1" s="106" t="n">
        <v>65</v>
      </c>
      <c r="BO1" s="106" t="n">
        <v>66</v>
      </c>
      <c r="BP1" s="106" t="n">
        <v>67</v>
      </c>
      <c r="BQ1" s="106" t="n">
        <v>68</v>
      </c>
      <c r="BR1" s="106" t="n">
        <v>69</v>
      </c>
      <c r="BS1" s="106" t="n">
        <v>70</v>
      </c>
      <c r="BT1" s="106" t="n">
        <v>71</v>
      </c>
      <c r="BU1" s="106" t="n">
        <v>72</v>
      </c>
      <c r="BV1" s="106" t="n">
        <v>73</v>
      </c>
      <c r="BW1" s="106" t="n">
        <v>74</v>
      </c>
      <c r="BX1" s="106" t="n">
        <v>75</v>
      </c>
      <c r="BY1" s="106" t="n">
        <v>76</v>
      </c>
      <c r="BZ1" s="106" t="s">
        <v>196</v>
      </c>
      <c r="CA1" s="106" t="s">
        <v>197</v>
      </c>
      <c r="CB1" s="106" t="s">
        <v>198</v>
      </c>
      <c r="CC1" s="106" t="s">
        <v>199</v>
      </c>
      <c r="CD1" s="106" t="s">
        <v>200</v>
      </c>
      <c r="CE1" s="106" t="s">
        <v>201</v>
      </c>
    </row>
    <row r="2" customFormat="false" ht="15" hidden="false" customHeight="false" outlineLevel="0" collapsed="false">
      <c r="A2" s="160" t="s">
        <v>31</v>
      </c>
      <c r="B2" s="161" t="n">
        <f aca="true">RAND()</f>
        <v>0.709683420480372</v>
      </c>
      <c r="C2" s="161" t="n">
        <f aca="true">RAND()</f>
        <v>0.165053496463383</v>
      </c>
      <c r="D2" s="161" t="n">
        <f aca="true">RAND()</f>
        <v>0.326756545652767</v>
      </c>
      <c r="E2" s="161" t="n">
        <f aca="true">RAND()</f>
        <v>0.338941718525996</v>
      </c>
      <c r="F2" s="161" t="n">
        <f aca="true">RAND()</f>
        <v>0.839197997597585</v>
      </c>
      <c r="G2" s="161" t="n">
        <f aca="true">RAND()</f>
        <v>0.136781387895111</v>
      </c>
      <c r="H2" s="161" t="n">
        <f aca="true">RAND()</f>
        <v>0.0642917955453692</v>
      </c>
      <c r="I2" s="161" t="n">
        <f aca="true">RAND()</f>
        <v>0.140615849425885</v>
      </c>
      <c r="J2" s="161" t="n">
        <f aca="true">RAND()</f>
        <v>0.872369616604351</v>
      </c>
      <c r="K2" s="161" t="n">
        <f aca="true">RAND()</f>
        <v>0.374233577867823</v>
      </c>
      <c r="L2" s="161" t="n">
        <f aca="true">RAND()</f>
        <v>0.266043966483758</v>
      </c>
      <c r="M2" s="161" t="n">
        <f aca="true">RAND()</f>
        <v>0.773072999825867</v>
      </c>
      <c r="N2" s="161" t="n">
        <f aca="true">RAND()</f>
        <v>0.479123996691098</v>
      </c>
      <c r="O2" s="161" t="n">
        <f aca="true">RAND()</f>
        <v>0.388346616421284</v>
      </c>
      <c r="P2" s="161" t="n">
        <f aca="true">RAND()</f>
        <v>0.309609925663923</v>
      </c>
      <c r="Q2" s="161" t="n">
        <f aca="true">RAND()</f>
        <v>0.742817665106394</v>
      </c>
      <c r="R2" s="161" t="n">
        <f aca="true">RAND()</f>
        <v>0.637270036866454</v>
      </c>
      <c r="S2" s="161" t="n">
        <f aca="true">RAND()</f>
        <v>0.838916380779078</v>
      </c>
      <c r="T2" s="161" t="n">
        <f aca="true">RAND()</f>
        <v>0.451056897038582</v>
      </c>
      <c r="U2" s="161" t="n">
        <f aca="true">RAND()</f>
        <v>0.396007674023365</v>
      </c>
      <c r="V2" s="161" t="n">
        <f aca="true">RAND()</f>
        <v>0.54431694691058</v>
      </c>
      <c r="W2" s="161" t="n">
        <f aca="true">RAND()</f>
        <v>0.16515673038303</v>
      </c>
      <c r="X2" s="161" t="n">
        <f aca="true">RAND()</f>
        <v>0.271206282634069</v>
      </c>
      <c r="Y2" s="161" t="n">
        <f aca="true">RAND()</f>
        <v>0.522850822550365</v>
      </c>
      <c r="Z2" s="161" t="n">
        <f aca="true">RAND()</f>
        <v>0.47943187812643</v>
      </c>
      <c r="AA2" s="161" t="n">
        <f aca="true">RAND()</f>
        <v>0.247752149456885</v>
      </c>
      <c r="AB2" s="161" t="n">
        <f aca="true">RAND()</f>
        <v>0.932112886757578</v>
      </c>
      <c r="AC2" s="161" t="n">
        <f aca="true">RAND()</f>
        <v>0.671998404386598</v>
      </c>
      <c r="AD2" s="161" t="n">
        <f aca="true">RAND()</f>
        <v>0.717900797151475</v>
      </c>
      <c r="AE2" s="161" t="n">
        <f aca="true">RAND()</f>
        <v>0.915057336535895</v>
      </c>
      <c r="AF2" s="161" t="n">
        <f aca="true">RAND()</f>
        <v>0.0247558242175661</v>
      </c>
      <c r="AG2" s="161" t="n">
        <f aca="true">RAND()</f>
        <v>0.927599957907224</v>
      </c>
      <c r="AH2" s="161" t="n">
        <f aca="true">RAND()</f>
        <v>0.782690659847495</v>
      </c>
      <c r="AI2" s="161" t="n">
        <f aca="true">RAND()</f>
        <v>0.285465419230867</v>
      </c>
      <c r="AJ2" s="161" t="n">
        <f aca="true">RAND()</f>
        <v>0.314636787442999</v>
      </c>
      <c r="AK2" s="161" t="n">
        <f aca="true">RAND()</f>
        <v>0.277489180319702</v>
      </c>
      <c r="AL2" s="161" t="n">
        <f aca="true">RAND()</f>
        <v>0.885035597510026</v>
      </c>
      <c r="AM2" s="161" t="n">
        <f aca="true">RAND()</f>
        <v>0.79897173273639</v>
      </c>
      <c r="AN2" s="161" t="n">
        <f aca="true">RAND()</f>
        <v>0.923431681656164</v>
      </c>
      <c r="AO2" s="161" t="n">
        <f aca="true">RAND()</f>
        <v>0.785708561006626</v>
      </c>
      <c r="AP2" s="161" t="n">
        <f aca="true">RAND()</f>
        <v>0.259488891749337</v>
      </c>
      <c r="AQ2" s="161" t="n">
        <f aca="true">RAND()</f>
        <v>0.678021135411096</v>
      </c>
      <c r="AR2" s="161" t="n">
        <f aca="true">RAND()</f>
        <v>0.767309781488211</v>
      </c>
      <c r="AS2" s="161" t="n">
        <f aca="true">RAND()</f>
        <v>0.191890246203745</v>
      </c>
      <c r="AT2" s="161" t="n">
        <f aca="true">RAND()</f>
        <v>0.697495454308821</v>
      </c>
      <c r="AU2" s="161" t="n">
        <f aca="true">RAND()</f>
        <v>0.172447533378253</v>
      </c>
      <c r="AV2" s="161" t="n">
        <f aca="true">RAND()</f>
        <v>0.724085077243393</v>
      </c>
      <c r="AW2" s="161" t="n">
        <f aca="true">RAND()</f>
        <v>0.765080603332379</v>
      </c>
      <c r="AX2" s="161" t="n">
        <f aca="true">RAND()</f>
        <v>0.58999984320926</v>
      </c>
      <c r="AY2" s="161" t="n">
        <f aca="true">RAND()</f>
        <v>0.921935505118808</v>
      </c>
      <c r="AZ2" s="161" t="n">
        <f aca="true">RAND()</f>
        <v>0.700827239125106</v>
      </c>
      <c r="BA2" s="161" t="n">
        <f aca="true">RAND()</f>
        <v>0.115275975801695</v>
      </c>
      <c r="BB2" s="161" t="n">
        <f aca="true">RAND()</f>
        <v>0.342220361208497</v>
      </c>
      <c r="BC2" s="161" t="n">
        <f aca="true">RAND()</f>
        <v>0.991469616559588</v>
      </c>
      <c r="BD2" s="161" t="n">
        <f aca="true">RAND()</f>
        <v>0.960238406064791</v>
      </c>
      <c r="BE2" s="161" t="n">
        <f aca="true">RAND()</f>
        <v>0.0500085372246423</v>
      </c>
      <c r="BF2" s="161" t="n">
        <f aca="true">RAND()</f>
        <v>0.683967344282513</v>
      </c>
      <c r="BG2" s="161" t="n">
        <f aca="true">RAND()</f>
        <v>0.630073372210891</v>
      </c>
      <c r="BH2" s="161" t="n">
        <f aca="true">RAND()</f>
        <v>0.503912307235864</v>
      </c>
      <c r="BI2" s="161" t="n">
        <f aca="true">RAND()</f>
        <v>0.254488625793493</v>
      </c>
      <c r="BJ2" s="161" t="n">
        <f aca="true">RAND()</f>
        <v>0.890213480833869</v>
      </c>
      <c r="BK2" s="161" t="n">
        <f aca="true">RAND()</f>
        <v>0.905819247319391</v>
      </c>
      <c r="BL2" s="161" t="n">
        <f aca="true">RAND()</f>
        <v>0.608767631877579</v>
      </c>
      <c r="BM2" s="161" t="n">
        <f aca="true">RAND()</f>
        <v>0.10895125022258</v>
      </c>
      <c r="BN2" s="161" t="n">
        <f aca="true">RAND()</f>
        <v>0.128667735043619</v>
      </c>
      <c r="BO2" s="161" t="n">
        <f aca="true">RAND()</f>
        <v>0.424876551704014</v>
      </c>
      <c r="BP2" s="161" t="n">
        <f aca="true">RAND()</f>
        <v>0.466092206328241</v>
      </c>
      <c r="BQ2" s="161" t="n">
        <f aca="true">RAND()</f>
        <v>0.260276379727128</v>
      </c>
      <c r="BR2" s="161" t="n">
        <f aca="true">RAND()</f>
        <v>0.224356228039378</v>
      </c>
      <c r="BS2" s="161" t="n">
        <f aca="true">RAND()</f>
        <v>0.630783529989778</v>
      </c>
      <c r="BT2" s="161" t="n">
        <f aca="true">RAND()</f>
        <v>0.24703170952141</v>
      </c>
      <c r="BU2" s="161" t="n">
        <f aca="true">RAND()</f>
        <v>0.366617511221593</v>
      </c>
      <c r="BV2" s="161" t="n">
        <f aca="true">RAND()</f>
        <v>0.435500494878007</v>
      </c>
      <c r="BW2" s="161" t="n">
        <f aca="true">RAND()</f>
        <v>0.366429630999267</v>
      </c>
      <c r="BX2" s="161" t="n">
        <f aca="true">RAND()</f>
        <v>0.492644296950886</v>
      </c>
      <c r="BY2" s="161" t="n">
        <f aca="true">RAND()</f>
        <v>0.106023748521537</v>
      </c>
      <c r="BZ2" s="162" t="n">
        <f aca="false">Simulator!K5*Simulator!$D$5+Simulator!L5*Simulator!$D$6+Simulator!M5*Simulator!$D$7+Simulator!N5*Simulator!$D$8+Simulator!O5*Simulator!$D$9+Simulator!P5*Simulator!$D$10</f>
        <v>0.655104958968404</v>
      </c>
      <c r="CA2" s="162" t="n">
        <f aca="false">IF($BZ2=0,0.1667,(Simulator!K5*Simulator!$D$5)/$BZ2)</f>
        <v>0.355416145554048</v>
      </c>
      <c r="CB2" s="162" t="n">
        <f aca="false">IF($BZ2=0,0.3333,(Simulator!K5*Simulator!$D$5+Simulator!L5*Simulator!$D$6)/$BZ2)</f>
        <v>0.88002484289015</v>
      </c>
      <c r="CC2" s="162" t="n">
        <f aca="false">IF($BZ2=0,0.5,(Simulator!K5*Simulator!$D$5+Simulator!L5*Simulator!$D$6+Simulator!M5*Simulator!$D$7)/$BZ2)</f>
        <v>0.943995807417052</v>
      </c>
      <c r="CD2" s="162" t="n">
        <f aca="false">IF($BZ2=0,0.6667,(Simulator!K5*Simulator!$D$5+Simulator!L5*Simulator!$D$6+Simulator!M5*Simulator!$D$7+Simulator!N5*Simulator!$D$8)/$BZ2)</f>
        <v>0.99428026170638</v>
      </c>
      <c r="CE2" s="162" t="n">
        <f aca="false">IF($BZ2=0,0.8333,(Simulator!K5*Simulator!$D$5+Simulator!L5*Simulator!$D$6+Simulator!M5*Simulator!$D$7+Simulator!N5*Simulator!$D$8+Simulator!O5*Simulator!$D$9)/$BZ2)</f>
        <v>1</v>
      </c>
    </row>
    <row r="3" customFormat="false" ht="15" hidden="false" customHeight="false" outlineLevel="0" collapsed="false">
      <c r="A3" s="160" t="s">
        <v>34</v>
      </c>
      <c r="B3" s="161" t="n">
        <f aca="true">RAND()</f>
        <v>0.86615308416263</v>
      </c>
      <c r="C3" s="161" t="n">
        <f aca="true">RAND()</f>
        <v>0.790512555643564</v>
      </c>
      <c r="D3" s="161" t="n">
        <f aca="true">RAND()</f>
        <v>0.531253821623117</v>
      </c>
      <c r="E3" s="161" t="n">
        <f aca="true">RAND()</f>
        <v>0.819083775808533</v>
      </c>
      <c r="F3" s="161" t="n">
        <f aca="true">RAND()</f>
        <v>0.993038481615288</v>
      </c>
      <c r="G3" s="161" t="n">
        <f aca="true">RAND()</f>
        <v>0.628694352106534</v>
      </c>
      <c r="H3" s="161" t="n">
        <f aca="true">RAND()</f>
        <v>0.987010530815659</v>
      </c>
      <c r="I3" s="161" t="n">
        <f aca="true">RAND()</f>
        <v>0.782308326721758</v>
      </c>
      <c r="J3" s="161" t="n">
        <f aca="true">RAND()</f>
        <v>0.0103147336179281</v>
      </c>
      <c r="K3" s="161" t="n">
        <f aca="true">RAND()</f>
        <v>0.0579591307678993</v>
      </c>
      <c r="L3" s="161" t="n">
        <f aca="true">RAND()</f>
        <v>0.203762865497094</v>
      </c>
      <c r="M3" s="161" t="n">
        <f aca="true">RAND()</f>
        <v>0.669895357020062</v>
      </c>
      <c r="N3" s="161" t="n">
        <f aca="true">RAND()</f>
        <v>0.475222453321166</v>
      </c>
      <c r="O3" s="161" t="n">
        <f aca="true">RAND()</f>
        <v>0.89559342430271</v>
      </c>
      <c r="P3" s="161" t="n">
        <f aca="true">RAND()</f>
        <v>0.468943063141844</v>
      </c>
      <c r="Q3" s="161" t="n">
        <f aca="true">RAND()</f>
        <v>0.418397206929097</v>
      </c>
      <c r="R3" s="161" t="n">
        <f aca="true">RAND()</f>
        <v>0.80892319329188</v>
      </c>
      <c r="S3" s="161" t="n">
        <f aca="true">RAND()</f>
        <v>0.162420611193818</v>
      </c>
      <c r="T3" s="161" t="n">
        <f aca="true">RAND()</f>
        <v>0.564454525395683</v>
      </c>
      <c r="U3" s="161" t="n">
        <f aca="true">RAND()</f>
        <v>0.737295369055203</v>
      </c>
      <c r="V3" s="161" t="n">
        <f aca="true">RAND()</f>
        <v>0.680082618574826</v>
      </c>
      <c r="W3" s="161" t="n">
        <f aca="true">RAND()</f>
        <v>0.841761096504754</v>
      </c>
      <c r="X3" s="161" t="n">
        <f aca="true">RAND()</f>
        <v>0.736085800012924</v>
      </c>
      <c r="Y3" s="161" t="n">
        <f aca="true">RAND()</f>
        <v>0.632957189241232</v>
      </c>
      <c r="Z3" s="161" t="n">
        <f aca="true">RAND()</f>
        <v>0.662986401149396</v>
      </c>
      <c r="AA3" s="161" t="n">
        <f aca="true">RAND()</f>
        <v>0.0607059761519703</v>
      </c>
      <c r="AB3" s="161" t="n">
        <f aca="true">RAND()</f>
        <v>0.589850355850955</v>
      </c>
      <c r="AC3" s="161" t="n">
        <f aca="true">RAND()</f>
        <v>0.0386491794489565</v>
      </c>
      <c r="AD3" s="161" t="n">
        <f aca="true">RAND()</f>
        <v>0.403314444776805</v>
      </c>
      <c r="AE3" s="161" t="n">
        <f aca="true">RAND()</f>
        <v>0.336436739706333</v>
      </c>
      <c r="AF3" s="161" t="n">
        <f aca="true">RAND()</f>
        <v>0.714712034702071</v>
      </c>
      <c r="AG3" s="161" t="n">
        <f aca="true">RAND()</f>
        <v>0.230426447287471</v>
      </c>
      <c r="AH3" s="161" t="n">
        <f aca="true">RAND()</f>
        <v>0.58505359668779</v>
      </c>
      <c r="AI3" s="161" t="n">
        <f aca="true">RAND()</f>
        <v>0.374169181930008</v>
      </c>
      <c r="AJ3" s="161" t="n">
        <f aca="true">RAND()</f>
        <v>0.0211219583293208</v>
      </c>
      <c r="AK3" s="161" t="n">
        <f aca="true">RAND()</f>
        <v>0.201569984693198</v>
      </c>
      <c r="AL3" s="161" t="n">
        <f aca="true">RAND()</f>
        <v>0.173661877035457</v>
      </c>
      <c r="AM3" s="161" t="n">
        <f aca="true">RAND()</f>
        <v>0.993915444034177</v>
      </c>
      <c r="AN3" s="161" t="n">
        <f aca="true">RAND()</f>
        <v>0.835476210234146</v>
      </c>
      <c r="AO3" s="161" t="n">
        <f aca="true">RAND()</f>
        <v>0.0201910533010079</v>
      </c>
      <c r="AP3" s="161" t="n">
        <f aca="true">RAND()</f>
        <v>0.95364069977461</v>
      </c>
      <c r="AQ3" s="161" t="n">
        <f aca="true">RAND()</f>
        <v>0.688995006260363</v>
      </c>
      <c r="AR3" s="161" t="n">
        <f aca="true">RAND()</f>
        <v>0.866328061681216</v>
      </c>
      <c r="AS3" s="161" t="n">
        <f aca="true">RAND()</f>
        <v>0.585218866579567</v>
      </c>
      <c r="AT3" s="161" t="n">
        <f aca="true">RAND()</f>
        <v>0.405084220335595</v>
      </c>
      <c r="AU3" s="161" t="n">
        <f aca="true">RAND()</f>
        <v>0.233273424268903</v>
      </c>
      <c r="AV3" s="161" t="n">
        <f aca="true">RAND()</f>
        <v>0.75436152058919</v>
      </c>
      <c r="AW3" s="161" t="n">
        <f aca="true">RAND()</f>
        <v>0.461184877958599</v>
      </c>
      <c r="AX3" s="161" t="n">
        <f aca="true">RAND()</f>
        <v>0.416732789438074</v>
      </c>
      <c r="AY3" s="161" t="n">
        <f aca="true">RAND()</f>
        <v>0.0771688722821544</v>
      </c>
      <c r="AZ3" s="161" t="n">
        <f aca="true">RAND()</f>
        <v>0.120303811418545</v>
      </c>
      <c r="BA3" s="161" t="n">
        <f aca="true">RAND()</f>
        <v>0.158284043636455</v>
      </c>
      <c r="BB3" s="161" t="n">
        <f aca="true">RAND()</f>
        <v>0.0432967570076052</v>
      </c>
      <c r="BC3" s="161" t="n">
        <f aca="true">RAND()</f>
        <v>0.313750314592677</v>
      </c>
      <c r="BD3" s="161" t="n">
        <f aca="true">RAND()</f>
        <v>0.404823985883038</v>
      </c>
      <c r="BE3" s="161" t="n">
        <f aca="true">RAND()</f>
        <v>0.864177967329331</v>
      </c>
      <c r="BF3" s="161" t="n">
        <f aca="true">RAND()</f>
        <v>0.634857692925966</v>
      </c>
      <c r="BG3" s="161" t="n">
        <f aca="true">RAND()</f>
        <v>0.017170991904307</v>
      </c>
      <c r="BH3" s="161" t="n">
        <f aca="true">RAND()</f>
        <v>1.5708896708033E-005</v>
      </c>
      <c r="BI3" s="161" t="n">
        <f aca="true">RAND()</f>
        <v>0.0433377753216587</v>
      </c>
      <c r="BJ3" s="161" t="n">
        <f aca="true">RAND()</f>
        <v>0.527092115545628</v>
      </c>
      <c r="BK3" s="161" t="n">
        <f aca="true">RAND()</f>
        <v>0.693524872579456</v>
      </c>
      <c r="BL3" s="161" t="n">
        <f aca="true">RAND()</f>
        <v>0.670310304838218</v>
      </c>
      <c r="BM3" s="161" t="n">
        <f aca="true">RAND()</f>
        <v>0.410713837585398</v>
      </c>
      <c r="BN3" s="161" t="n">
        <f aca="true">RAND()</f>
        <v>0.26758002111797</v>
      </c>
      <c r="BO3" s="161" t="n">
        <f aca="true">RAND()</f>
        <v>0.0833517755671004</v>
      </c>
      <c r="BP3" s="161" t="n">
        <f aca="true">RAND()</f>
        <v>0.691859076653274</v>
      </c>
      <c r="BQ3" s="161" t="n">
        <f aca="true">RAND()</f>
        <v>0.365468075044194</v>
      </c>
      <c r="BR3" s="161" t="n">
        <f aca="true">RAND()</f>
        <v>0.325397444711521</v>
      </c>
      <c r="BS3" s="161" t="n">
        <f aca="true">RAND()</f>
        <v>0.810143883717908</v>
      </c>
      <c r="BT3" s="161" t="n">
        <f aca="true">RAND()</f>
        <v>0.370458543517719</v>
      </c>
      <c r="BU3" s="161" t="n">
        <f aca="true">RAND()</f>
        <v>0.733637577891305</v>
      </c>
      <c r="BV3" s="161" t="n">
        <f aca="true">RAND()</f>
        <v>0.939979259087951</v>
      </c>
      <c r="BW3" s="161" t="n">
        <f aca="true">RAND()</f>
        <v>0.237867883104315</v>
      </c>
      <c r="BX3" s="161" t="n">
        <f aca="true">RAND()</f>
        <v>0.46186509357865</v>
      </c>
      <c r="BY3" s="161" t="n">
        <f aca="true">RAND()</f>
        <v>0.212858483321312</v>
      </c>
      <c r="BZ3" s="162" t="n">
        <f aca="false">Simulator!K6*Simulator!$D$5+Simulator!L6*Simulator!$D$6+Simulator!M6*Simulator!$D$7+Simulator!N6*Simulator!$D$8+Simulator!O6*Simulator!$D$9+Simulator!P6*Simulator!$D$10</f>
        <v>0.644746111749861</v>
      </c>
      <c r="CA3" s="162" t="n">
        <f aca="false">IF($BZ3=0,0.1667,(Simulator!K6*Simulator!$D$5)/$BZ3)</f>
        <v>0.33622861764903</v>
      </c>
      <c r="CB3" s="162" t="n">
        <f aca="false">IF($BZ3=0,0.3333,(Simulator!K6*Simulator!$D$5+Simulator!L6*Simulator!$D$6)/$BZ3)</f>
        <v>0.878654307996449</v>
      </c>
      <c r="CC3" s="162" t="n">
        <f aca="false">IF($BZ3=0,0.5,(Simulator!K6*Simulator!$D$5+Simulator!L6*Simulator!$D$6+Simulator!M6*Simulator!$D$7)/$BZ3)</f>
        <v>0.95060541923565</v>
      </c>
      <c r="CD3" s="162" t="n">
        <f aca="false">IF($BZ3=0,0.6667,(Simulator!K6*Simulator!$D$5+Simulator!L6*Simulator!$D$6+Simulator!M6*Simulator!$D$7+Simulator!N6*Simulator!$D$8)/$BZ3)</f>
        <v>0.993167728639431</v>
      </c>
      <c r="CE3" s="162" t="n">
        <f aca="false">IF($BZ3=0,0.8333,(Simulator!K6*Simulator!$D$5+Simulator!L6*Simulator!$D$6+Simulator!M6*Simulator!$D$7+Simulator!N6*Simulator!$D$8+Simulator!O6*Simulator!$D$9)/$BZ3)</f>
        <v>1</v>
      </c>
    </row>
    <row r="4" customFormat="false" ht="15" hidden="false" customHeight="false" outlineLevel="0" collapsed="false">
      <c r="A4" s="160" t="s">
        <v>37</v>
      </c>
      <c r="B4" s="161" t="n">
        <f aca="true">RAND()</f>
        <v>0.316113625060458</v>
      </c>
      <c r="C4" s="161" t="n">
        <f aca="true">RAND()</f>
        <v>0.192768364133161</v>
      </c>
      <c r="D4" s="161" t="n">
        <f aca="true">RAND()</f>
        <v>0.380328453782999</v>
      </c>
      <c r="E4" s="161" t="n">
        <f aca="true">RAND()</f>
        <v>0.716008905338807</v>
      </c>
      <c r="F4" s="161" t="n">
        <f aca="true">RAND()</f>
        <v>0.610498016593831</v>
      </c>
      <c r="G4" s="161" t="n">
        <f aca="true">RAND()</f>
        <v>0.658589313104266</v>
      </c>
      <c r="H4" s="161" t="n">
        <f aca="true">RAND()</f>
        <v>0.405446920487719</v>
      </c>
      <c r="I4" s="161" t="n">
        <f aca="true">RAND()</f>
        <v>0.543033732123899</v>
      </c>
      <c r="J4" s="161" t="n">
        <f aca="true">RAND()</f>
        <v>0.812862964051878</v>
      </c>
      <c r="K4" s="161" t="n">
        <f aca="true">RAND()</f>
        <v>0.849935825773945</v>
      </c>
      <c r="L4" s="161" t="n">
        <f aca="true">RAND()</f>
        <v>0.196069134134236</v>
      </c>
      <c r="M4" s="161" t="n">
        <f aca="true">RAND()</f>
        <v>0.65458333325366</v>
      </c>
      <c r="N4" s="161" t="n">
        <f aca="true">RAND()</f>
        <v>0.11560978244212</v>
      </c>
      <c r="O4" s="161" t="n">
        <f aca="true">RAND()</f>
        <v>0.646299161261591</v>
      </c>
      <c r="P4" s="161" t="n">
        <f aca="true">RAND()</f>
        <v>0.750215751648693</v>
      </c>
      <c r="Q4" s="161" t="n">
        <f aca="true">RAND()</f>
        <v>0.459582333895553</v>
      </c>
      <c r="R4" s="161" t="n">
        <f aca="true">RAND()</f>
        <v>0.681452241441682</v>
      </c>
      <c r="S4" s="161" t="n">
        <f aca="true">RAND()</f>
        <v>0.66782895725301</v>
      </c>
      <c r="T4" s="161" t="n">
        <f aca="true">RAND()</f>
        <v>0.872660241890558</v>
      </c>
      <c r="U4" s="161" t="n">
        <f aca="true">RAND()</f>
        <v>0.453417187340885</v>
      </c>
      <c r="V4" s="161" t="n">
        <f aca="true">RAND()</f>
        <v>0.856090449828457</v>
      </c>
      <c r="W4" s="161" t="n">
        <f aca="true">RAND()</f>
        <v>0.987089090305167</v>
      </c>
      <c r="X4" s="161" t="n">
        <f aca="true">RAND()</f>
        <v>0.715946110502177</v>
      </c>
      <c r="Y4" s="161" t="n">
        <f aca="true">RAND()</f>
        <v>0.886429283055917</v>
      </c>
      <c r="Z4" s="161" t="n">
        <f aca="true">RAND()</f>
        <v>0.797523041864829</v>
      </c>
      <c r="AA4" s="161" t="n">
        <f aca="true">RAND()</f>
        <v>0.79079423793943</v>
      </c>
      <c r="AB4" s="161" t="n">
        <f aca="true">RAND()</f>
        <v>0.119063706188837</v>
      </c>
      <c r="AC4" s="161" t="n">
        <f aca="true">RAND()</f>
        <v>0.474706230352474</v>
      </c>
      <c r="AD4" s="161" t="n">
        <f aca="true">RAND()</f>
        <v>0.0797143535187908</v>
      </c>
      <c r="AE4" s="161" t="n">
        <f aca="true">RAND()</f>
        <v>0.3142358586005</v>
      </c>
      <c r="AF4" s="161" t="n">
        <f aca="true">RAND()</f>
        <v>0.759026587242507</v>
      </c>
      <c r="AG4" s="161" t="n">
        <f aca="true">RAND()</f>
        <v>0.424736887276691</v>
      </c>
      <c r="AH4" s="161" t="n">
        <f aca="true">RAND()</f>
        <v>0.940999811743346</v>
      </c>
      <c r="AI4" s="161" t="n">
        <f aca="true">RAND()</f>
        <v>0.135908325948784</v>
      </c>
      <c r="AJ4" s="161" t="n">
        <f aca="true">RAND()</f>
        <v>0.296954967558869</v>
      </c>
      <c r="AK4" s="161" t="n">
        <f aca="true">RAND()</f>
        <v>0.653277500599732</v>
      </c>
      <c r="AL4" s="161" t="n">
        <f aca="true">RAND()</f>
        <v>0.741389470614673</v>
      </c>
      <c r="AM4" s="161" t="n">
        <f aca="true">RAND()</f>
        <v>0.333652613391065</v>
      </c>
      <c r="AN4" s="161" t="n">
        <f aca="true">RAND()</f>
        <v>0.441663480328549</v>
      </c>
      <c r="AO4" s="161" t="n">
        <f aca="true">RAND()</f>
        <v>0.497960504804753</v>
      </c>
      <c r="AP4" s="161" t="n">
        <f aca="true">RAND()</f>
        <v>0.397102090212854</v>
      </c>
      <c r="AQ4" s="161" t="n">
        <f aca="true">RAND()</f>
        <v>0.352623262935593</v>
      </c>
      <c r="AR4" s="161" t="n">
        <f aca="true">RAND()</f>
        <v>0.0324646184730537</v>
      </c>
      <c r="AS4" s="161" t="n">
        <f aca="true">RAND()</f>
        <v>0.0553595404022196</v>
      </c>
      <c r="AT4" s="161" t="n">
        <f aca="true">RAND()</f>
        <v>0.162907475269217</v>
      </c>
      <c r="AU4" s="161" t="n">
        <f aca="true">RAND()</f>
        <v>0.066951412867493</v>
      </c>
      <c r="AV4" s="161" t="n">
        <f aca="true">RAND()</f>
        <v>0.55689684757566</v>
      </c>
      <c r="AW4" s="161" t="n">
        <f aca="true">RAND()</f>
        <v>0.825595345388891</v>
      </c>
      <c r="AX4" s="161" t="n">
        <f aca="true">RAND()</f>
        <v>0.943739201245022</v>
      </c>
      <c r="AY4" s="161" t="n">
        <f aca="true">RAND()</f>
        <v>0.450011190203592</v>
      </c>
      <c r="AZ4" s="161" t="n">
        <f aca="true">RAND()</f>
        <v>0.19293833023153</v>
      </c>
      <c r="BA4" s="161" t="n">
        <f aca="true">RAND()</f>
        <v>0.942688598852219</v>
      </c>
      <c r="BB4" s="161" t="n">
        <f aca="true">RAND()</f>
        <v>0.875031767047198</v>
      </c>
      <c r="BC4" s="161" t="n">
        <f aca="true">RAND()</f>
        <v>0.79639494827962</v>
      </c>
      <c r="BD4" s="161" t="n">
        <f aca="true">RAND()</f>
        <v>0.969307547525559</v>
      </c>
      <c r="BE4" s="161" t="n">
        <f aca="true">RAND()</f>
        <v>0.278897453089595</v>
      </c>
      <c r="BF4" s="161" t="n">
        <f aca="true">RAND()</f>
        <v>0.308615799316648</v>
      </c>
      <c r="BG4" s="161" t="n">
        <f aca="true">RAND()</f>
        <v>0.469087865801733</v>
      </c>
      <c r="BH4" s="161" t="n">
        <f aca="true">RAND()</f>
        <v>0.873764254061938</v>
      </c>
      <c r="BI4" s="161" t="n">
        <f aca="true">RAND()</f>
        <v>0.796815020217964</v>
      </c>
      <c r="BJ4" s="161" t="n">
        <f aca="true">RAND()</f>
        <v>0.724112710572479</v>
      </c>
      <c r="BK4" s="161" t="n">
        <f aca="true">RAND()</f>
        <v>0.299466510091988</v>
      </c>
      <c r="BL4" s="161" t="n">
        <f aca="true">RAND()</f>
        <v>0.566257812858072</v>
      </c>
      <c r="BM4" s="161" t="n">
        <f aca="true">RAND()</f>
        <v>0.162720135680085</v>
      </c>
      <c r="BN4" s="161" t="n">
        <f aca="true">RAND()</f>
        <v>0.513110546031799</v>
      </c>
      <c r="BO4" s="161" t="n">
        <f aca="true">RAND()</f>
        <v>0.236127751731056</v>
      </c>
      <c r="BP4" s="161" t="n">
        <f aca="true">RAND()</f>
        <v>0.607182057536059</v>
      </c>
      <c r="BQ4" s="161" t="n">
        <f aca="true">RAND()</f>
        <v>0.78545394636777</v>
      </c>
      <c r="BR4" s="161" t="n">
        <f aca="true">RAND()</f>
        <v>0.112987936807686</v>
      </c>
      <c r="BS4" s="161" t="n">
        <f aca="true">RAND()</f>
        <v>0.00413041143562998</v>
      </c>
      <c r="BT4" s="161" t="n">
        <f aca="true">RAND()</f>
        <v>0.382764554002687</v>
      </c>
      <c r="BU4" s="161" t="n">
        <f aca="true">RAND()</f>
        <v>0.328597617119322</v>
      </c>
      <c r="BV4" s="161" t="n">
        <f aca="true">RAND()</f>
        <v>0.306173935421948</v>
      </c>
      <c r="BW4" s="161" t="n">
        <f aca="true">RAND()</f>
        <v>0.130384832500147</v>
      </c>
      <c r="BX4" s="161" t="n">
        <f aca="true">RAND()</f>
        <v>0.516552999457683</v>
      </c>
      <c r="BY4" s="161" t="n">
        <f aca="true">RAND()</f>
        <v>0.228465072219209</v>
      </c>
      <c r="BZ4" s="162" t="n">
        <f aca="false">Simulator!K7*Simulator!$D$5+Simulator!L7*Simulator!$D$6+Simulator!M7*Simulator!$D$7+Simulator!N7*Simulator!$D$8+Simulator!O7*Simulator!$D$9+Simulator!P7*Simulator!$D$10</f>
        <v>0.67310507230045</v>
      </c>
      <c r="CA4" s="162" t="n">
        <f aca="false">IF($BZ4=0,0.1667,(Simulator!K7*Simulator!$D$5)/$BZ4)</f>
        <v>0.373449052590567</v>
      </c>
      <c r="CB4" s="162" t="n">
        <f aca="false">IF($BZ4=0,0.3333,(Simulator!K7*Simulator!$D$5+Simulator!L7*Simulator!$D$6)/$BZ4)</f>
        <v>0.888451527457792</v>
      </c>
      <c r="CC4" s="162" t="n">
        <f aca="false">IF($BZ4=0,0.5,(Simulator!K7*Simulator!$D$5+Simulator!L7*Simulator!$D$6+Simulator!M7*Simulator!$D$7)/$BZ4)</f>
        <v>0.945282005385677</v>
      </c>
      <c r="CD4" s="162" t="n">
        <f aca="false">IF($BZ4=0,0.6667,(Simulator!K7*Simulator!$D$5+Simulator!L7*Simulator!$D$6+Simulator!M7*Simulator!$D$7+Simulator!N7*Simulator!$D$8)/$BZ4)</f>
        <v>0.994899400396849</v>
      </c>
      <c r="CE4" s="162" t="n">
        <f aca="false">IF($BZ4=0,0.8333,(Simulator!K7*Simulator!$D$5+Simulator!L7*Simulator!$D$6+Simulator!M7*Simulator!$D$7+Simulator!N7*Simulator!$D$8+Simulator!O7*Simulator!$D$9)/$BZ4)</f>
        <v>1</v>
      </c>
    </row>
    <row r="5" customFormat="false" ht="15" hidden="false" customHeight="false" outlineLevel="0" collapsed="false">
      <c r="A5" s="160" t="s">
        <v>40</v>
      </c>
      <c r="B5" s="161" t="n">
        <f aca="true">RAND()</f>
        <v>0.328671922956602</v>
      </c>
      <c r="C5" s="161" t="n">
        <f aca="true">RAND()</f>
        <v>0.618562247508632</v>
      </c>
      <c r="D5" s="161" t="n">
        <f aca="true">RAND()</f>
        <v>0.827694014982773</v>
      </c>
      <c r="E5" s="161" t="n">
        <f aca="true">RAND()</f>
        <v>0.572048045054897</v>
      </c>
      <c r="F5" s="161" t="n">
        <f aca="true">RAND()</f>
        <v>0.511781259019755</v>
      </c>
      <c r="G5" s="161" t="n">
        <f aca="true">RAND()</f>
        <v>0.506652550827275</v>
      </c>
      <c r="H5" s="161" t="n">
        <f aca="true">RAND()</f>
        <v>0.923544098482975</v>
      </c>
      <c r="I5" s="161" t="n">
        <f aca="true">RAND()</f>
        <v>0.432828334357383</v>
      </c>
      <c r="J5" s="161" t="n">
        <f aca="true">RAND()</f>
        <v>0.14298643210307</v>
      </c>
      <c r="K5" s="161" t="n">
        <f aca="true">RAND()</f>
        <v>0.483528938072962</v>
      </c>
      <c r="L5" s="161" t="n">
        <f aca="true">RAND()</f>
        <v>0.462880318496258</v>
      </c>
      <c r="M5" s="161" t="n">
        <f aca="true">RAND()</f>
        <v>0.320935462471888</v>
      </c>
      <c r="N5" s="161" t="n">
        <f aca="true">RAND()</f>
        <v>0.24287203922205</v>
      </c>
      <c r="O5" s="161" t="n">
        <f aca="true">RAND()</f>
        <v>0.92232315201965</v>
      </c>
      <c r="P5" s="161" t="n">
        <f aca="true">RAND()</f>
        <v>0.940182089723946</v>
      </c>
      <c r="Q5" s="161" t="n">
        <f aca="true">RAND()</f>
        <v>0.917421541726959</v>
      </c>
      <c r="R5" s="161" t="n">
        <f aca="true">RAND()</f>
        <v>0.106079187692039</v>
      </c>
      <c r="S5" s="161" t="n">
        <f aca="true">RAND()</f>
        <v>0.852980798634467</v>
      </c>
      <c r="T5" s="161" t="n">
        <f aca="true">RAND()</f>
        <v>0.945527110295612</v>
      </c>
      <c r="U5" s="161" t="n">
        <f aca="true">RAND()</f>
        <v>0.267722931838912</v>
      </c>
      <c r="V5" s="161" t="n">
        <f aca="true">RAND()</f>
        <v>0.510240467559436</v>
      </c>
      <c r="W5" s="161" t="n">
        <f aca="true">RAND()</f>
        <v>0.931591129075489</v>
      </c>
      <c r="X5" s="161" t="n">
        <f aca="true">RAND()</f>
        <v>0.290645535817655</v>
      </c>
      <c r="Y5" s="161" t="n">
        <f aca="true">RAND()</f>
        <v>0.498751506620355</v>
      </c>
      <c r="Z5" s="161" t="n">
        <f aca="true">RAND()</f>
        <v>0.786435821339789</v>
      </c>
      <c r="AA5" s="161" t="n">
        <f aca="true">RAND()</f>
        <v>0.954150747165612</v>
      </c>
      <c r="AB5" s="161" t="n">
        <f aca="true">RAND()</f>
        <v>0.892601137431276</v>
      </c>
      <c r="AC5" s="161" t="n">
        <f aca="true">RAND()</f>
        <v>0.733261961413484</v>
      </c>
      <c r="AD5" s="161" t="n">
        <f aca="true">RAND()</f>
        <v>0.294069743772286</v>
      </c>
      <c r="AE5" s="161" t="n">
        <f aca="true">RAND()</f>
        <v>0.908342659517478</v>
      </c>
      <c r="AF5" s="161" t="n">
        <f aca="true">RAND()</f>
        <v>0.858433434522322</v>
      </c>
      <c r="AG5" s="161" t="n">
        <f aca="true">RAND()</f>
        <v>0.748677637305386</v>
      </c>
      <c r="AH5" s="161" t="n">
        <f aca="true">RAND()</f>
        <v>0.760870683978395</v>
      </c>
      <c r="AI5" s="161" t="n">
        <f aca="true">RAND()</f>
        <v>0.116599357498339</v>
      </c>
      <c r="AJ5" s="161" t="n">
        <f aca="true">RAND()</f>
        <v>0.934065973796287</v>
      </c>
      <c r="AK5" s="161" t="n">
        <f aca="true">RAND()</f>
        <v>0.3265151978705</v>
      </c>
      <c r="AL5" s="161" t="n">
        <f aca="true">RAND()</f>
        <v>0.790376288849786</v>
      </c>
      <c r="AM5" s="161" t="n">
        <f aca="true">RAND()</f>
        <v>0.131790179126822</v>
      </c>
      <c r="AN5" s="161" t="n">
        <f aca="true">RAND()</f>
        <v>0.969735087792878</v>
      </c>
      <c r="AO5" s="161" t="n">
        <f aca="true">RAND()</f>
        <v>0.818420402608036</v>
      </c>
      <c r="AP5" s="161" t="n">
        <f aca="true">RAND()</f>
        <v>0.693448825009596</v>
      </c>
      <c r="AQ5" s="161" t="n">
        <f aca="true">RAND()</f>
        <v>0.273758276093951</v>
      </c>
      <c r="AR5" s="161" t="n">
        <f aca="true">RAND()</f>
        <v>0.285161314625699</v>
      </c>
      <c r="AS5" s="161" t="n">
        <f aca="true">RAND()</f>
        <v>0.977240848709659</v>
      </c>
      <c r="AT5" s="161" t="n">
        <f aca="true">RAND()</f>
        <v>0.385208379030619</v>
      </c>
      <c r="AU5" s="161" t="n">
        <f aca="true">RAND()</f>
        <v>0.690869082391073</v>
      </c>
      <c r="AV5" s="161" t="n">
        <f aca="true">RAND()</f>
        <v>0.234181186523599</v>
      </c>
      <c r="AW5" s="161" t="n">
        <f aca="true">RAND()</f>
        <v>0.517890187609222</v>
      </c>
      <c r="AX5" s="161" t="n">
        <f aca="true">RAND()</f>
        <v>0.862759329125083</v>
      </c>
      <c r="AY5" s="161" t="n">
        <f aca="true">RAND()</f>
        <v>0.223575470593462</v>
      </c>
      <c r="AZ5" s="161" t="n">
        <f aca="true">RAND()</f>
        <v>0.877313646035022</v>
      </c>
      <c r="BA5" s="161" t="n">
        <f aca="true">RAND()</f>
        <v>0.785482265535171</v>
      </c>
      <c r="BB5" s="161" t="n">
        <f aca="true">RAND()</f>
        <v>0.833761182939683</v>
      </c>
      <c r="BC5" s="161" t="n">
        <f aca="true">RAND()</f>
        <v>0.853377719481744</v>
      </c>
      <c r="BD5" s="161" t="n">
        <f aca="true">RAND()</f>
        <v>0.656610287078711</v>
      </c>
      <c r="BE5" s="161" t="n">
        <f aca="true">RAND()</f>
        <v>0.829685387891116</v>
      </c>
      <c r="BF5" s="161" t="n">
        <f aca="true">RAND()</f>
        <v>0.597915456169848</v>
      </c>
      <c r="BG5" s="161" t="n">
        <f aca="true">RAND()</f>
        <v>0.12148052018342</v>
      </c>
      <c r="BH5" s="161" t="n">
        <f aca="true">RAND()</f>
        <v>0.961603377415999</v>
      </c>
      <c r="BI5" s="161" t="n">
        <f aca="true">RAND()</f>
        <v>0.670867255293602</v>
      </c>
      <c r="BJ5" s="161" t="n">
        <f aca="true">RAND()</f>
        <v>0.690303317870204</v>
      </c>
      <c r="BK5" s="161" t="n">
        <f aca="true">RAND()</f>
        <v>0.993123782915138</v>
      </c>
      <c r="BL5" s="161" t="n">
        <f aca="true">RAND()</f>
        <v>0.0459090941740745</v>
      </c>
      <c r="BM5" s="161" t="n">
        <f aca="true">RAND()</f>
        <v>0.538083311863245</v>
      </c>
      <c r="BN5" s="161" t="n">
        <f aca="true">RAND()</f>
        <v>0.916465355293258</v>
      </c>
      <c r="BO5" s="161" t="n">
        <f aca="true">RAND()</f>
        <v>0.471451733307606</v>
      </c>
      <c r="BP5" s="161" t="n">
        <f aca="true">RAND()</f>
        <v>0.954264611061777</v>
      </c>
      <c r="BQ5" s="161" t="n">
        <f aca="true">RAND()</f>
        <v>0.525964201049315</v>
      </c>
      <c r="BR5" s="161" t="n">
        <f aca="true">RAND()</f>
        <v>0.866579450819507</v>
      </c>
      <c r="BS5" s="161" t="n">
        <f aca="true">RAND()</f>
        <v>0.665923879699629</v>
      </c>
      <c r="BT5" s="161" t="n">
        <f aca="true">RAND()</f>
        <v>0.987110539848906</v>
      </c>
      <c r="BU5" s="161" t="n">
        <f aca="true">RAND()</f>
        <v>0.0467503892321743</v>
      </c>
      <c r="BV5" s="161" t="n">
        <f aca="true">RAND()</f>
        <v>0.301411222119701</v>
      </c>
      <c r="BW5" s="161" t="n">
        <f aca="true">RAND()</f>
        <v>0.308109110083211</v>
      </c>
      <c r="BX5" s="161" t="n">
        <f aca="true">RAND()</f>
        <v>0.332185710898096</v>
      </c>
      <c r="BY5" s="161" t="n">
        <f aca="true">RAND()</f>
        <v>0.737765664260604</v>
      </c>
      <c r="BZ5" s="162" t="n">
        <f aca="false">Simulator!K8*Simulator!$D$5+Simulator!L8*Simulator!$D$6+Simulator!M8*Simulator!$D$7+Simulator!N8*Simulator!$D$8+Simulator!O8*Simulator!$D$9+Simulator!P8*Simulator!$D$10</f>
        <v>0.664803924484514</v>
      </c>
      <c r="CA5" s="162" t="n">
        <f aca="false">IF($BZ5=0,0.1667,(Simulator!K8*Simulator!$D$5)/$BZ5)</f>
        <v>0.327947487372213</v>
      </c>
      <c r="CB5" s="162" t="n">
        <f aca="false">IF($BZ5=0,0.3333,(Simulator!K8*Simulator!$D$5+Simulator!L8*Simulator!$D$6)/$BZ5)</f>
        <v>0.884020582662975</v>
      </c>
      <c r="CC5" s="162" t="n">
        <f aca="false">IF($BZ5=0,0.5,(Simulator!K8*Simulator!$D$5+Simulator!L8*Simulator!$D$6+Simulator!M8*Simulator!$D$7)/$BZ5)</f>
        <v>0.947154691939221</v>
      </c>
      <c r="CD5" s="162" t="n">
        <f aca="false">IF($BZ5=0,0.6667,(Simulator!K8*Simulator!$D$5+Simulator!L8*Simulator!$D$6+Simulator!M8*Simulator!$D$7+Simulator!N8*Simulator!$D$8)/$BZ5)</f>
        <v>0.994738678323455</v>
      </c>
      <c r="CE5" s="162" t="n">
        <f aca="false">IF($BZ5=0,0.8333,(Simulator!K8*Simulator!$D$5+Simulator!L8*Simulator!$D$6+Simulator!M8*Simulator!$D$7+Simulator!N8*Simulator!$D$8+Simulator!O8*Simulator!$D$9)/$BZ5)</f>
        <v>1</v>
      </c>
    </row>
    <row r="6" customFormat="false" ht="15" hidden="false" customHeight="false" outlineLevel="0" collapsed="false">
      <c r="A6" s="160" t="s">
        <v>43</v>
      </c>
      <c r="B6" s="161" t="n">
        <f aca="true">RAND()</f>
        <v>0.989395902611079</v>
      </c>
      <c r="C6" s="161" t="n">
        <f aca="true">RAND()</f>
        <v>0.542959740937744</v>
      </c>
      <c r="D6" s="161" t="n">
        <f aca="true">RAND()</f>
        <v>0.439788829884353</v>
      </c>
      <c r="E6" s="161" t="n">
        <f aca="true">RAND()</f>
        <v>0.526450854649494</v>
      </c>
      <c r="F6" s="161" t="n">
        <f aca="true">RAND()</f>
        <v>0.227672806617665</v>
      </c>
      <c r="G6" s="161" t="n">
        <f aca="true">RAND()</f>
        <v>0.257388995978288</v>
      </c>
      <c r="H6" s="161" t="n">
        <f aca="true">RAND()</f>
        <v>0.34971077217685</v>
      </c>
      <c r="I6" s="161" t="n">
        <f aca="true">RAND()</f>
        <v>0.323430985884251</v>
      </c>
      <c r="J6" s="161" t="n">
        <f aca="true">RAND()</f>
        <v>0.270185876659918</v>
      </c>
      <c r="K6" s="161" t="n">
        <f aca="true">RAND()</f>
        <v>0.57230581860076</v>
      </c>
      <c r="L6" s="161" t="n">
        <f aca="true">RAND()</f>
        <v>0.478214518619479</v>
      </c>
      <c r="M6" s="161" t="n">
        <f aca="true">RAND()</f>
        <v>0.295326921134526</v>
      </c>
      <c r="N6" s="161" t="n">
        <f aca="true">RAND()</f>
        <v>0.296756812315651</v>
      </c>
      <c r="O6" s="161" t="n">
        <f aca="true">RAND()</f>
        <v>0.821506638044191</v>
      </c>
      <c r="P6" s="161" t="n">
        <f aca="true">RAND()</f>
        <v>0.605184645354126</v>
      </c>
      <c r="Q6" s="161" t="n">
        <f aca="true">RAND()</f>
        <v>0.746167820280481</v>
      </c>
      <c r="R6" s="161" t="n">
        <f aca="true">RAND()</f>
        <v>0.320514060699921</v>
      </c>
      <c r="S6" s="161" t="n">
        <f aca="true">RAND()</f>
        <v>0.200196099145414</v>
      </c>
      <c r="T6" s="161" t="n">
        <f aca="true">RAND()</f>
        <v>0.954929777410739</v>
      </c>
      <c r="U6" s="161" t="n">
        <f aca="true">RAND()</f>
        <v>0.115294323760307</v>
      </c>
      <c r="V6" s="161" t="n">
        <f aca="true">RAND()</f>
        <v>0.830285279047321</v>
      </c>
      <c r="W6" s="161" t="n">
        <f aca="true">RAND()</f>
        <v>0.216557307871822</v>
      </c>
      <c r="X6" s="161" t="n">
        <f aca="true">RAND()</f>
        <v>0.127228346280966</v>
      </c>
      <c r="Y6" s="161" t="n">
        <f aca="true">RAND()</f>
        <v>0.15979727880693</v>
      </c>
      <c r="Z6" s="161" t="n">
        <f aca="true">RAND()</f>
        <v>0.774772750990155</v>
      </c>
      <c r="AA6" s="161" t="n">
        <f aca="true">RAND()</f>
        <v>0.660690794406356</v>
      </c>
      <c r="AB6" s="161" t="n">
        <f aca="true">RAND()</f>
        <v>0.985001202031218</v>
      </c>
      <c r="AC6" s="161" t="n">
        <f aca="true">RAND()</f>
        <v>0.580891263194982</v>
      </c>
      <c r="AD6" s="161" t="n">
        <f aca="true">RAND()</f>
        <v>0.555618405640947</v>
      </c>
      <c r="AE6" s="161" t="n">
        <f aca="true">RAND()</f>
        <v>0.886055614807622</v>
      </c>
      <c r="AF6" s="161" t="n">
        <f aca="true">RAND()</f>
        <v>0.680020923031755</v>
      </c>
      <c r="AG6" s="161" t="n">
        <f aca="true">RAND()</f>
        <v>0.423728358471607</v>
      </c>
      <c r="AH6" s="161" t="n">
        <f aca="true">RAND()</f>
        <v>0.214558394132731</v>
      </c>
      <c r="AI6" s="161" t="n">
        <f aca="true">RAND()</f>
        <v>0.0622650345080062</v>
      </c>
      <c r="AJ6" s="161" t="n">
        <f aca="true">RAND()</f>
        <v>0.331907769948125</v>
      </c>
      <c r="AK6" s="161" t="n">
        <f aca="true">RAND()</f>
        <v>0.0990967500614014</v>
      </c>
      <c r="AL6" s="161" t="n">
        <f aca="true">RAND()</f>
        <v>0.409296178378502</v>
      </c>
      <c r="AM6" s="161" t="n">
        <f aca="true">RAND()</f>
        <v>0.113528877028083</v>
      </c>
      <c r="AN6" s="161" t="n">
        <f aca="true">RAND()</f>
        <v>0.319833863708899</v>
      </c>
      <c r="AO6" s="161" t="n">
        <f aca="true">RAND()</f>
        <v>0.759953061945185</v>
      </c>
      <c r="AP6" s="161" t="n">
        <f aca="true">RAND()</f>
        <v>0.169675835180929</v>
      </c>
      <c r="AQ6" s="161" t="n">
        <f aca="true">RAND()</f>
        <v>0.826244867142138</v>
      </c>
      <c r="AR6" s="161" t="n">
        <f aca="true">RAND()</f>
        <v>0.142399739053075</v>
      </c>
      <c r="AS6" s="161" t="n">
        <f aca="true">RAND()</f>
        <v>0.868095973934592</v>
      </c>
      <c r="AT6" s="161" t="n">
        <f aca="true">RAND()</f>
        <v>0.414666936666195</v>
      </c>
      <c r="AU6" s="161" t="n">
        <f aca="true">RAND()</f>
        <v>0.794689771536528</v>
      </c>
      <c r="AV6" s="161" t="n">
        <f aca="true">RAND()</f>
        <v>0.87584712589176</v>
      </c>
      <c r="AW6" s="161" t="n">
        <f aca="true">RAND()</f>
        <v>0.302324764345111</v>
      </c>
      <c r="AX6" s="161" t="n">
        <f aca="true">RAND()</f>
        <v>0.30975688130999</v>
      </c>
      <c r="AY6" s="161" t="n">
        <f aca="true">RAND()</f>
        <v>0.822688788513029</v>
      </c>
      <c r="AZ6" s="161" t="n">
        <f aca="true">RAND()</f>
        <v>0.988503620574992</v>
      </c>
      <c r="BA6" s="161" t="n">
        <f aca="true">RAND()</f>
        <v>0.814443665568026</v>
      </c>
      <c r="BB6" s="161" t="n">
        <f aca="true">RAND()</f>
        <v>0.273662563496894</v>
      </c>
      <c r="BC6" s="161" t="n">
        <f aca="true">RAND()</f>
        <v>0.885357678115372</v>
      </c>
      <c r="BD6" s="161" t="n">
        <f aca="true">RAND()</f>
        <v>0.708055083890889</v>
      </c>
      <c r="BE6" s="161" t="n">
        <f aca="true">RAND()</f>
        <v>0.710010211288329</v>
      </c>
      <c r="BF6" s="161" t="n">
        <f aca="true">RAND()</f>
        <v>0.367533029993596</v>
      </c>
      <c r="BG6" s="161" t="n">
        <f aca="true">RAND()</f>
        <v>0.684393774741295</v>
      </c>
      <c r="BH6" s="161" t="n">
        <f aca="true">RAND()</f>
        <v>0.22798514173891</v>
      </c>
      <c r="BI6" s="161" t="n">
        <f aca="true">RAND()</f>
        <v>0.755252326912568</v>
      </c>
      <c r="BJ6" s="161" t="n">
        <f aca="true">RAND()</f>
        <v>0.539699896518261</v>
      </c>
      <c r="BK6" s="161" t="n">
        <f aca="true">RAND()</f>
        <v>0.21581234278595</v>
      </c>
      <c r="BL6" s="161" t="n">
        <f aca="true">RAND()</f>
        <v>0.720025694854282</v>
      </c>
      <c r="BM6" s="161" t="n">
        <f aca="true">RAND()</f>
        <v>0.163648936320896</v>
      </c>
      <c r="BN6" s="161" t="n">
        <f aca="true">RAND()</f>
        <v>0.528853581038327</v>
      </c>
      <c r="BO6" s="161" t="n">
        <f aca="true">RAND()</f>
        <v>0.768206005373161</v>
      </c>
      <c r="BP6" s="161" t="n">
        <f aca="true">RAND()</f>
        <v>0.454394382652772</v>
      </c>
      <c r="BQ6" s="161" t="n">
        <f aca="true">RAND()</f>
        <v>0.107903608527111</v>
      </c>
      <c r="BR6" s="161" t="n">
        <f aca="true">RAND()</f>
        <v>0.48360995326907</v>
      </c>
      <c r="BS6" s="161" t="n">
        <f aca="true">RAND()</f>
        <v>0.077641845292329</v>
      </c>
      <c r="BT6" s="161" t="n">
        <f aca="true">RAND()</f>
        <v>0.985322741310608</v>
      </c>
      <c r="BU6" s="161" t="n">
        <f aca="true">RAND()</f>
        <v>0.838704875454981</v>
      </c>
      <c r="BV6" s="161" t="n">
        <f aca="true">RAND()</f>
        <v>0.223905349994901</v>
      </c>
      <c r="BW6" s="161" t="n">
        <f aca="true">RAND()</f>
        <v>0.0794334368138826</v>
      </c>
      <c r="BX6" s="161" t="n">
        <f aca="true">RAND()</f>
        <v>0.723431159357573</v>
      </c>
      <c r="BY6" s="161" t="n">
        <f aca="true">RAND()</f>
        <v>0.536192769579006</v>
      </c>
      <c r="BZ6" s="162" t="n">
        <f aca="false">Simulator!K9*Simulator!$D$5+Simulator!L9*Simulator!$D$6+Simulator!M9*Simulator!$D$7+Simulator!N9*Simulator!$D$8+Simulator!O9*Simulator!$D$9+Simulator!P9*Simulator!$D$10</f>
        <v>0.634194304782577</v>
      </c>
      <c r="CA6" s="162" t="n">
        <f aca="false">IF($BZ6=0,0.1667,(Simulator!K9*Simulator!$D$5)/$BZ6)</f>
        <v>0.51823960583364</v>
      </c>
      <c r="CB6" s="162" t="n">
        <f aca="false">IF($BZ6=0,0.3333,(Simulator!K9*Simulator!$D$5+Simulator!L9*Simulator!$D$6)/$BZ6)</f>
        <v>0.868083699723157</v>
      </c>
      <c r="CC6" s="162" t="n">
        <f aca="false">IF($BZ6=0,0.5,(Simulator!K9*Simulator!$D$5+Simulator!L9*Simulator!$D$6+Simulator!M9*Simulator!$D$7)/$BZ6)</f>
        <v>0.906693955772468</v>
      </c>
      <c r="CD6" s="162" t="n">
        <f aca="false">IF($BZ6=0,0.6667,(Simulator!K9*Simulator!$D$5+Simulator!L9*Simulator!$D$6+Simulator!M9*Simulator!$D$7+Simulator!N9*Simulator!$D$8)/$BZ6)</f>
        <v>0.993828024909916</v>
      </c>
      <c r="CE6" s="162" t="n">
        <f aca="false">IF($BZ6=0,0.8333,(Simulator!K9*Simulator!$D$5+Simulator!L9*Simulator!$D$6+Simulator!M9*Simulator!$D$7+Simulator!N9*Simulator!$D$8+Simulator!O9*Simulator!$D$9)/$BZ6)</f>
        <v>1</v>
      </c>
    </row>
    <row r="7" customFormat="false" ht="15" hidden="false" customHeight="false" outlineLevel="0" collapsed="false">
      <c r="A7" s="160" t="s">
        <v>46</v>
      </c>
      <c r="B7" s="161" t="n">
        <f aca="true">RAND()</f>
        <v>0.479115575207698</v>
      </c>
      <c r="C7" s="161" t="n">
        <f aca="true">RAND()</f>
        <v>0.198291389361315</v>
      </c>
      <c r="D7" s="161" t="n">
        <f aca="true">RAND()</f>
        <v>0.480328733953811</v>
      </c>
      <c r="E7" s="161" t="n">
        <f aca="true">RAND()</f>
        <v>0.142877381702596</v>
      </c>
      <c r="F7" s="161" t="n">
        <f aca="true">RAND()</f>
        <v>0.207845398293188</v>
      </c>
      <c r="G7" s="161" t="n">
        <f aca="true">RAND()</f>
        <v>0.519381623727449</v>
      </c>
      <c r="H7" s="161" t="n">
        <f aca="true">RAND()</f>
        <v>0.461852583458329</v>
      </c>
      <c r="I7" s="161" t="n">
        <f aca="true">RAND()</f>
        <v>0.706184215348164</v>
      </c>
      <c r="J7" s="161" t="n">
        <f aca="true">RAND()</f>
        <v>0.612354913781131</v>
      </c>
      <c r="K7" s="161" t="n">
        <f aca="true">RAND()</f>
        <v>0.741270390334125</v>
      </c>
      <c r="L7" s="161" t="n">
        <f aca="true">RAND()</f>
        <v>0.325842770743169</v>
      </c>
      <c r="M7" s="161" t="n">
        <f aca="true">RAND()</f>
        <v>0.691680394109193</v>
      </c>
      <c r="N7" s="161" t="n">
        <f aca="true">RAND()</f>
        <v>0.229664984413672</v>
      </c>
      <c r="O7" s="161" t="n">
        <f aca="true">RAND()</f>
        <v>0.789259287487104</v>
      </c>
      <c r="P7" s="161" t="n">
        <f aca="true">RAND()</f>
        <v>0.692301817146644</v>
      </c>
      <c r="Q7" s="161" t="n">
        <f aca="true">RAND()</f>
        <v>0.210427702185519</v>
      </c>
      <c r="R7" s="161" t="n">
        <f aca="true">RAND()</f>
        <v>0.996950708580455</v>
      </c>
      <c r="S7" s="161" t="n">
        <f aca="true">RAND()</f>
        <v>0.871270530047642</v>
      </c>
      <c r="T7" s="161" t="n">
        <f aca="true">RAND()</f>
        <v>0.273777973436351</v>
      </c>
      <c r="U7" s="161" t="n">
        <f aca="true">RAND()</f>
        <v>0.567482707058225</v>
      </c>
      <c r="V7" s="161" t="n">
        <f aca="true">RAND()</f>
        <v>0.0831411965058151</v>
      </c>
      <c r="W7" s="161" t="n">
        <f aca="true">RAND()</f>
        <v>0.874441899536288</v>
      </c>
      <c r="X7" s="161" t="n">
        <f aca="true">RAND()</f>
        <v>0.714439883367429</v>
      </c>
      <c r="Y7" s="161" t="n">
        <f aca="true">RAND()</f>
        <v>0.86762711004038</v>
      </c>
      <c r="Z7" s="161" t="n">
        <f aca="true">RAND()</f>
        <v>0.926495999286591</v>
      </c>
      <c r="AA7" s="161" t="n">
        <f aca="true">RAND()</f>
        <v>0.773832731139252</v>
      </c>
      <c r="AB7" s="161" t="n">
        <f aca="true">RAND()</f>
        <v>0.866499247417118</v>
      </c>
      <c r="AC7" s="161" t="n">
        <f aca="true">RAND()</f>
        <v>0.702452729920123</v>
      </c>
      <c r="AD7" s="161" t="n">
        <f aca="true">RAND()</f>
        <v>0.67036868428026</v>
      </c>
      <c r="AE7" s="161" t="n">
        <f aca="true">RAND()</f>
        <v>0.174332924162589</v>
      </c>
      <c r="AF7" s="161" t="n">
        <f aca="true">RAND()</f>
        <v>0.0613798787378625</v>
      </c>
      <c r="AG7" s="161" t="n">
        <f aca="true">RAND()</f>
        <v>0.883779376837157</v>
      </c>
      <c r="AH7" s="161" t="n">
        <f aca="true">RAND()</f>
        <v>0.780742194777795</v>
      </c>
      <c r="AI7" s="161" t="n">
        <f aca="true">RAND()</f>
        <v>0.782747207453203</v>
      </c>
      <c r="AJ7" s="161" t="n">
        <f aca="true">RAND()</f>
        <v>0.731955215708593</v>
      </c>
      <c r="AK7" s="161" t="n">
        <f aca="true">RAND()</f>
        <v>0.855374607624497</v>
      </c>
      <c r="AL7" s="161" t="n">
        <f aca="true">RAND()</f>
        <v>0.963042310898138</v>
      </c>
      <c r="AM7" s="161" t="n">
        <f aca="true">RAND()</f>
        <v>0.165692078350279</v>
      </c>
      <c r="AN7" s="161" t="n">
        <f aca="true">RAND()</f>
        <v>0.626450849218377</v>
      </c>
      <c r="AO7" s="161" t="n">
        <f aca="true">RAND()</f>
        <v>0.425107468442837</v>
      </c>
      <c r="AP7" s="161" t="n">
        <f aca="true">RAND()</f>
        <v>0.213936646466504</v>
      </c>
      <c r="AQ7" s="161" t="n">
        <f aca="true">RAND()</f>
        <v>0.255684118635536</v>
      </c>
      <c r="AR7" s="161" t="n">
        <f aca="true">RAND()</f>
        <v>0.73928162629048</v>
      </c>
      <c r="AS7" s="161" t="n">
        <f aca="true">RAND()</f>
        <v>0.55375917649543</v>
      </c>
      <c r="AT7" s="161" t="n">
        <f aca="true">RAND()</f>
        <v>0.948660244334257</v>
      </c>
      <c r="AU7" s="161" t="n">
        <f aca="true">RAND()</f>
        <v>0.331094902113613</v>
      </c>
      <c r="AV7" s="161" t="n">
        <f aca="true">RAND()</f>
        <v>0.64717899593005</v>
      </c>
      <c r="AW7" s="161" t="n">
        <f aca="true">RAND()</f>
        <v>0.849892297803647</v>
      </c>
      <c r="AX7" s="161" t="n">
        <f aca="true">RAND()</f>
        <v>0.738368296008179</v>
      </c>
      <c r="AY7" s="161" t="n">
        <f aca="true">RAND()</f>
        <v>0.698898165519251</v>
      </c>
      <c r="AZ7" s="161" t="n">
        <f aca="true">RAND()</f>
        <v>0.0136763274710419</v>
      </c>
      <c r="BA7" s="161" t="n">
        <f aca="true">RAND()</f>
        <v>0.179606527196658</v>
      </c>
      <c r="BB7" s="161" t="n">
        <f aca="true">RAND()</f>
        <v>0.913484301182576</v>
      </c>
      <c r="BC7" s="161" t="n">
        <f aca="true">RAND()</f>
        <v>0.678075733446037</v>
      </c>
      <c r="BD7" s="161" t="n">
        <f aca="true">RAND()</f>
        <v>0.263607149874959</v>
      </c>
      <c r="BE7" s="161" t="n">
        <f aca="true">RAND()</f>
        <v>0.510080975637117</v>
      </c>
      <c r="BF7" s="161" t="n">
        <f aca="true">RAND()</f>
        <v>0.318740434624886</v>
      </c>
      <c r="BG7" s="161" t="n">
        <f aca="true">RAND()</f>
        <v>0.0150625664070049</v>
      </c>
      <c r="BH7" s="161" t="n">
        <f aca="true">RAND()</f>
        <v>0.60302312202722</v>
      </c>
      <c r="BI7" s="161" t="n">
        <f aca="true">RAND()</f>
        <v>0.472849637006055</v>
      </c>
      <c r="BJ7" s="161" t="n">
        <f aca="true">RAND()</f>
        <v>0.858074883927706</v>
      </c>
      <c r="BK7" s="161" t="n">
        <f aca="true">RAND()</f>
        <v>0.549166891896932</v>
      </c>
      <c r="BL7" s="161" t="n">
        <f aca="true">RAND()</f>
        <v>0.981976456559753</v>
      </c>
      <c r="BM7" s="161" t="n">
        <f aca="true">RAND()</f>
        <v>0.748679893951639</v>
      </c>
      <c r="BN7" s="161" t="n">
        <f aca="true">RAND()</f>
        <v>0.817841818648882</v>
      </c>
      <c r="BO7" s="161" t="n">
        <f aca="true">RAND()</f>
        <v>0.878426646904174</v>
      </c>
      <c r="BP7" s="161" t="n">
        <f aca="true">RAND()</f>
        <v>0.840128581183215</v>
      </c>
      <c r="BQ7" s="161" t="n">
        <f aca="true">RAND()</f>
        <v>0.780966570600694</v>
      </c>
      <c r="BR7" s="161" t="n">
        <f aca="true">RAND()</f>
        <v>0.151827709492385</v>
      </c>
      <c r="BS7" s="161" t="n">
        <f aca="true">RAND()</f>
        <v>0.102412546959941</v>
      </c>
      <c r="BT7" s="161" t="n">
        <f aca="true">RAND()</f>
        <v>0.367494498287222</v>
      </c>
      <c r="BU7" s="161" t="n">
        <f aca="true">RAND()</f>
        <v>0.815743486183715</v>
      </c>
      <c r="BV7" s="161" t="n">
        <f aca="true">RAND()</f>
        <v>0.167228486602017</v>
      </c>
      <c r="BW7" s="161" t="n">
        <f aca="true">RAND()</f>
        <v>0.0895782921536778</v>
      </c>
      <c r="BX7" s="161" t="n">
        <f aca="true">RAND()</f>
        <v>0.644424658505323</v>
      </c>
      <c r="BY7" s="161" t="n">
        <f aca="true">RAND()</f>
        <v>0.719740301514411</v>
      </c>
      <c r="BZ7" s="162" t="n">
        <f aca="false">Simulator!K10*Simulator!$D$5+Simulator!L10*Simulator!$D$6+Simulator!M10*Simulator!$D$7+Simulator!N10*Simulator!$D$8+Simulator!O10*Simulator!$D$9+Simulator!P10*Simulator!$D$10</f>
        <v>0.636979448518956</v>
      </c>
      <c r="CA7" s="162" t="n">
        <f aca="false">IF($BZ7=0,0.1667,(Simulator!K10*Simulator!$D$5)/$BZ7)</f>
        <v>0.4550904796545</v>
      </c>
      <c r="CB7" s="162" t="n">
        <f aca="false">IF($BZ7=0,0.3333,(Simulator!K10*Simulator!$D$5+Simulator!L10*Simulator!$D$6)/$BZ7)</f>
        <v>0.86852922016961</v>
      </c>
      <c r="CC7" s="162" t="n">
        <f aca="false">IF($BZ7=0,0.5,(Simulator!K10*Simulator!$D$5+Simulator!L10*Simulator!$D$6+Simulator!M10*Simulator!$D$7)/$BZ7)</f>
        <v>0.913930712897094</v>
      </c>
      <c r="CD7" s="162" t="n">
        <f aca="false">IF($BZ7=0,0.6667,(Simulator!K10*Simulator!$D$5+Simulator!L10*Simulator!$D$6+Simulator!M10*Simulator!$D$7+Simulator!N10*Simulator!$D$8)/$BZ7)</f>
        <v>0.994128695328683</v>
      </c>
      <c r="CE7" s="162" t="n">
        <f aca="false">IF($BZ7=0,0.8333,(Simulator!K10*Simulator!$D$5+Simulator!L10*Simulator!$D$6+Simulator!M10*Simulator!$D$7+Simulator!N10*Simulator!$D$8+Simulator!O10*Simulator!$D$9)/$BZ7)</f>
        <v>1</v>
      </c>
    </row>
    <row r="8" customFormat="false" ht="15" hidden="false" customHeight="false" outlineLevel="0" collapsed="false">
      <c r="A8" s="160" t="s">
        <v>47</v>
      </c>
      <c r="B8" s="161" t="n">
        <f aca="true">RAND()</f>
        <v>0.234085879299413</v>
      </c>
      <c r="C8" s="161" t="n">
        <f aca="true">RAND()</f>
        <v>0.462281974620608</v>
      </c>
      <c r="D8" s="161" t="n">
        <f aca="true">RAND()</f>
        <v>0.82991147756898</v>
      </c>
      <c r="E8" s="161" t="n">
        <f aca="true">RAND()</f>
        <v>0.955025931219118</v>
      </c>
      <c r="F8" s="161" t="n">
        <f aca="true">RAND()</f>
        <v>0.166176988943258</v>
      </c>
      <c r="G8" s="161" t="n">
        <f aca="true">RAND()</f>
        <v>0.548821960091424</v>
      </c>
      <c r="H8" s="161" t="n">
        <f aca="true">RAND()</f>
        <v>0.718952320802086</v>
      </c>
      <c r="I8" s="161" t="n">
        <f aca="true">RAND()</f>
        <v>0.555703877902262</v>
      </c>
      <c r="J8" s="161" t="n">
        <f aca="true">RAND()</f>
        <v>0.691579285227831</v>
      </c>
      <c r="K8" s="161" t="n">
        <f aca="true">RAND()</f>
        <v>0.642756895921443</v>
      </c>
      <c r="L8" s="161" t="n">
        <f aca="true">RAND()</f>
        <v>0.928624736817019</v>
      </c>
      <c r="M8" s="161" t="n">
        <f aca="true">RAND()</f>
        <v>0.283960331182946</v>
      </c>
      <c r="N8" s="161" t="n">
        <f aca="true">RAND()</f>
        <v>0.279537178096412</v>
      </c>
      <c r="O8" s="161" t="n">
        <f aca="true">RAND()</f>
        <v>0.299474552902008</v>
      </c>
      <c r="P8" s="161" t="n">
        <f aca="true">RAND()</f>
        <v>0.240227105460823</v>
      </c>
      <c r="Q8" s="161" t="n">
        <f aca="true">RAND()</f>
        <v>0.136437480040224</v>
      </c>
      <c r="R8" s="161" t="n">
        <f aca="true">RAND()</f>
        <v>0.671795551187394</v>
      </c>
      <c r="S8" s="161" t="n">
        <f aca="true">RAND()</f>
        <v>0.11322796761063</v>
      </c>
      <c r="T8" s="161" t="n">
        <f aca="true">RAND()</f>
        <v>0.464602483392817</v>
      </c>
      <c r="U8" s="161" t="n">
        <f aca="true">RAND()</f>
        <v>0.353687402377944</v>
      </c>
      <c r="V8" s="161" t="n">
        <f aca="true">RAND()</f>
        <v>0.637918817454654</v>
      </c>
      <c r="W8" s="161" t="n">
        <f aca="true">RAND()</f>
        <v>0.464373367892186</v>
      </c>
      <c r="X8" s="161" t="n">
        <f aca="true">RAND()</f>
        <v>0.10904448094814</v>
      </c>
      <c r="Y8" s="161" t="n">
        <f aca="true">RAND()</f>
        <v>0.385853295710465</v>
      </c>
      <c r="Z8" s="161" t="n">
        <f aca="true">RAND()</f>
        <v>0.438430417780227</v>
      </c>
      <c r="AA8" s="161" t="n">
        <f aca="true">RAND()</f>
        <v>0.0991007927072514</v>
      </c>
      <c r="AB8" s="161" t="n">
        <f aca="true">RAND()</f>
        <v>0.602103539727925</v>
      </c>
      <c r="AC8" s="161" t="n">
        <f aca="true">RAND()</f>
        <v>0.840537449353247</v>
      </c>
      <c r="AD8" s="161" t="n">
        <f aca="true">RAND()</f>
        <v>0.582862362001356</v>
      </c>
      <c r="AE8" s="161" t="n">
        <f aca="true">RAND()</f>
        <v>0.62752509298762</v>
      </c>
      <c r="AF8" s="161" t="n">
        <f aca="true">RAND()</f>
        <v>0.68047452922821</v>
      </c>
      <c r="AG8" s="161" t="n">
        <f aca="true">RAND()</f>
        <v>0.932719838109868</v>
      </c>
      <c r="AH8" s="161" t="n">
        <f aca="true">RAND()</f>
        <v>0.0696468846161322</v>
      </c>
      <c r="AI8" s="161" t="n">
        <f aca="true">RAND()</f>
        <v>0.0485566882371197</v>
      </c>
      <c r="AJ8" s="161" t="n">
        <f aca="true">RAND()</f>
        <v>0.171336726930191</v>
      </c>
      <c r="AK8" s="161" t="n">
        <f aca="true">RAND()</f>
        <v>0.136812199147994</v>
      </c>
      <c r="AL8" s="161" t="n">
        <f aca="true">RAND()</f>
        <v>0.686160467088051</v>
      </c>
      <c r="AM8" s="161" t="n">
        <f aca="true">RAND()</f>
        <v>0.184154203558775</v>
      </c>
      <c r="AN8" s="161" t="n">
        <f aca="true">RAND()</f>
        <v>0.464410880865341</v>
      </c>
      <c r="AO8" s="161" t="n">
        <f aca="true">RAND()</f>
        <v>0.245006640690108</v>
      </c>
      <c r="AP8" s="161" t="n">
        <f aca="true">RAND()</f>
        <v>0.429391950350342</v>
      </c>
      <c r="AQ8" s="161" t="n">
        <f aca="true">RAND()</f>
        <v>0.821932616646954</v>
      </c>
      <c r="AR8" s="161" t="n">
        <f aca="true">RAND()</f>
        <v>0.306765522459509</v>
      </c>
      <c r="AS8" s="161" t="n">
        <f aca="true">RAND()</f>
        <v>0.679558247629208</v>
      </c>
      <c r="AT8" s="161" t="n">
        <f aca="true">RAND()</f>
        <v>0.902180187670921</v>
      </c>
      <c r="AU8" s="161" t="n">
        <f aca="true">RAND()</f>
        <v>0.530232345184167</v>
      </c>
      <c r="AV8" s="161" t="n">
        <f aca="true">RAND()</f>
        <v>0.20568730864057</v>
      </c>
      <c r="AW8" s="161" t="n">
        <f aca="true">RAND()</f>
        <v>0.593867347671992</v>
      </c>
      <c r="AX8" s="161" t="n">
        <f aca="true">RAND()</f>
        <v>0.925741924750033</v>
      </c>
      <c r="AY8" s="161" t="n">
        <f aca="true">RAND()</f>
        <v>0.134348452471093</v>
      </c>
      <c r="AZ8" s="161" t="n">
        <f aca="true">RAND()</f>
        <v>0.0621796605637688</v>
      </c>
      <c r="BA8" s="161" t="n">
        <f aca="true">RAND()</f>
        <v>0.148449774298195</v>
      </c>
      <c r="BB8" s="161" t="n">
        <f aca="true">RAND()</f>
        <v>0.618990310321168</v>
      </c>
      <c r="BC8" s="161" t="n">
        <f aca="true">RAND()</f>
        <v>0.0721532364630931</v>
      </c>
      <c r="BD8" s="161" t="n">
        <f aca="true">RAND()</f>
        <v>0.241424945873822</v>
      </c>
      <c r="BE8" s="161" t="n">
        <f aca="true">RAND()</f>
        <v>0.166129960673123</v>
      </c>
      <c r="BF8" s="161" t="n">
        <f aca="true">RAND()</f>
        <v>0.236074638492952</v>
      </c>
      <c r="BG8" s="161" t="n">
        <f aca="true">RAND()</f>
        <v>0.899000148716614</v>
      </c>
      <c r="BH8" s="161" t="n">
        <f aca="true">RAND()</f>
        <v>0.474333241464817</v>
      </c>
      <c r="BI8" s="161" t="n">
        <f aca="true">RAND()</f>
        <v>0.557354950404926</v>
      </c>
      <c r="BJ8" s="161" t="n">
        <f aca="true">RAND()</f>
        <v>0.817012829038213</v>
      </c>
      <c r="BK8" s="161" t="n">
        <f aca="true">RAND()</f>
        <v>0.961207873316708</v>
      </c>
      <c r="BL8" s="161" t="n">
        <f aca="true">RAND()</f>
        <v>0.878931406512392</v>
      </c>
      <c r="BM8" s="161" t="n">
        <f aca="true">RAND()</f>
        <v>0.950296995277356</v>
      </c>
      <c r="BN8" s="161" t="n">
        <f aca="true">RAND()</f>
        <v>0.0306032967401001</v>
      </c>
      <c r="BO8" s="161" t="n">
        <f aca="true">RAND()</f>
        <v>0.913683132599416</v>
      </c>
      <c r="BP8" s="161" t="n">
        <f aca="true">RAND()</f>
        <v>0.918063985044877</v>
      </c>
      <c r="BQ8" s="161" t="n">
        <f aca="true">RAND()</f>
        <v>0.199884756679097</v>
      </c>
      <c r="BR8" s="161" t="n">
        <f aca="true">RAND()</f>
        <v>0.187739559778006</v>
      </c>
      <c r="BS8" s="161" t="n">
        <f aca="true">RAND()</f>
        <v>0.16784037067371</v>
      </c>
      <c r="BT8" s="161" t="n">
        <f aca="true">RAND()</f>
        <v>0.969024442587528</v>
      </c>
      <c r="BU8" s="161" t="n">
        <f aca="true">RAND()</f>
        <v>0.215094336926633</v>
      </c>
      <c r="BV8" s="161" t="n">
        <f aca="true">RAND()</f>
        <v>0.659731838935673</v>
      </c>
      <c r="BW8" s="161" t="n">
        <f aca="true">RAND()</f>
        <v>0.898316171927417</v>
      </c>
      <c r="BX8" s="161" t="n">
        <f aca="true">RAND()</f>
        <v>0.81725522833642</v>
      </c>
      <c r="BY8" s="161" t="n">
        <f aca="true">RAND()</f>
        <v>0.683198506473903</v>
      </c>
      <c r="BZ8" s="162" t="n">
        <f aca="false">Simulator!K11*Simulator!$D$5+Simulator!L11*Simulator!$D$6+Simulator!M11*Simulator!$D$7+Simulator!N11*Simulator!$D$8+Simulator!O11*Simulator!$D$9+Simulator!P11*Simulator!$D$10</f>
        <v>0.646246400359075</v>
      </c>
      <c r="CA8" s="162" t="n">
        <f aca="false">IF($BZ8=0,0.1667,(Simulator!K11*Simulator!$D$5)/$BZ8)</f>
        <v>0.398805401317769</v>
      </c>
      <c r="CB8" s="162" t="n">
        <f aca="false">IF($BZ8=0,0.3333,(Simulator!K11*Simulator!$D$5+Simulator!L11*Simulator!$D$6)/$BZ8)</f>
        <v>0.873972833805358</v>
      </c>
      <c r="CC8" s="162" t="n">
        <f aca="false">IF($BZ8=0,0.5,(Simulator!K11*Simulator!$D$5+Simulator!L11*Simulator!$D$6+Simulator!M11*Simulator!$D$7)/$BZ8)</f>
        <v>0.926646992808814</v>
      </c>
      <c r="CD8" s="162" t="n">
        <f aca="false">IF($BZ8=0,0.6667,(Simulator!K11*Simulator!$D$5+Simulator!L11*Simulator!$D$6+Simulator!M11*Simulator!$D$7+Simulator!N11*Simulator!$D$8)/$BZ8)</f>
        <v>0.994310395819732</v>
      </c>
      <c r="CE8" s="162" t="n">
        <f aca="false">IF($BZ8=0,0.8333,(Simulator!K11*Simulator!$D$5+Simulator!L11*Simulator!$D$6+Simulator!M11*Simulator!$D$7+Simulator!N11*Simulator!$D$8+Simulator!O11*Simulator!$D$9)/$BZ8)</f>
        <v>1</v>
      </c>
    </row>
    <row r="9" customFormat="false" ht="15" hidden="false" customHeight="false" outlineLevel="0" collapsed="false">
      <c r="A9" s="160" t="s">
        <v>49</v>
      </c>
      <c r="B9" s="161" t="n">
        <f aca="true">RAND()</f>
        <v>0.761512922977719</v>
      </c>
      <c r="C9" s="161" t="n">
        <f aca="true">RAND()</f>
        <v>0.456856538014711</v>
      </c>
      <c r="D9" s="161" t="n">
        <f aca="true">RAND()</f>
        <v>0.0581049592188579</v>
      </c>
      <c r="E9" s="161" t="n">
        <f aca="true">RAND()</f>
        <v>0.937366294287402</v>
      </c>
      <c r="F9" s="161" t="n">
        <f aca="true">RAND()</f>
        <v>0.463773348306579</v>
      </c>
      <c r="G9" s="161" t="n">
        <f aca="true">RAND()</f>
        <v>0.333301122337464</v>
      </c>
      <c r="H9" s="161" t="n">
        <f aca="true">RAND()</f>
        <v>0.854031684313528</v>
      </c>
      <c r="I9" s="161" t="n">
        <f aca="true">RAND()</f>
        <v>0.197426024202814</v>
      </c>
      <c r="J9" s="161" t="n">
        <f aca="true">RAND()</f>
        <v>0.633084026859056</v>
      </c>
      <c r="K9" s="161" t="n">
        <f aca="true">RAND()</f>
        <v>0.765420780629051</v>
      </c>
      <c r="L9" s="161" t="n">
        <f aca="true">RAND()</f>
        <v>0.987978297153522</v>
      </c>
      <c r="M9" s="161" t="n">
        <f aca="true">RAND()</f>
        <v>0.00125185758980286</v>
      </c>
      <c r="N9" s="161" t="n">
        <f aca="true">RAND()</f>
        <v>0.381072370783041</v>
      </c>
      <c r="O9" s="161" t="n">
        <f aca="true">RAND()</f>
        <v>0.0278589147339158</v>
      </c>
      <c r="P9" s="161" t="n">
        <f aca="true">RAND()</f>
        <v>0.764064631258976</v>
      </c>
      <c r="Q9" s="161" t="n">
        <f aca="true">RAND()</f>
        <v>0.408804277076763</v>
      </c>
      <c r="R9" s="161" t="n">
        <f aca="true">RAND()</f>
        <v>0.406798104598503</v>
      </c>
      <c r="S9" s="161" t="n">
        <f aca="true">RAND()</f>
        <v>0.173987824310871</v>
      </c>
      <c r="T9" s="161" t="n">
        <f aca="true">RAND()</f>
        <v>0.597735280634996</v>
      </c>
      <c r="U9" s="161" t="n">
        <f aca="true">RAND()</f>
        <v>0.676971350682489</v>
      </c>
      <c r="V9" s="161" t="n">
        <f aca="true">RAND()</f>
        <v>0.0551867581676725</v>
      </c>
      <c r="W9" s="161" t="n">
        <f aca="true">RAND()</f>
        <v>0.488376446894878</v>
      </c>
      <c r="X9" s="161" t="n">
        <f aca="true">RAND()</f>
        <v>0.376602060789112</v>
      </c>
      <c r="Y9" s="161" t="n">
        <f aca="true">RAND()</f>
        <v>0.150865809698693</v>
      </c>
      <c r="Z9" s="161" t="n">
        <f aca="true">RAND()</f>
        <v>0.52089568577713</v>
      </c>
      <c r="AA9" s="161" t="n">
        <f aca="true">RAND()</f>
        <v>0.387058943827206</v>
      </c>
      <c r="AB9" s="161" t="n">
        <f aca="true">RAND()</f>
        <v>0.4335202103248</v>
      </c>
      <c r="AC9" s="161" t="n">
        <f aca="true">RAND()</f>
        <v>0.863219592075288</v>
      </c>
      <c r="AD9" s="161" t="n">
        <f aca="true">RAND()</f>
        <v>0.542536984650297</v>
      </c>
      <c r="AE9" s="161" t="n">
        <f aca="true">RAND()</f>
        <v>0.841307042362908</v>
      </c>
      <c r="AF9" s="161" t="n">
        <f aca="true">RAND()</f>
        <v>0.28130575555854</v>
      </c>
      <c r="AG9" s="161" t="n">
        <f aca="true">RAND()</f>
        <v>0.470306549106509</v>
      </c>
      <c r="AH9" s="161" t="n">
        <f aca="true">RAND()</f>
        <v>0.990177967761345</v>
      </c>
      <c r="AI9" s="161" t="n">
        <f aca="true">RAND()</f>
        <v>0.615831352154158</v>
      </c>
      <c r="AJ9" s="161" t="n">
        <f aca="true">RAND()</f>
        <v>0.840648534546969</v>
      </c>
      <c r="AK9" s="161" t="n">
        <f aca="true">RAND()</f>
        <v>0.018145197542158</v>
      </c>
      <c r="AL9" s="161" t="n">
        <f aca="true">RAND()</f>
        <v>0.66396536649736</v>
      </c>
      <c r="AM9" s="161" t="n">
        <f aca="true">RAND()</f>
        <v>0.649084802449865</v>
      </c>
      <c r="AN9" s="161" t="n">
        <f aca="true">RAND()</f>
        <v>0.0129044944471957</v>
      </c>
      <c r="AO9" s="161" t="n">
        <f aca="true">RAND()</f>
        <v>0.753919241113381</v>
      </c>
      <c r="AP9" s="161" t="n">
        <f aca="true">RAND()</f>
        <v>0.854200251445066</v>
      </c>
      <c r="AQ9" s="161" t="n">
        <f aca="true">RAND()</f>
        <v>0.456026954703825</v>
      </c>
      <c r="AR9" s="161" t="n">
        <f aca="true">RAND()</f>
        <v>0.171754436830885</v>
      </c>
      <c r="AS9" s="161" t="n">
        <f aca="true">RAND()</f>
        <v>0.997479769187111</v>
      </c>
      <c r="AT9" s="161" t="n">
        <f aca="true">RAND()</f>
        <v>0.482876401193898</v>
      </c>
      <c r="AU9" s="161" t="n">
        <f aca="true">RAND()</f>
        <v>0.591224430758246</v>
      </c>
      <c r="AV9" s="161" t="n">
        <f aca="true">RAND()</f>
        <v>0.352147377134635</v>
      </c>
      <c r="AW9" s="161" t="n">
        <f aca="true">RAND()</f>
        <v>0.234512981430581</v>
      </c>
      <c r="AX9" s="161" t="n">
        <f aca="true">RAND()</f>
        <v>0.0624679453874431</v>
      </c>
      <c r="AY9" s="161" t="n">
        <f aca="true">RAND()</f>
        <v>0.0602840145086227</v>
      </c>
      <c r="AZ9" s="161" t="n">
        <f aca="true">RAND()</f>
        <v>0.698451654057019</v>
      </c>
      <c r="BA9" s="161" t="n">
        <f aca="true">RAND()</f>
        <v>0.152142204950452</v>
      </c>
      <c r="BB9" s="161" t="n">
        <f aca="true">RAND()</f>
        <v>0.790074244194286</v>
      </c>
      <c r="BC9" s="161" t="n">
        <f aca="true">RAND()</f>
        <v>0.212467397022941</v>
      </c>
      <c r="BD9" s="161" t="n">
        <f aca="true">RAND()</f>
        <v>0.681857831604634</v>
      </c>
      <c r="BE9" s="161" t="n">
        <f aca="true">RAND()</f>
        <v>0.487600471428778</v>
      </c>
      <c r="BF9" s="161" t="n">
        <f aca="true">RAND()</f>
        <v>0.00825525144163668</v>
      </c>
      <c r="BG9" s="161" t="n">
        <f aca="true">RAND()</f>
        <v>0.832030968414247</v>
      </c>
      <c r="BH9" s="161" t="n">
        <f aca="true">RAND()</f>
        <v>0.365795856876576</v>
      </c>
      <c r="BI9" s="161" t="n">
        <f aca="true">RAND()</f>
        <v>0.949715885743792</v>
      </c>
      <c r="BJ9" s="161" t="n">
        <f aca="true">RAND()</f>
        <v>0.456127048979222</v>
      </c>
      <c r="BK9" s="161" t="n">
        <f aca="true">RAND()</f>
        <v>0.39852257817179</v>
      </c>
      <c r="BL9" s="161" t="n">
        <f aca="true">RAND()</f>
        <v>0.502470546438085</v>
      </c>
      <c r="BM9" s="161" t="n">
        <f aca="true">RAND()</f>
        <v>0.169450534432972</v>
      </c>
      <c r="BN9" s="161" t="n">
        <f aca="true">RAND()</f>
        <v>0.101918369839275</v>
      </c>
      <c r="BO9" s="161" t="n">
        <f aca="true">RAND()</f>
        <v>0.19532582583212</v>
      </c>
      <c r="BP9" s="161" t="n">
        <f aca="true">RAND()</f>
        <v>0.845215820976501</v>
      </c>
      <c r="BQ9" s="161" t="n">
        <f aca="true">RAND()</f>
        <v>0.715557479881767</v>
      </c>
      <c r="BR9" s="161" t="n">
        <f aca="true">RAND()</f>
        <v>0.0989692546342261</v>
      </c>
      <c r="BS9" s="161" t="n">
        <f aca="true">RAND()</f>
        <v>0.737696050428537</v>
      </c>
      <c r="BT9" s="161" t="n">
        <f aca="true">RAND()</f>
        <v>0.726274691902407</v>
      </c>
      <c r="BU9" s="161" t="n">
        <f aca="true">RAND()</f>
        <v>0.555559637885033</v>
      </c>
      <c r="BV9" s="161" t="n">
        <f aca="true">RAND()</f>
        <v>0.119279991266722</v>
      </c>
      <c r="BW9" s="161" t="n">
        <f aca="true">RAND()</f>
        <v>0.844662215947756</v>
      </c>
      <c r="BX9" s="161" t="n">
        <f aca="true">RAND()</f>
        <v>0.475164535352887</v>
      </c>
      <c r="BY9" s="161" t="n">
        <f aca="true">RAND()</f>
        <v>0.546459373059919</v>
      </c>
      <c r="BZ9" s="162" t="n">
        <f aca="false">Simulator!K12*Simulator!$D$5+Simulator!L12*Simulator!$D$6+Simulator!M12*Simulator!$D$7+Simulator!N12*Simulator!$D$8+Simulator!O12*Simulator!$D$9+Simulator!P12*Simulator!$D$10</f>
        <v>0.658091444917044</v>
      </c>
      <c r="CA9" s="162" t="n">
        <f aca="false">IF($BZ9=0,0.1667,(Simulator!K12*Simulator!$D$5)/$BZ9)</f>
        <v>0.393983158145022</v>
      </c>
      <c r="CB9" s="162" t="n">
        <f aca="false">IF($BZ9=0,0.3333,(Simulator!K12*Simulator!$D$5+Simulator!L12*Simulator!$D$6)/$BZ9)</f>
        <v>0.881947717723163</v>
      </c>
      <c r="CC9" s="162" t="n">
        <f aca="false">IF($BZ9=0,0.5,(Simulator!K12*Simulator!$D$5+Simulator!L12*Simulator!$D$6+Simulator!M12*Simulator!$D$7)/$BZ9)</f>
        <v>0.930051449240606</v>
      </c>
      <c r="CD9" s="162" t="n">
        <f aca="false">IF($BZ9=0,0.6667,(Simulator!K12*Simulator!$D$5+Simulator!L12*Simulator!$D$6+Simulator!M12*Simulator!$D$7+Simulator!N12*Simulator!$D$8)/$BZ9)</f>
        <v>0.994286474622721</v>
      </c>
      <c r="CE9" s="162" t="n">
        <f aca="false">IF($BZ9=0,0.8333,(Simulator!K12*Simulator!$D$5+Simulator!L12*Simulator!$D$6+Simulator!M12*Simulator!$D$7+Simulator!N12*Simulator!$D$8+Simulator!O12*Simulator!$D$9)/$BZ9)</f>
        <v>1</v>
      </c>
    </row>
    <row r="10" customFormat="false" ht="15" hidden="false" customHeight="false" outlineLevel="0" collapsed="false">
      <c r="A10" s="160" t="s">
        <v>51</v>
      </c>
      <c r="B10" s="161" t="n">
        <f aca="true">RAND()</f>
        <v>0.826249745021583</v>
      </c>
      <c r="C10" s="161" t="n">
        <f aca="true">RAND()</f>
        <v>0.359327108655553</v>
      </c>
      <c r="D10" s="161" t="n">
        <f aca="true">RAND()</f>
        <v>0.267483361375046</v>
      </c>
      <c r="E10" s="161" t="n">
        <f aca="true">RAND()</f>
        <v>0.745543053958122</v>
      </c>
      <c r="F10" s="161" t="n">
        <f aca="true">RAND()</f>
        <v>0.118721241988365</v>
      </c>
      <c r="G10" s="161" t="n">
        <f aca="true">RAND()</f>
        <v>0.586847881754135</v>
      </c>
      <c r="H10" s="161" t="n">
        <f aca="true">RAND()</f>
        <v>0.589867652936514</v>
      </c>
      <c r="I10" s="161" t="n">
        <f aca="true">RAND()</f>
        <v>0.0619284453445472</v>
      </c>
      <c r="J10" s="161" t="n">
        <f aca="true">RAND()</f>
        <v>0.757254700499931</v>
      </c>
      <c r="K10" s="161" t="n">
        <f aca="true">RAND()</f>
        <v>0.100368800071552</v>
      </c>
      <c r="L10" s="161" t="n">
        <f aca="true">RAND()</f>
        <v>0.203816839974587</v>
      </c>
      <c r="M10" s="161" t="n">
        <f aca="true">RAND()</f>
        <v>0.784137002449639</v>
      </c>
      <c r="N10" s="161" t="n">
        <f aca="true">RAND()</f>
        <v>0.0563092253981439</v>
      </c>
      <c r="O10" s="161" t="n">
        <f aca="true">RAND()</f>
        <v>0.96829711231453</v>
      </c>
      <c r="P10" s="161" t="n">
        <f aca="true">RAND()</f>
        <v>0.779644800460246</v>
      </c>
      <c r="Q10" s="161" t="n">
        <f aca="true">RAND()</f>
        <v>0.163920948606425</v>
      </c>
      <c r="R10" s="161" t="n">
        <f aca="true">RAND()</f>
        <v>0.828075573489089</v>
      </c>
      <c r="S10" s="161" t="n">
        <f aca="true">RAND()</f>
        <v>0.674547054355426</v>
      </c>
      <c r="T10" s="161" t="n">
        <f aca="true">RAND()</f>
        <v>0.543367119258523</v>
      </c>
      <c r="U10" s="161" t="n">
        <f aca="true">RAND()</f>
        <v>0.794965863705875</v>
      </c>
      <c r="V10" s="161" t="n">
        <f aca="true">RAND()</f>
        <v>0.533556580986762</v>
      </c>
      <c r="W10" s="161" t="n">
        <f aca="true">RAND()</f>
        <v>0.622457468606456</v>
      </c>
      <c r="X10" s="161" t="n">
        <f aca="true">RAND()</f>
        <v>0.801930393882977</v>
      </c>
      <c r="Y10" s="161" t="n">
        <f aca="true">RAND()</f>
        <v>0.986281572819679</v>
      </c>
      <c r="Z10" s="161" t="n">
        <f aca="true">RAND()</f>
        <v>0.33180814555971</v>
      </c>
      <c r="AA10" s="161" t="n">
        <f aca="true">RAND()</f>
        <v>0.42097641865872</v>
      </c>
      <c r="AB10" s="161" t="n">
        <f aca="true">RAND()</f>
        <v>0.748882331781351</v>
      </c>
      <c r="AC10" s="161" t="n">
        <f aca="true">RAND()</f>
        <v>0.335845340977064</v>
      </c>
      <c r="AD10" s="161" t="n">
        <f aca="true">RAND()</f>
        <v>0.516111944621271</v>
      </c>
      <c r="AE10" s="161" t="n">
        <f aca="true">RAND()</f>
        <v>0.589287923396205</v>
      </c>
      <c r="AF10" s="161" t="n">
        <f aca="true">RAND()</f>
        <v>0.528969872791685</v>
      </c>
      <c r="AG10" s="161" t="n">
        <f aca="true">RAND()</f>
        <v>0.305697215951728</v>
      </c>
      <c r="AH10" s="161" t="n">
        <f aca="true">RAND()</f>
        <v>0.639442748058844</v>
      </c>
      <c r="AI10" s="161" t="n">
        <f aca="true">RAND()</f>
        <v>0.276303657074694</v>
      </c>
      <c r="AJ10" s="161" t="n">
        <f aca="true">RAND()</f>
        <v>0.185975507942971</v>
      </c>
      <c r="AK10" s="161" t="n">
        <f aca="true">RAND()</f>
        <v>0.791926179756083</v>
      </c>
      <c r="AL10" s="161" t="n">
        <f aca="true">RAND()</f>
        <v>0.295931412741642</v>
      </c>
      <c r="AM10" s="161" t="n">
        <f aca="true">RAND()</f>
        <v>0.587143560852387</v>
      </c>
      <c r="AN10" s="161" t="n">
        <f aca="true">RAND()</f>
        <v>0.707634251074405</v>
      </c>
      <c r="AO10" s="161" t="n">
        <f aca="true">RAND()</f>
        <v>0.1649841314829</v>
      </c>
      <c r="AP10" s="161" t="n">
        <f aca="true">RAND()</f>
        <v>0.653695179275272</v>
      </c>
      <c r="AQ10" s="161" t="n">
        <f aca="true">RAND()</f>
        <v>0.998200066993887</v>
      </c>
      <c r="AR10" s="161" t="n">
        <f aca="true">RAND()</f>
        <v>0.295240069454686</v>
      </c>
      <c r="AS10" s="161" t="n">
        <f aca="true">RAND()</f>
        <v>0.377088284878814</v>
      </c>
      <c r="AT10" s="161" t="n">
        <f aca="true">RAND()</f>
        <v>0.716309135006617</v>
      </c>
      <c r="AU10" s="161" t="n">
        <f aca="true">RAND()</f>
        <v>0.988652554599138</v>
      </c>
      <c r="AV10" s="161" t="n">
        <f aca="true">RAND()</f>
        <v>0.187037430545684</v>
      </c>
      <c r="AW10" s="161" t="n">
        <f aca="true">RAND()</f>
        <v>0.279907605279605</v>
      </c>
      <c r="AX10" s="161" t="n">
        <f aca="true">RAND()</f>
        <v>0.842534991671151</v>
      </c>
      <c r="AY10" s="161" t="n">
        <f aca="true">RAND()</f>
        <v>0.230597630470751</v>
      </c>
      <c r="AZ10" s="161" t="n">
        <f aca="true">RAND()</f>
        <v>0.60212404787215</v>
      </c>
      <c r="BA10" s="161" t="n">
        <f aca="true">RAND()</f>
        <v>0.81698920555343</v>
      </c>
      <c r="BB10" s="161" t="n">
        <f aca="true">RAND()</f>
        <v>0.900454040284371</v>
      </c>
      <c r="BC10" s="161" t="n">
        <f aca="true">RAND()</f>
        <v>0.576342162782404</v>
      </c>
      <c r="BD10" s="161" t="n">
        <f aca="true">RAND()</f>
        <v>0.910712859311943</v>
      </c>
      <c r="BE10" s="161" t="n">
        <f aca="true">RAND()</f>
        <v>0.791985301886866</v>
      </c>
      <c r="BF10" s="161" t="n">
        <f aca="true">RAND()</f>
        <v>0.220658218646972</v>
      </c>
      <c r="BG10" s="161" t="n">
        <f aca="true">RAND()</f>
        <v>0.974037333162504</v>
      </c>
      <c r="BH10" s="161" t="n">
        <f aca="true">RAND()</f>
        <v>0.711799992021996</v>
      </c>
      <c r="BI10" s="161" t="n">
        <f aca="true">RAND()</f>
        <v>0.176574062570471</v>
      </c>
      <c r="BJ10" s="161" t="n">
        <f aca="true">RAND()</f>
        <v>0.273693052973291</v>
      </c>
      <c r="BK10" s="161" t="n">
        <f aca="true">RAND()</f>
        <v>0.190279858310559</v>
      </c>
      <c r="BL10" s="161" t="n">
        <f aca="true">RAND()</f>
        <v>0.836180509988348</v>
      </c>
      <c r="BM10" s="161" t="n">
        <f aca="true">RAND()</f>
        <v>0.455780236165528</v>
      </c>
      <c r="BN10" s="161" t="n">
        <f aca="true">RAND()</f>
        <v>0.796875437056774</v>
      </c>
      <c r="BO10" s="161" t="n">
        <f aca="true">RAND()</f>
        <v>0.913779936573605</v>
      </c>
      <c r="BP10" s="161" t="n">
        <f aca="true">RAND()</f>
        <v>0.62657741817241</v>
      </c>
      <c r="BQ10" s="161" t="n">
        <f aca="true">RAND()</f>
        <v>0.703957370136172</v>
      </c>
      <c r="BR10" s="161" t="n">
        <f aca="true">RAND()</f>
        <v>0.0169190978309095</v>
      </c>
      <c r="BS10" s="161" t="n">
        <f aca="true">RAND()</f>
        <v>0.546290564162727</v>
      </c>
      <c r="BT10" s="161" t="n">
        <f aca="true">RAND()</f>
        <v>0.343811133802403</v>
      </c>
      <c r="BU10" s="161" t="n">
        <f aca="true">RAND()</f>
        <v>0.735534068221104</v>
      </c>
      <c r="BV10" s="161" t="n">
        <f aca="true">RAND()</f>
        <v>0.350729413785972</v>
      </c>
      <c r="BW10" s="161" t="n">
        <f aca="true">RAND()</f>
        <v>0.575859137568018</v>
      </c>
      <c r="BX10" s="161" t="n">
        <f aca="true">RAND()</f>
        <v>0.274416158926491</v>
      </c>
      <c r="BY10" s="161" t="n">
        <f aca="true">RAND()</f>
        <v>0.77348232797017</v>
      </c>
      <c r="BZ10" s="162" t="n">
        <f aca="false">Simulator!K13*Simulator!$D$5+Simulator!L13*Simulator!$D$6+Simulator!M13*Simulator!$D$7+Simulator!N13*Simulator!$D$8+Simulator!O13*Simulator!$D$9+Simulator!P13*Simulator!$D$10</f>
        <v>0.610283625573132</v>
      </c>
      <c r="CA10" s="162" t="n">
        <f aca="false">IF($BZ10=0,0.1667,(Simulator!K13*Simulator!$D$5)/$BZ10)</f>
        <v>0.45959002838106</v>
      </c>
      <c r="CB10" s="162" t="n">
        <f aca="false">IF($BZ10=0,0.3333,(Simulator!K13*Simulator!$D$5+Simulator!L13*Simulator!$D$6)/$BZ10)</f>
        <v>0.853621606089826</v>
      </c>
      <c r="CC10" s="162" t="n">
        <f aca="false">IF($BZ10=0,0.5,(Simulator!K13*Simulator!$D$5+Simulator!L13*Simulator!$D$6+Simulator!M13*Simulator!$D$7)/$BZ10)</f>
        <v>0.89552448376246</v>
      </c>
      <c r="CD10" s="162" t="n">
        <f aca="false">IF($BZ10=0,0.6667,(Simulator!K13*Simulator!$D$5+Simulator!L13*Simulator!$D$6+Simulator!M13*Simulator!$D$7+Simulator!N13*Simulator!$D$8)/$BZ10)</f>
        <v>0.993233805679724</v>
      </c>
      <c r="CE10" s="162" t="n">
        <f aca="false">IF($BZ10=0,0.8333,(Simulator!K13*Simulator!$D$5+Simulator!L13*Simulator!$D$6+Simulator!M13*Simulator!$D$7+Simulator!N13*Simulator!$D$8+Simulator!O13*Simulator!$D$9)/$BZ10)</f>
        <v>1</v>
      </c>
    </row>
    <row r="11" customFormat="false" ht="15" hidden="false" customHeight="false" outlineLevel="0" collapsed="false">
      <c r="A11" s="160" t="s">
        <v>53</v>
      </c>
      <c r="B11" s="161" t="n">
        <f aca="true">RAND()</f>
        <v>0.655679637596004</v>
      </c>
      <c r="C11" s="161" t="n">
        <f aca="true">RAND()</f>
        <v>0.702825971626675</v>
      </c>
      <c r="D11" s="161" t="n">
        <f aca="true">RAND()</f>
        <v>0.72541508223546</v>
      </c>
      <c r="E11" s="161" t="n">
        <f aca="true">RAND()</f>
        <v>0.804477299530858</v>
      </c>
      <c r="F11" s="161" t="n">
        <f aca="true">RAND()</f>
        <v>0.245305775357623</v>
      </c>
      <c r="G11" s="161" t="n">
        <f aca="true">RAND()</f>
        <v>0.310374636497666</v>
      </c>
      <c r="H11" s="161" t="n">
        <f aca="true">RAND()</f>
        <v>0.94535562012841</v>
      </c>
      <c r="I11" s="161" t="n">
        <f aca="true">RAND()</f>
        <v>0.537684467050574</v>
      </c>
      <c r="J11" s="161" t="n">
        <f aca="true">RAND()</f>
        <v>0.692325669813601</v>
      </c>
      <c r="K11" s="161" t="n">
        <f aca="true">RAND()</f>
        <v>0.759536794706109</v>
      </c>
      <c r="L11" s="161" t="n">
        <f aca="true">RAND()</f>
        <v>0.880700383342108</v>
      </c>
      <c r="M11" s="161" t="n">
        <f aca="true">RAND()</f>
        <v>0.772064259794045</v>
      </c>
      <c r="N11" s="161" t="n">
        <f aca="true">RAND()</f>
        <v>0.961839710504769</v>
      </c>
      <c r="O11" s="161" t="n">
        <f aca="true">RAND()</f>
        <v>0.192791588878546</v>
      </c>
      <c r="P11" s="161" t="n">
        <f aca="true">RAND()</f>
        <v>0.43943301153741</v>
      </c>
      <c r="Q11" s="161" t="n">
        <f aca="true">RAND()</f>
        <v>0.249463265430537</v>
      </c>
      <c r="R11" s="161" t="n">
        <f aca="true">RAND()</f>
        <v>0.333615031069211</v>
      </c>
      <c r="S11" s="161" t="n">
        <f aca="true">RAND()</f>
        <v>0.325378115504788</v>
      </c>
      <c r="T11" s="161" t="n">
        <f aca="true">RAND()</f>
        <v>0.259576387343955</v>
      </c>
      <c r="U11" s="161" t="n">
        <f aca="true">RAND()</f>
        <v>0.887108610519885</v>
      </c>
      <c r="V11" s="161" t="n">
        <f aca="true">RAND()</f>
        <v>0.953260651181595</v>
      </c>
      <c r="W11" s="161" t="n">
        <f aca="true">RAND()</f>
        <v>0.935458402380707</v>
      </c>
      <c r="X11" s="161" t="n">
        <f aca="true">RAND()</f>
        <v>0.739217647493613</v>
      </c>
      <c r="Y11" s="161" t="n">
        <f aca="true">RAND()</f>
        <v>0.956473511205137</v>
      </c>
      <c r="Z11" s="161" t="n">
        <f aca="true">RAND()</f>
        <v>0.411358817158484</v>
      </c>
      <c r="AA11" s="161" t="n">
        <f aca="true">RAND()</f>
        <v>0.801316393859435</v>
      </c>
      <c r="AB11" s="161" t="n">
        <f aca="true">RAND()</f>
        <v>0.891015826704179</v>
      </c>
      <c r="AC11" s="161" t="n">
        <f aca="true">RAND()</f>
        <v>0.986761335244956</v>
      </c>
      <c r="AD11" s="161" t="n">
        <f aca="true">RAND()</f>
        <v>0.539767411298283</v>
      </c>
      <c r="AE11" s="161" t="n">
        <f aca="true">RAND()</f>
        <v>0.949063964375018</v>
      </c>
      <c r="AF11" s="161" t="n">
        <f aca="true">RAND()</f>
        <v>0.662364492592624</v>
      </c>
      <c r="AG11" s="161" t="n">
        <f aca="true">RAND()</f>
        <v>0.0649318301381716</v>
      </c>
      <c r="AH11" s="161" t="n">
        <f aca="true">RAND()</f>
        <v>0.615494805949718</v>
      </c>
      <c r="AI11" s="161" t="n">
        <f aca="true">RAND()</f>
        <v>0.0161555791807746</v>
      </c>
      <c r="AJ11" s="161" t="n">
        <f aca="true">RAND()</f>
        <v>0.643093271707822</v>
      </c>
      <c r="AK11" s="161" t="n">
        <f aca="true">RAND()</f>
        <v>0.497258163209106</v>
      </c>
      <c r="AL11" s="161" t="n">
        <f aca="true">RAND()</f>
        <v>0.325154515307617</v>
      </c>
      <c r="AM11" s="161" t="n">
        <f aca="true">RAND()</f>
        <v>0.791563962376555</v>
      </c>
      <c r="AN11" s="161" t="n">
        <f aca="true">RAND()</f>
        <v>0.500155870507338</v>
      </c>
      <c r="AO11" s="161" t="n">
        <f aca="true">RAND()</f>
        <v>0.677609404872188</v>
      </c>
      <c r="AP11" s="161" t="n">
        <f aca="true">RAND()</f>
        <v>0.982117394553227</v>
      </c>
      <c r="AQ11" s="161" t="n">
        <f aca="true">RAND()</f>
        <v>0.491899759314399</v>
      </c>
      <c r="AR11" s="161" t="n">
        <f aca="true">RAND()</f>
        <v>0.0957634764947191</v>
      </c>
      <c r="AS11" s="161" t="n">
        <f aca="true">RAND()</f>
        <v>0.414767513128412</v>
      </c>
      <c r="AT11" s="161" t="n">
        <f aca="true">RAND()</f>
        <v>0.513047995447213</v>
      </c>
      <c r="AU11" s="161" t="n">
        <f aca="true">RAND()</f>
        <v>0.665917361216105</v>
      </c>
      <c r="AV11" s="161" t="n">
        <f aca="true">RAND()</f>
        <v>0.320554793055262</v>
      </c>
      <c r="AW11" s="161" t="n">
        <f aca="true">RAND()</f>
        <v>0.47122686191621</v>
      </c>
      <c r="AX11" s="161" t="n">
        <f aca="true">RAND()</f>
        <v>0.400762655869574</v>
      </c>
      <c r="AY11" s="161" t="n">
        <f aca="true">RAND()</f>
        <v>0.356039920935027</v>
      </c>
      <c r="AZ11" s="161" t="n">
        <f aca="true">RAND()</f>
        <v>0.361801637168445</v>
      </c>
      <c r="BA11" s="161" t="n">
        <f aca="true">RAND()</f>
        <v>0.27571677063</v>
      </c>
      <c r="BB11" s="161" t="n">
        <f aca="true">RAND()</f>
        <v>0.744181634766332</v>
      </c>
      <c r="BC11" s="161" t="n">
        <f aca="true">RAND()</f>
        <v>0.693651680855782</v>
      </c>
      <c r="BD11" s="161" t="n">
        <f aca="true">RAND()</f>
        <v>0.0356828264190281</v>
      </c>
      <c r="BE11" s="161" t="n">
        <f aca="true">RAND()</f>
        <v>0.960365243164857</v>
      </c>
      <c r="BF11" s="161" t="n">
        <f aca="true">RAND()</f>
        <v>0.645349866104639</v>
      </c>
      <c r="BG11" s="161" t="n">
        <f aca="true">RAND()</f>
        <v>0.397817784821549</v>
      </c>
      <c r="BH11" s="161" t="n">
        <f aca="true">RAND()</f>
        <v>0.322373517919455</v>
      </c>
      <c r="BI11" s="161" t="n">
        <f aca="true">RAND()</f>
        <v>0.801815373660196</v>
      </c>
      <c r="BJ11" s="161" t="n">
        <f aca="true">RAND()</f>
        <v>0.910284806998328</v>
      </c>
      <c r="BK11" s="161" t="n">
        <f aca="true">RAND()</f>
        <v>0.862305083321134</v>
      </c>
      <c r="BL11" s="161" t="n">
        <f aca="true">RAND()</f>
        <v>0.406184750133565</v>
      </c>
      <c r="BM11" s="161" t="n">
        <f aca="true">RAND()</f>
        <v>0.570816302269813</v>
      </c>
      <c r="BN11" s="161" t="n">
        <f aca="true">RAND()</f>
        <v>0.565207746593672</v>
      </c>
      <c r="BO11" s="161" t="n">
        <f aca="true">RAND()</f>
        <v>0.2733087585417</v>
      </c>
      <c r="BP11" s="161" t="n">
        <f aca="true">RAND()</f>
        <v>0.955843648693901</v>
      </c>
      <c r="BQ11" s="161" t="n">
        <f aca="true">RAND()</f>
        <v>0.72110119074356</v>
      </c>
      <c r="BR11" s="161" t="n">
        <f aca="true">RAND()</f>
        <v>0.393879204220677</v>
      </c>
      <c r="BS11" s="161" t="n">
        <f aca="true">RAND()</f>
        <v>0.354867465979622</v>
      </c>
      <c r="BT11" s="161" t="n">
        <f aca="true">RAND()</f>
        <v>0.297329228481254</v>
      </c>
      <c r="BU11" s="161" t="n">
        <f aca="true">RAND()</f>
        <v>0.774318538018279</v>
      </c>
      <c r="BV11" s="161" t="n">
        <f aca="true">RAND()</f>
        <v>0.163674865134129</v>
      </c>
      <c r="BW11" s="161" t="n">
        <f aca="true">RAND()</f>
        <v>0.298957645952413</v>
      </c>
      <c r="BX11" s="161" t="n">
        <f aca="true">RAND()</f>
        <v>0.305682111411522</v>
      </c>
      <c r="BY11" s="161" t="n">
        <f aca="true">RAND()</f>
        <v>0.377236215653234</v>
      </c>
      <c r="BZ11" s="162" t="n">
        <f aca="false">Simulator!K14*Simulator!$D$5+Simulator!L14*Simulator!$D$6+Simulator!M14*Simulator!$D$7+Simulator!N14*Simulator!$D$8+Simulator!O14*Simulator!$D$9+Simulator!P14*Simulator!$D$10</f>
        <v>0.676473080347149</v>
      </c>
      <c r="CA11" s="162" t="n">
        <f aca="false">IF($BZ11=0,0.1667,(Simulator!K14*Simulator!$D$5)/$BZ11)</f>
        <v>0.350018742652181</v>
      </c>
      <c r="CB11" s="162" t="n">
        <f aca="false">IF($BZ11=0,0.3333,(Simulator!K14*Simulator!$D$5+Simulator!L14*Simulator!$D$6)/$BZ11)</f>
        <v>0.889501886187803</v>
      </c>
      <c r="CC11" s="162" t="n">
        <f aca="false">IF($BZ11=0,0.5,(Simulator!K14*Simulator!$D$5+Simulator!L14*Simulator!$D$6+Simulator!M14*Simulator!$D$7)/$BZ11)</f>
        <v>0.944445695304033</v>
      </c>
      <c r="CD11" s="162" t="n">
        <f aca="false">IF($BZ11=0,0.6667,(Simulator!K14*Simulator!$D$5+Simulator!L14*Simulator!$D$6+Simulator!M14*Simulator!$D$7+Simulator!N14*Simulator!$D$8)/$BZ11)</f>
        <v>0.995107172001872</v>
      </c>
      <c r="CE11" s="162" t="n">
        <f aca="false">IF($BZ11=0,0.8333,(Simulator!K14*Simulator!$D$5+Simulator!L14*Simulator!$D$6+Simulator!M14*Simulator!$D$7+Simulator!N14*Simulator!$D$8+Simulator!O14*Simulator!$D$9)/$BZ11)</f>
        <v>1</v>
      </c>
    </row>
    <row r="12" customFormat="false" ht="15" hidden="false" customHeight="false" outlineLevel="0" collapsed="false">
      <c r="A12" s="160" t="s">
        <v>54</v>
      </c>
      <c r="B12" s="161" t="n">
        <f aca="true">RAND()</f>
        <v>0.871163422253954</v>
      </c>
      <c r="C12" s="161" t="n">
        <f aca="true">RAND()</f>
        <v>0.0422776658741742</v>
      </c>
      <c r="D12" s="161" t="n">
        <f aca="true">RAND()</f>
        <v>0.0450311663734554</v>
      </c>
      <c r="E12" s="161" t="n">
        <f aca="true">RAND()</f>
        <v>0.600199495897541</v>
      </c>
      <c r="F12" s="161" t="n">
        <f aca="true">RAND()</f>
        <v>0.142317180054678</v>
      </c>
      <c r="G12" s="161" t="n">
        <f aca="true">RAND()</f>
        <v>0.420722651430623</v>
      </c>
      <c r="H12" s="161" t="n">
        <f aca="true">RAND()</f>
        <v>0.796660914464568</v>
      </c>
      <c r="I12" s="161" t="n">
        <f aca="true">RAND()</f>
        <v>0.678403880330305</v>
      </c>
      <c r="J12" s="161" t="n">
        <f aca="true">RAND()</f>
        <v>0.370424269437977</v>
      </c>
      <c r="K12" s="161" t="n">
        <f aca="true">RAND()</f>
        <v>0.620910069207794</v>
      </c>
      <c r="L12" s="161" t="n">
        <f aca="true">RAND()</f>
        <v>0.879075258535649</v>
      </c>
      <c r="M12" s="161" t="n">
        <f aca="true">RAND()</f>
        <v>0.532397366438897</v>
      </c>
      <c r="N12" s="161" t="n">
        <f aca="true">RAND()</f>
        <v>0.554704255889731</v>
      </c>
      <c r="O12" s="161" t="n">
        <f aca="true">RAND()</f>
        <v>0.742109315882609</v>
      </c>
      <c r="P12" s="161" t="n">
        <f aca="true">RAND()</f>
        <v>0.733352432431669</v>
      </c>
      <c r="Q12" s="161" t="n">
        <f aca="true">RAND()</f>
        <v>0.878699162557707</v>
      </c>
      <c r="R12" s="161" t="n">
        <f aca="true">RAND()</f>
        <v>0.462596811281626</v>
      </c>
      <c r="S12" s="161" t="n">
        <f aca="true">RAND()</f>
        <v>0.445408441954478</v>
      </c>
      <c r="T12" s="161" t="n">
        <f aca="true">RAND()</f>
        <v>0.468593383514066</v>
      </c>
      <c r="U12" s="161" t="n">
        <f aca="true">RAND()</f>
        <v>0.0416044369049464</v>
      </c>
      <c r="V12" s="161" t="n">
        <f aca="true">RAND()</f>
        <v>0.62666824010088</v>
      </c>
      <c r="W12" s="161" t="n">
        <f aca="true">RAND()</f>
        <v>0.317062389426332</v>
      </c>
      <c r="X12" s="161" t="n">
        <f aca="true">RAND()</f>
        <v>0.843437208264457</v>
      </c>
      <c r="Y12" s="161" t="n">
        <f aca="true">RAND()</f>
        <v>0.85961079124163</v>
      </c>
      <c r="Z12" s="161" t="n">
        <f aca="true">RAND()</f>
        <v>0.76442502236978</v>
      </c>
      <c r="AA12" s="161" t="n">
        <f aca="true">RAND()</f>
        <v>0.19166919390689</v>
      </c>
      <c r="AB12" s="161" t="n">
        <f aca="true">RAND()</f>
        <v>0.605736431719815</v>
      </c>
      <c r="AC12" s="161" t="n">
        <f aca="true">RAND()</f>
        <v>0.705644357621693</v>
      </c>
      <c r="AD12" s="161" t="n">
        <f aca="true">RAND()</f>
        <v>0.525627235014228</v>
      </c>
      <c r="AE12" s="161" t="n">
        <f aca="true">RAND()</f>
        <v>0.840189457974295</v>
      </c>
      <c r="AF12" s="161" t="n">
        <f aca="true">RAND()</f>
        <v>0.153348894656307</v>
      </c>
      <c r="AG12" s="161" t="n">
        <f aca="true">RAND()</f>
        <v>0.285898248265452</v>
      </c>
      <c r="AH12" s="161" t="n">
        <f aca="true">RAND()</f>
        <v>0.801039694015091</v>
      </c>
      <c r="AI12" s="161" t="n">
        <f aca="true">RAND()</f>
        <v>0.97689854126459</v>
      </c>
      <c r="AJ12" s="161" t="n">
        <f aca="true">RAND()</f>
        <v>0.579634152675127</v>
      </c>
      <c r="AK12" s="161" t="n">
        <f aca="true">RAND()</f>
        <v>0.0725330035748082</v>
      </c>
      <c r="AL12" s="161" t="n">
        <f aca="true">RAND()</f>
        <v>0.294080311853262</v>
      </c>
      <c r="AM12" s="161" t="n">
        <f aca="true">RAND()</f>
        <v>0.791561015132211</v>
      </c>
      <c r="AN12" s="161" t="n">
        <f aca="true">RAND()</f>
        <v>0.618435282744704</v>
      </c>
      <c r="AO12" s="161" t="n">
        <f aca="true">RAND()</f>
        <v>0.821582353638704</v>
      </c>
      <c r="AP12" s="161" t="n">
        <f aca="true">RAND()</f>
        <v>0.403122253839557</v>
      </c>
      <c r="AQ12" s="161" t="n">
        <f aca="true">RAND()</f>
        <v>0.588197758185731</v>
      </c>
      <c r="AR12" s="161" t="n">
        <f aca="true">RAND()</f>
        <v>0.262554944897374</v>
      </c>
      <c r="AS12" s="161" t="n">
        <f aca="true">RAND()</f>
        <v>0.950771708274786</v>
      </c>
      <c r="AT12" s="161" t="n">
        <f aca="true">RAND()</f>
        <v>0.780560204890076</v>
      </c>
      <c r="AU12" s="161" t="n">
        <f aca="true">RAND()</f>
        <v>0.354899717028202</v>
      </c>
      <c r="AV12" s="161" t="n">
        <f aca="true">RAND()</f>
        <v>0.979322871084395</v>
      </c>
      <c r="AW12" s="161" t="n">
        <f aca="true">RAND()</f>
        <v>0.326496213714292</v>
      </c>
      <c r="AX12" s="161" t="n">
        <f aca="true">RAND()</f>
        <v>0.885397672624447</v>
      </c>
      <c r="AY12" s="161" t="n">
        <f aca="true">RAND()</f>
        <v>0.578916020763165</v>
      </c>
      <c r="AZ12" s="161" t="n">
        <f aca="true">RAND()</f>
        <v>0.701326633398571</v>
      </c>
      <c r="BA12" s="161" t="n">
        <f aca="true">RAND()</f>
        <v>0.638146209264144</v>
      </c>
      <c r="BB12" s="161" t="n">
        <f aca="true">RAND()</f>
        <v>0.880601009517701</v>
      </c>
      <c r="BC12" s="161" t="n">
        <f aca="true">RAND()</f>
        <v>0.572900493932583</v>
      </c>
      <c r="BD12" s="161" t="n">
        <f aca="true">RAND()</f>
        <v>0.942042268360199</v>
      </c>
      <c r="BE12" s="161" t="n">
        <f aca="true">RAND()</f>
        <v>0.964543866370046</v>
      </c>
      <c r="BF12" s="161" t="n">
        <f aca="true">RAND()</f>
        <v>0.674507495522978</v>
      </c>
      <c r="BG12" s="161" t="n">
        <f aca="true">RAND()</f>
        <v>0.602713685880287</v>
      </c>
      <c r="BH12" s="161" t="n">
        <f aca="true">RAND()</f>
        <v>0.276429211139008</v>
      </c>
      <c r="BI12" s="161" t="n">
        <f aca="true">RAND()</f>
        <v>0.256590976846085</v>
      </c>
      <c r="BJ12" s="161" t="n">
        <f aca="true">RAND()</f>
        <v>0.100754388508973</v>
      </c>
      <c r="BK12" s="161" t="n">
        <f aca="true">RAND()</f>
        <v>0.816067656140345</v>
      </c>
      <c r="BL12" s="161" t="n">
        <f aca="true">RAND()</f>
        <v>0.953423047762527</v>
      </c>
      <c r="BM12" s="161" t="n">
        <f aca="true">RAND()</f>
        <v>0.333262232502113</v>
      </c>
      <c r="BN12" s="161" t="n">
        <f aca="true">RAND()</f>
        <v>0.147595269167968</v>
      </c>
      <c r="BO12" s="161" t="n">
        <f aca="true">RAND()</f>
        <v>0.692779288659285</v>
      </c>
      <c r="BP12" s="161" t="n">
        <f aca="true">RAND()</f>
        <v>0.275269746797343</v>
      </c>
      <c r="BQ12" s="161" t="n">
        <f aca="true">RAND()</f>
        <v>0.255516092218974</v>
      </c>
      <c r="BR12" s="161" t="n">
        <f aca="true">RAND()</f>
        <v>0.857486540105908</v>
      </c>
      <c r="BS12" s="161" t="n">
        <f aca="true">RAND()</f>
        <v>0.263039410936358</v>
      </c>
      <c r="BT12" s="161" t="n">
        <f aca="true">RAND()</f>
        <v>0.114820241119781</v>
      </c>
      <c r="BU12" s="161" t="n">
        <f aca="true">RAND()</f>
        <v>0.271637853361853</v>
      </c>
      <c r="BV12" s="161" t="n">
        <f aca="true">RAND()</f>
        <v>0.960863951618448</v>
      </c>
      <c r="BW12" s="161" t="n">
        <f aca="true">RAND()</f>
        <v>0.489920131396348</v>
      </c>
      <c r="BX12" s="161" t="n">
        <f aca="true">RAND()</f>
        <v>0.0536676687666022</v>
      </c>
      <c r="BY12" s="161" t="n">
        <f aca="true">RAND()</f>
        <v>0.431192085296275</v>
      </c>
      <c r="BZ12" s="162" t="n">
        <f aca="false">Simulator!K15*Simulator!$D$5+Simulator!L15*Simulator!$D$6+Simulator!M15*Simulator!$D$7+Simulator!N15*Simulator!$D$8+Simulator!O15*Simulator!$D$9+Simulator!P15*Simulator!$D$10</f>
        <v>0.69432548632671</v>
      </c>
      <c r="CA12" s="162" t="n">
        <f aca="false">IF($BZ12=0,0.1667,(Simulator!K15*Simulator!$D$5)/$BZ12)</f>
        <v>0.4376465122845</v>
      </c>
      <c r="CB12" s="162" t="n">
        <f aca="false">IF($BZ12=0,0.3333,(Simulator!K15*Simulator!$D$5+Simulator!L15*Simulator!$D$6)/$BZ12)</f>
        <v>0.899848669021714</v>
      </c>
      <c r="CC12" s="162" t="n">
        <f aca="false">IF($BZ12=0,0.5,(Simulator!K15*Simulator!$D$5+Simulator!L15*Simulator!$D$6+Simulator!M15*Simulator!$D$7)/$BZ12)</f>
        <v>0.950023985634532</v>
      </c>
      <c r="CD12" s="162" t="n">
        <f aca="false">IF($BZ12=0,0.6667,(Simulator!K15*Simulator!$D$5+Simulator!L15*Simulator!$D$6+Simulator!M15*Simulator!$D$7+Simulator!N15*Simulator!$D$8)/$BZ12)</f>
        <v>0.995182110003257</v>
      </c>
      <c r="CE12" s="162" t="n">
        <f aca="false">IF($BZ12=0,0.8333,(Simulator!K15*Simulator!$D$5+Simulator!L15*Simulator!$D$6+Simulator!M15*Simulator!$D$7+Simulator!N15*Simulator!$D$8+Simulator!O15*Simulator!$D$9)/$BZ12)</f>
        <v>1</v>
      </c>
    </row>
    <row r="13" customFormat="false" ht="15" hidden="false" customHeight="false" outlineLevel="0" collapsed="false">
      <c r="A13" s="160" t="s">
        <v>55</v>
      </c>
      <c r="B13" s="161" t="n">
        <f aca="true">RAND()</f>
        <v>0.0295144241179832</v>
      </c>
      <c r="C13" s="161" t="n">
        <f aca="true">RAND()</f>
        <v>0.390527295084318</v>
      </c>
      <c r="D13" s="161" t="n">
        <f aca="true">RAND()</f>
        <v>0.713418977414526</v>
      </c>
      <c r="E13" s="161" t="n">
        <f aca="true">RAND()</f>
        <v>0.063920618440254</v>
      </c>
      <c r="F13" s="161" t="n">
        <f aca="true">RAND()</f>
        <v>0.563285392510998</v>
      </c>
      <c r="G13" s="161" t="n">
        <f aca="true">RAND()</f>
        <v>0.71607840541353</v>
      </c>
      <c r="H13" s="161" t="n">
        <f aca="true">RAND()</f>
        <v>0.945925947005939</v>
      </c>
      <c r="I13" s="161" t="n">
        <f aca="true">RAND()</f>
        <v>0.690505570292412</v>
      </c>
      <c r="J13" s="161" t="n">
        <f aca="true">RAND()</f>
        <v>0.137098321238376</v>
      </c>
      <c r="K13" s="161" t="n">
        <f aca="true">RAND()</f>
        <v>0.58796380060852</v>
      </c>
      <c r="L13" s="161" t="n">
        <f aca="true">RAND()</f>
        <v>0.90634510742576</v>
      </c>
      <c r="M13" s="161" t="n">
        <f aca="true">RAND()</f>
        <v>0.733795206015719</v>
      </c>
      <c r="N13" s="161" t="n">
        <f aca="true">RAND()</f>
        <v>0.47087882428538</v>
      </c>
      <c r="O13" s="161" t="n">
        <f aca="true">RAND()</f>
        <v>0.737052718108673</v>
      </c>
      <c r="P13" s="161" t="n">
        <f aca="true">RAND()</f>
        <v>0.365729874539093</v>
      </c>
      <c r="Q13" s="161" t="n">
        <f aca="true">RAND()</f>
        <v>0.257251740080753</v>
      </c>
      <c r="R13" s="161" t="n">
        <f aca="true">RAND()</f>
        <v>0.69843531426681</v>
      </c>
      <c r="S13" s="161" t="n">
        <f aca="true">RAND()</f>
        <v>0.73983616683535</v>
      </c>
      <c r="T13" s="161" t="n">
        <f aca="true">RAND()</f>
        <v>0.631558717409359</v>
      </c>
      <c r="U13" s="161" t="n">
        <f aca="true">RAND()</f>
        <v>0.376017571815641</v>
      </c>
      <c r="V13" s="161" t="n">
        <f aca="true">RAND()</f>
        <v>0.808191106535208</v>
      </c>
      <c r="W13" s="161" t="n">
        <f aca="true">RAND()</f>
        <v>0.388035339547162</v>
      </c>
      <c r="X13" s="161" t="n">
        <f aca="true">RAND()</f>
        <v>0.958841643005414</v>
      </c>
      <c r="Y13" s="161" t="n">
        <f aca="true">RAND()</f>
        <v>0.657569744811603</v>
      </c>
      <c r="Z13" s="161" t="n">
        <f aca="true">RAND()</f>
        <v>0.574794777400815</v>
      </c>
      <c r="AA13" s="161" t="n">
        <f aca="true">RAND()</f>
        <v>0.120569371700878</v>
      </c>
      <c r="AB13" s="161" t="n">
        <f aca="true">RAND()</f>
        <v>0.789438924958717</v>
      </c>
      <c r="AC13" s="161" t="n">
        <f aca="true">RAND()</f>
        <v>0.153734322027339</v>
      </c>
      <c r="AD13" s="161" t="n">
        <f aca="true">RAND()</f>
        <v>0.940061644325716</v>
      </c>
      <c r="AE13" s="161" t="n">
        <f aca="true">RAND()</f>
        <v>0.626682033611315</v>
      </c>
      <c r="AF13" s="161" t="n">
        <f aca="true">RAND()</f>
        <v>0.0136473428579646</v>
      </c>
      <c r="AG13" s="161" t="n">
        <f aca="true">RAND()</f>
        <v>0.756651517572988</v>
      </c>
      <c r="AH13" s="161" t="n">
        <f aca="true">RAND()</f>
        <v>0.150308031780208</v>
      </c>
      <c r="AI13" s="161" t="n">
        <f aca="true">RAND()</f>
        <v>0.221571995905587</v>
      </c>
      <c r="AJ13" s="161" t="n">
        <f aca="true">RAND()</f>
        <v>0.283454014667071</v>
      </c>
      <c r="AK13" s="161" t="n">
        <f aca="true">RAND()</f>
        <v>0.780947504745219</v>
      </c>
      <c r="AL13" s="161" t="n">
        <f aca="true">RAND()</f>
        <v>0.211656396553437</v>
      </c>
      <c r="AM13" s="161" t="n">
        <f aca="true">RAND()</f>
        <v>0.127968220298377</v>
      </c>
      <c r="AN13" s="161" t="n">
        <f aca="true">RAND()</f>
        <v>0.571579637329081</v>
      </c>
      <c r="AO13" s="161" t="n">
        <f aca="true">RAND()</f>
        <v>0.684991407037734</v>
      </c>
      <c r="AP13" s="161" t="n">
        <f aca="true">RAND()</f>
        <v>0.248960511620834</v>
      </c>
      <c r="AQ13" s="161" t="n">
        <f aca="true">RAND()</f>
        <v>0.0091443642917045</v>
      </c>
      <c r="AR13" s="161" t="n">
        <f aca="true">RAND()</f>
        <v>0.976007376751033</v>
      </c>
      <c r="AS13" s="161" t="n">
        <f aca="true">RAND()</f>
        <v>0.77936680590433</v>
      </c>
      <c r="AT13" s="161" t="n">
        <f aca="true">RAND()</f>
        <v>0.71595939878496</v>
      </c>
      <c r="AU13" s="161" t="n">
        <f aca="true">RAND()</f>
        <v>0.797758998780355</v>
      </c>
      <c r="AV13" s="161" t="n">
        <f aca="true">RAND()</f>
        <v>0.929926007939165</v>
      </c>
      <c r="AW13" s="161" t="n">
        <f aca="true">RAND()</f>
        <v>0.508358006445915</v>
      </c>
      <c r="AX13" s="161" t="n">
        <f aca="true">RAND()</f>
        <v>0.53586151461171</v>
      </c>
      <c r="AY13" s="161" t="n">
        <f aca="true">RAND()</f>
        <v>0.288794098144662</v>
      </c>
      <c r="AZ13" s="161" t="n">
        <f aca="true">RAND()</f>
        <v>0.291972883794642</v>
      </c>
      <c r="BA13" s="161" t="n">
        <f aca="true">RAND()</f>
        <v>0.0126857435769084</v>
      </c>
      <c r="BB13" s="161" t="n">
        <f aca="true">RAND()</f>
        <v>0.485209848386943</v>
      </c>
      <c r="BC13" s="161" t="n">
        <f aca="true">RAND()</f>
        <v>0.253147779837041</v>
      </c>
      <c r="BD13" s="161" t="n">
        <f aca="true">RAND()</f>
        <v>0.0806935053869944</v>
      </c>
      <c r="BE13" s="161" t="n">
        <f aca="true">RAND()</f>
        <v>0.134506781697783</v>
      </c>
      <c r="BF13" s="161" t="n">
        <f aca="true">RAND()</f>
        <v>0.24596201149346</v>
      </c>
      <c r="BG13" s="161" t="n">
        <f aca="true">RAND()</f>
        <v>0.715582705678999</v>
      </c>
      <c r="BH13" s="161" t="n">
        <f aca="true">RAND()</f>
        <v>0.378530585829658</v>
      </c>
      <c r="BI13" s="161" t="n">
        <f aca="true">RAND()</f>
        <v>0.30457796117907</v>
      </c>
      <c r="BJ13" s="161" t="n">
        <f aca="true">RAND()</f>
        <v>0.0650623527840838</v>
      </c>
      <c r="BK13" s="161" t="n">
        <f aca="true">RAND()</f>
        <v>0.980437998493046</v>
      </c>
      <c r="BL13" s="161" t="n">
        <f aca="true">RAND()</f>
        <v>0.264006484807969</v>
      </c>
      <c r="BM13" s="161" t="n">
        <f aca="true">RAND()</f>
        <v>0.677934431796268</v>
      </c>
      <c r="BN13" s="161" t="n">
        <f aca="true">RAND()</f>
        <v>0.805525656118874</v>
      </c>
      <c r="BO13" s="161" t="n">
        <f aca="true">RAND()</f>
        <v>0.454195089609495</v>
      </c>
      <c r="BP13" s="161" t="n">
        <f aca="true">RAND()</f>
        <v>0.201600472315478</v>
      </c>
      <c r="BQ13" s="161" t="n">
        <f aca="true">RAND()</f>
        <v>0.464174913728482</v>
      </c>
      <c r="BR13" s="161" t="n">
        <f aca="true">RAND()</f>
        <v>0.0605192057674419</v>
      </c>
      <c r="BS13" s="161" t="n">
        <f aca="true">RAND()</f>
        <v>0.724345955465446</v>
      </c>
      <c r="BT13" s="161" t="n">
        <f aca="true">RAND()</f>
        <v>0.262252396927196</v>
      </c>
      <c r="BU13" s="161" t="n">
        <f aca="true">RAND()</f>
        <v>0.559018204391395</v>
      </c>
      <c r="BV13" s="161" t="n">
        <f aca="true">RAND()</f>
        <v>0.848284709363234</v>
      </c>
      <c r="BW13" s="161" t="n">
        <f aca="true">RAND()</f>
        <v>0.667996324660088</v>
      </c>
      <c r="BX13" s="161" t="n">
        <f aca="true">RAND()</f>
        <v>0.342436473324929</v>
      </c>
      <c r="BY13" s="161" t="n">
        <f aca="true">RAND()</f>
        <v>0.112380664943499</v>
      </c>
      <c r="BZ13" s="162" t="n">
        <f aca="false">Simulator!K16*Simulator!$D$5+Simulator!L16*Simulator!$D$6+Simulator!M16*Simulator!$D$7+Simulator!N16*Simulator!$D$8+Simulator!O16*Simulator!$D$9+Simulator!P16*Simulator!$D$10</f>
        <v>0.679120291571428</v>
      </c>
      <c r="CA13" s="162" t="n">
        <f aca="false">IF($BZ13=0,0.1667,(Simulator!K16*Simulator!$D$5)/$BZ13)</f>
        <v>0.384465570664936</v>
      </c>
      <c r="CB13" s="162" t="n">
        <f aca="false">IF($BZ13=0,0.3333,(Simulator!K16*Simulator!$D$5+Simulator!L16*Simulator!$D$6)/$BZ13)</f>
        <v>0.890223237372417</v>
      </c>
      <c r="CC13" s="162" t="n">
        <f aca="false">IF($BZ13=0,0.5,(Simulator!K16*Simulator!$D$5+Simulator!L16*Simulator!$D$6+Simulator!M16*Simulator!$D$7)/$BZ13)</f>
        <v>0.951025897244986</v>
      </c>
      <c r="CD13" s="162" t="n">
        <f aca="false">IF($BZ13=0,0.6667,(Simulator!K16*Simulator!$D$5+Simulator!L16*Simulator!$D$6+Simulator!M16*Simulator!$D$7+Simulator!N16*Simulator!$D$8)/$BZ13)</f>
        <v>0.995288467732922</v>
      </c>
      <c r="CE13" s="162" t="n">
        <f aca="false">IF($BZ13=0,0.8333,(Simulator!K16*Simulator!$D$5+Simulator!L16*Simulator!$D$6+Simulator!M16*Simulator!$D$7+Simulator!N16*Simulator!$D$8+Simulator!O16*Simulator!$D$9)/$BZ13)</f>
        <v>1</v>
      </c>
    </row>
    <row r="14" customFormat="false" ht="15" hidden="false" customHeight="false" outlineLevel="0" collapsed="false">
      <c r="A14" s="160" t="s">
        <v>56</v>
      </c>
      <c r="B14" s="161" t="n">
        <f aca="true">RAND()</f>
        <v>0.750441074877342</v>
      </c>
      <c r="C14" s="161" t="n">
        <f aca="true">RAND()</f>
        <v>0.633167978456765</v>
      </c>
      <c r="D14" s="161" t="n">
        <f aca="true">RAND()</f>
        <v>0.0592019777149313</v>
      </c>
      <c r="E14" s="161" t="n">
        <f aca="true">RAND()</f>
        <v>0.934954703091606</v>
      </c>
      <c r="F14" s="161" t="n">
        <f aca="true">RAND()</f>
        <v>0.775580619193222</v>
      </c>
      <c r="G14" s="161" t="n">
        <f aca="true">RAND()</f>
        <v>0.678366641682085</v>
      </c>
      <c r="H14" s="161" t="n">
        <f aca="true">RAND()</f>
        <v>0.704219482954525</v>
      </c>
      <c r="I14" s="161" t="n">
        <f aca="true">RAND()</f>
        <v>0.627509977834384</v>
      </c>
      <c r="J14" s="161" t="n">
        <f aca="true">RAND()</f>
        <v>0.120265086492233</v>
      </c>
      <c r="K14" s="161" t="n">
        <f aca="true">RAND()</f>
        <v>0.673689855854475</v>
      </c>
      <c r="L14" s="161" t="n">
        <f aca="true">RAND()</f>
        <v>0.103377278774193</v>
      </c>
      <c r="M14" s="161" t="n">
        <f aca="true">RAND()</f>
        <v>0.515499497232886</v>
      </c>
      <c r="N14" s="161" t="n">
        <f aca="true">RAND()</f>
        <v>0.295786996770929</v>
      </c>
      <c r="O14" s="161" t="n">
        <f aca="true">RAND()</f>
        <v>0.8325069914469</v>
      </c>
      <c r="P14" s="161" t="n">
        <f aca="true">RAND()</f>
        <v>0.535620837463782</v>
      </c>
      <c r="Q14" s="161" t="n">
        <f aca="true">RAND()</f>
        <v>0.118382798122107</v>
      </c>
      <c r="R14" s="161" t="n">
        <f aca="true">RAND()</f>
        <v>0.449458651478404</v>
      </c>
      <c r="S14" s="161" t="n">
        <f aca="true">RAND()</f>
        <v>0.667370017756569</v>
      </c>
      <c r="T14" s="161" t="n">
        <f aca="true">RAND()</f>
        <v>0.168178194989641</v>
      </c>
      <c r="U14" s="161" t="n">
        <f aca="true">RAND()</f>
        <v>0.351477114062354</v>
      </c>
      <c r="V14" s="161" t="n">
        <f aca="true">RAND()</f>
        <v>0.677751289959812</v>
      </c>
      <c r="W14" s="161" t="n">
        <f aca="true">RAND()</f>
        <v>0.690857978663296</v>
      </c>
      <c r="X14" s="161" t="n">
        <f aca="true">RAND()</f>
        <v>0.667031165158465</v>
      </c>
      <c r="Y14" s="161" t="n">
        <f aca="true">RAND()</f>
        <v>0.69281322032486</v>
      </c>
      <c r="Z14" s="161" t="n">
        <f aca="true">RAND()</f>
        <v>0.202372072422642</v>
      </c>
      <c r="AA14" s="161" t="n">
        <f aca="true">RAND()</f>
        <v>0.472468171322613</v>
      </c>
      <c r="AB14" s="161" t="n">
        <f aca="true">RAND()</f>
        <v>0.636886381187637</v>
      </c>
      <c r="AC14" s="161" t="n">
        <f aca="true">RAND()</f>
        <v>0.653469664310009</v>
      </c>
      <c r="AD14" s="161" t="n">
        <f aca="true">RAND()</f>
        <v>0.492395516724999</v>
      </c>
      <c r="AE14" s="161" t="n">
        <f aca="true">RAND()</f>
        <v>0.420045049668655</v>
      </c>
      <c r="AF14" s="161" t="n">
        <f aca="true">RAND()</f>
        <v>0.779545272092859</v>
      </c>
      <c r="AG14" s="161" t="n">
        <f aca="true">RAND()</f>
        <v>0.179989207130342</v>
      </c>
      <c r="AH14" s="161" t="n">
        <f aca="true">RAND()</f>
        <v>0.388660948153251</v>
      </c>
      <c r="AI14" s="161" t="n">
        <f aca="true">RAND()</f>
        <v>0.119267473841722</v>
      </c>
      <c r="AJ14" s="161" t="n">
        <f aca="true">RAND()</f>
        <v>0.0308665806678393</v>
      </c>
      <c r="AK14" s="161" t="n">
        <f aca="true">RAND()</f>
        <v>0.0932793910191817</v>
      </c>
      <c r="AL14" s="161" t="n">
        <f aca="true">RAND()</f>
        <v>0.28084476527167</v>
      </c>
      <c r="AM14" s="161" t="n">
        <f aca="true">RAND()</f>
        <v>0.532790382867347</v>
      </c>
      <c r="AN14" s="161" t="n">
        <f aca="true">RAND()</f>
        <v>0.627486122945945</v>
      </c>
      <c r="AO14" s="161" t="n">
        <f aca="true">RAND()</f>
        <v>0.4414789927985</v>
      </c>
      <c r="AP14" s="161" t="n">
        <f aca="true">RAND()</f>
        <v>0.558149329789704</v>
      </c>
      <c r="AQ14" s="161" t="n">
        <f aca="true">RAND()</f>
        <v>0.192559646761503</v>
      </c>
      <c r="AR14" s="161" t="n">
        <f aca="true">RAND()</f>
        <v>0.841922731303853</v>
      </c>
      <c r="AS14" s="161" t="n">
        <f aca="true">RAND()</f>
        <v>0.0571033229270812</v>
      </c>
      <c r="AT14" s="161" t="n">
        <f aca="true">RAND()</f>
        <v>0.598920919142202</v>
      </c>
      <c r="AU14" s="161" t="n">
        <f aca="true">RAND()</f>
        <v>0.820139289754838</v>
      </c>
      <c r="AV14" s="161" t="n">
        <f aca="true">RAND()</f>
        <v>0.664984009136791</v>
      </c>
      <c r="AW14" s="161" t="n">
        <f aca="true">RAND()</f>
        <v>0.353704353148326</v>
      </c>
      <c r="AX14" s="161" t="n">
        <f aca="true">RAND()</f>
        <v>0.993472969063518</v>
      </c>
      <c r="AY14" s="161" t="n">
        <f aca="true">RAND()</f>
        <v>0.561239465716447</v>
      </c>
      <c r="AZ14" s="161" t="n">
        <f aca="true">RAND()</f>
        <v>0.334860824804295</v>
      </c>
      <c r="BA14" s="161" t="n">
        <f aca="true">RAND()</f>
        <v>0.601885888863829</v>
      </c>
      <c r="BB14" s="161" t="n">
        <f aca="true">RAND()</f>
        <v>0.261736950158065</v>
      </c>
      <c r="BC14" s="161" t="n">
        <f aca="true">RAND()</f>
        <v>0.93061923519432</v>
      </c>
      <c r="BD14" s="161" t="n">
        <f aca="true">RAND()</f>
        <v>0.112702576301922</v>
      </c>
      <c r="BE14" s="161" t="n">
        <f aca="true">RAND()</f>
        <v>0.576344574715938</v>
      </c>
      <c r="BF14" s="161" t="n">
        <f aca="true">RAND()</f>
        <v>0.836370277921859</v>
      </c>
      <c r="BG14" s="161" t="n">
        <f aca="true">RAND()</f>
        <v>0.556554251882866</v>
      </c>
      <c r="BH14" s="161" t="n">
        <f aca="true">RAND()</f>
        <v>0.770770353080467</v>
      </c>
      <c r="BI14" s="161" t="n">
        <f aca="true">RAND()</f>
        <v>0.796511201897743</v>
      </c>
      <c r="BJ14" s="161" t="n">
        <f aca="true">RAND()</f>
        <v>0.34235717743954</v>
      </c>
      <c r="BK14" s="161" t="n">
        <f aca="true">RAND()</f>
        <v>0.688742859815134</v>
      </c>
      <c r="BL14" s="161" t="n">
        <f aca="true">RAND()</f>
        <v>0.04354149748809</v>
      </c>
      <c r="BM14" s="161" t="n">
        <f aca="true">RAND()</f>
        <v>0.116960526158014</v>
      </c>
      <c r="BN14" s="161" t="n">
        <f aca="true">RAND()</f>
        <v>0.345356713002953</v>
      </c>
      <c r="BO14" s="161" t="n">
        <f aca="true">RAND()</f>
        <v>0.926014965844166</v>
      </c>
      <c r="BP14" s="161" t="n">
        <f aca="true">RAND()</f>
        <v>0.628953015813585</v>
      </c>
      <c r="BQ14" s="161" t="n">
        <f aca="true">RAND()</f>
        <v>0.775475657694909</v>
      </c>
      <c r="BR14" s="161" t="n">
        <f aca="true">RAND()</f>
        <v>0.550303389877436</v>
      </c>
      <c r="BS14" s="161" t="n">
        <f aca="true">RAND()</f>
        <v>0.186169646128914</v>
      </c>
      <c r="BT14" s="161" t="n">
        <f aca="true">RAND()</f>
        <v>0.9029434361485</v>
      </c>
      <c r="BU14" s="161" t="n">
        <f aca="true">RAND()</f>
        <v>0.727963058201704</v>
      </c>
      <c r="BV14" s="161" t="n">
        <f aca="true">RAND()</f>
        <v>0.256106795144701</v>
      </c>
      <c r="BW14" s="161" t="n">
        <f aca="true">RAND()</f>
        <v>0.268577829111919</v>
      </c>
      <c r="BX14" s="161" t="n">
        <f aca="true">RAND()</f>
        <v>0.620992265656973</v>
      </c>
      <c r="BY14" s="161" t="n">
        <f aca="true">RAND()</f>
        <v>0.676446673512052</v>
      </c>
      <c r="BZ14" s="162" t="n">
        <f aca="false">Simulator!K17*Simulator!$D$5+Simulator!L17*Simulator!$D$6+Simulator!M17*Simulator!$D$7+Simulator!N17*Simulator!$D$8+Simulator!O17*Simulator!$D$9+Simulator!P17*Simulator!$D$10</f>
        <v>0.692543036983928</v>
      </c>
      <c r="CA14" s="162" t="n">
        <f aca="false">IF($BZ14=0,0.1667,(Simulator!K17*Simulator!$D$5)/$BZ14)</f>
        <v>0.426333047032135</v>
      </c>
      <c r="CB14" s="162" t="n">
        <f aca="false">IF($BZ14=0,0.3333,(Simulator!K17*Simulator!$D$5+Simulator!L17*Simulator!$D$6)/$BZ14)</f>
        <v>0.89897759500597</v>
      </c>
      <c r="CC14" s="162" t="n">
        <f aca="false">IF($BZ14=0,0.5,(Simulator!K17*Simulator!$D$5+Simulator!L17*Simulator!$D$6+Simulator!M17*Simulator!$D$7)/$BZ14)</f>
        <v>0.949230423852275</v>
      </c>
      <c r="CD14" s="162" t="n">
        <f aca="false">IF($BZ14=0,0.6667,(Simulator!K17*Simulator!$D$5+Simulator!L17*Simulator!$D$6+Simulator!M17*Simulator!$D$7+Simulator!N17*Simulator!$D$8)/$BZ14)</f>
        <v>0.995147119647815</v>
      </c>
      <c r="CE14" s="162" t="n">
        <f aca="false">IF($BZ14=0,0.8333,(Simulator!K17*Simulator!$D$5+Simulator!L17*Simulator!$D$6+Simulator!M17*Simulator!$D$7+Simulator!N17*Simulator!$D$8+Simulator!O17*Simulator!$D$9)/$BZ14)</f>
        <v>1</v>
      </c>
    </row>
    <row r="15" customFormat="false" ht="15" hidden="false" customHeight="false" outlineLevel="0" collapsed="false">
      <c r="A15" s="160" t="s">
        <v>57</v>
      </c>
      <c r="B15" s="161" t="n">
        <f aca="true">RAND()</f>
        <v>0.706614932157127</v>
      </c>
      <c r="C15" s="161" t="n">
        <f aca="true">RAND()</f>
        <v>0.983696442765541</v>
      </c>
      <c r="D15" s="161" t="n">
        <f aca="true">RAND()</f>
        <v>0.600118855417969</v>
      </c>
      <c r="E15" s="161" t="n">
        <f aca="true">RAND()</f>
        <v>0.153034621084914</v>
      </c>
      <c r="F15" s="161" t="n">
        <f aca="true">RAND()</f>
        <v>0.0583228722341954</v>
      </c>
      <c r="G15" s="161" t="n">
        <f aca="true">RAND()</f>
        <v>0.55123744599742</v>
      </c>
      <c r="H15" s="161" t="n">
        <f aca="true">RAND()</f>
        <v>0.162031736547321</v>
      </c>
      <c r="I15" s="161" t="n">
        <f aca="true">RAND()</f>
        <v>0.255779480851156</v>
      </c>
      <c r="J15" s="161" t="n">
        <f aca="true">RAND()</f>
        <v>0.798641237725229</v>
      </c>
      <c r="K15" s="161" t="n">
        <f aca="true">RAND()</f>
        <v>0.804143040780056</v>
      </c>
      <c r="L15" s="161" t="n">
        <f aca="true">RAND()</f>
        <v>0.0503411848152145</v>
      </c>
      <c r="M15" s="161" t="n">
        <f aca="true">RAND()</f>
        <v>0.163171871622699</v>
      </c>
      <c r="N15" s="161" t="n">
        <f aca="true">RAND()</f>
        <v>0.799867990712275</v>
      </c>
      <c r="O15" s="161" t="n">
        <f aca="true">RAND()</f>
        <v>0.95398380287563</v>
      </c>
      <c r="P15" s="161" t="n">
        <f aca="true">RAND()</f>
        <v>0.895520737015244</v>
      </c>
      <c r="Q15" s="161" t="n">
        <f aca="true">RAND()</f>
        <v>0.68486326242399</v>
      </c>
      <c r="R15" s="161" t="n">
        <f aca="true">RAND()</f>
        <v>0.372008305848445</v>
      </c>
      <c r="S15" s="161" t="n">
        <f aca="true">RAND()</f>
        <v>0.303365384607544</v>
      </c>
      <c r="T15" s="161" t="n">
        <f aca="true">RAND()</f>
        <v>0.370231826450753</v>
      </c>
      <c r="U15" s="161" t="n">
        <f aca="true">RAND()</f>
        <v>0.498483659806307</v>
      </c>
      <c r="V15" s="161" t="n">
        <f aca="true">RAND()</f>
        <v>0.218942344660779</v>
      </c>
      <c r="W15" s="161" t="n">
        <f aca="true">RAND()</f>
        <v>0.16890448121959</v>
      </c>
      <c r="X15" s="161" t="n">
        <f aca="true">RAND()</f>
        <v>0.138542575061558</v>
      </c>
      <c r="Y15" s="161" t="n">
        <f aca="true">RAND()</f>
        <v>0.125403622092836</v>
      </c>
      <c r="Z15" s="161" t="n">
        <f aca="true">RAND()</f>
        <v>0.791708140275753</v>
      </c>
      <c r="AA15" s="161" t="n">
        <f aca="true">RAND()</f>
        <v>0.936071716187754</v>
      </c>
      <c r="AB15" s="161" t="n">
        <f aca="true">RAND()</f>
        <v>0.820635999984403</v>
      </c>
      <c r="AC15" s="161" t="n">
        <f aca="true">RAND()</f>
        <v>0.941653098657856</v>
      </c>
      <c r="AD15" s="161" t="n">
        <f aca="true">RAND()</f>
        <v>0.346830817327262</v>
      </c>
      <c r="AE15" s="161" t="n">
        <f aca="true">RAND()</f>
        <v>0.0317318938121897</v>
      </c>
      <c r="AF15" s="161" t="n">
        <f aca="true">RAND()</f>
        <v>0.136824080280052</v>
      </c>
      <c r="AG15" s="161" t="n">
        <f aca="true">RAND()</f>
        <v>0.351067234469724</v>
      </c>
      <c r="AH15" s="161" t="n">
        <f aca="true">RAND()</f>
        <v>0.513553649166536</v>
      </c>
      <c r="AI15" s="161" t="n">
        <f aca="true">RAND()</f>
        <v>0.733703968201411</v>
      </c>
      <c r="AJ15" s="161" t="n">
        <f aca="true">RAND()</f>
        <v>0.579039527333424</v>
      </c>
      <c r="AK15" s="161" t="n">
        <f aca="true">RAND()</f>
        <v>0.674859404517945</v>
      </c>
      <c r="AL15" s="161" t="n">
        <f aca="true">RAND()</f>
        <v>0.0725400809043322</v>
      </c>
      <c r="AM15" s="161" t="n">
        <f aca="true">RAND()</f>
        <v>0.635366331051942</v>
      </c>
      <c r="AN15" s="161" t="n">
        <f aca="true">RAND()</f>
        <v>0.566848528863612</v>
      </c>
      <c r="AO15" s="161" t="n">
        <f aca="true">RAND()</f>
        <v>0.303801592279343</v>
      </c>
      <c r="AP15" s="161" t="n">
        <f aca="true">RAND()</f>
        <v>0.844151477502714</v>
      </c>
      <c r="AQ15" s="161" t="n">
        <f aca="true">RAND()</f>
        <v>0.501872263588791</v>
      </c>
      <c r="AR15" s="161" t="n">
        <f aca="true">RAND()</f>
        <v>0.164623914062412</v>
      </c>
      <c r="AS15" s="161" t="n">
        <f aca="true">RAND()</f>
        <v>0.19631815498142</v>
      </c>
      <c r="AT15" s="161" t="n">
        <f aca="true">RAND()</f>
        <v>0.962462053318155</v>
      </c>
      <c r="AU15" s="161" t="n">
        <f aca="true">RAND()</f>
        <v>0.0842027876797989</v>
      </c>
      <c r="AV15" s="161" t="n">
        <f aca="true">RAND()</f>
        <v>0.863070480958511</v>
      </c>
      <c r="AW15" s="161" t="n">
        <f aca="true">RAND()</f>
        <v>0.185614806207504</v>
      </c>
      <c r="AX15" s="161" t="n">
        <f aca="true">RAND()</f>
        <v>0.0472892785448338</v>
      </c>
      <c r="AY15" s="161" t="n">
        <f aca="true">RAND()</f>
        <v>0.751963883032425</v>
      </c>
      <c r="AZ15" s="161" t="n">
        <f aca="true">RAND()</f>
        <v>0.920449432817807</v>
      </c>
      <c r="BA15" s="161" t="n">
        <f aca="true">RAND()</f>
        <v>0.567899608460026</v>
      </c>
      <c r="BB15" s="161" t="n">
        <f aca="true">RAND()</f>
        <v>0.620656958491716</v>
      </c>
      <c r="BC15" s="161" t="n">
        <f aca="true">RAND()</f>
        <v>0.0419108001152946</v>
      </c>
      <c r="BD15" s="161" t="n">
        <f aca="true">RAND()</f>
        <v>0.00139690720847022</v>
      </c>
      <c r="BE15" s="161" t="n">
        <f aca="true">RAND()</f>
        <v>0.877082394875542</v>
      </c>
      <c r="BF15" s="161" t="n">
        <f aca="true">RAND()</f>
        <v>0.0784941982100768</v>
      </c>
      <c r="BG15" s="161" t="n">
        <f aca="true">RAND()</f>
        <v>0.0598775547448144</v>
      </c>
      <c r="BH15" s="161" t="n">
        <f aca="true">RAND()</f>
        <v>0.708712714196642</v>
      </c>
      <c r="BI15" s="161" t="n">
        <f aca="true">RAND()</f>
        <v>0.573164750044064</v>
      </c>
      <c r="BJ15" s="161" t="n">
        <f aca="true">RAND()</f>
        <v>0.0829963489823468</v>
      </c>
      <c r="BK15" s="161" t="n">
        <f aca="true">RAND()</f>
        <v>0.723303368114211</v>
      </c>
      <c r="BL15" s="161" t="n">
        <f aca="true">RAND()</f>
        <v>0.997229314657618</v>
      </c>
      <c r="BM15" s="161" t="n">
        <f aca="true">RAND()</f>
        <v>0.0871288050509232</v>
      </c>
      <c r="BN15" s="161" t="n">
        <f aca="true">RAND()</f>
        <v>0.389968462672626</v>
      </c>
      <c r="BO15" s="161" t="n">
        <f aca="true">RAND()</f>
        <v>0.545103297139756</v>
      </c>
      <c r="BP15" s="161" t="n">
        <f aca="true">RAND()</f>
        <v>0.196047667173332</v>
      </c>
      <c r="BQ15" s="161" t="n">
        <f aca="true">RAND()</f>
        <v>0.466508321362298</v>
      </c>
      <c r="BR15" s="161" t="n">
        <f aca="true">RAND()</f>
        <v>0.221648589307562</v>
      </c>
      <c r="BS15" s="161" t="n">
        <f aca="true">RAND()</f>
        <v>0.612264790814527</v>
      </c>
      <c r="BT15" s="161" t="n">
        <f aca="true">RAND()</f>
        <v>0.920483953023799</v>
      </c>
      <c r="BU15" s="161" t="n">
        <f aca="true">RAND()</f>
        <v>0.963262152365602</v>
      </c>
      <c r="BV15" s="161" t="n">
        <f aca="true">RAND()</f>
        <v>0.861814742005911</v>
      </c>
      <c r="BW15" s="161" t="n">
        <f aca="true">RAND()</f>
        <v>0.73382362581675</v>
      </c>
      <c r="BX15" s="161" t="n">
        <f aca="true">RAND()</f>
        <v>0.247819309592295</v>
      </c>
      <c r="BY15" s="161" t="n">
        <f aca="true">RAND()</f>
        <v>0.0990054942172934</v>
      </c>
      <c r="BZ15" s="162" t="n">
        <f aca="false">Simulator!K18*Simulator!$D$5+Simulator!L18*Simulator!$D$6+Simulator!M18*Simulator!$D$7+Simulator!N18*Simulator!$D$8+Simulator!O18*Simulator!$D$9+Simulator!P18*Simulator!$D$10</f>
        <v>0.65271412711278</v>
      </c>
      <c r="CA15" s="162" t="n">
        <f aca="false">IF($BZ15=0,0.1667,(Simulator!K18*Simulator!$D$5)/$BZ15)</f>
        <v>0.366645868016293</v>
      </c>
      <c r="CB15" s="162" t="n">
        <f aca="false">IF($BZ15=0,0.3333,(Simulator!K18*Simulator!$D$5+Simulator!L18*Simulator!$D$6)/$BZ15)</f>
        <v>0.877339933532882</v>
      </c>
      <c r="CC15" s="162" t="n">
        <f aca="false">IF($BZ15=0,0.5,(Simulator!K18*Simulator!$D$5+Simulator!L18*Simulator!$D$6+Simulator!M18*Simulator!$D$7)/$BZ15)</f>
        <v>0.932771141864885</v>
      </c>
      <c r="CD15" s="162" t="n">
        <f aca="false">IF($BZ15=0,0.6667,(Simulator!K18*Simulator!$D$5+Simulator!L18*Simulator!$D$6+Simulator!M18*Simulator!$D$7+Simulator!N18*Simulator!$D$8)/$BZ15)</f>
        <v>0.994502468279286</v>
      </c>
      <c r="CE15" s="162" t="n">
        <f aca="false">IF($BZ15=0,0.8333,(Simulator!K18*Simulator!$D$5+Simulator!L18*Simulator!$D$6+Simulator!M18*Simulator!$D$7+Simulator!N18*Simulator!$D$8+Simulator!O18*Simulator!$D$9)/$BZ15)</f>
        <v>1</v>
      </c>
    </row>
    <row r="16" customFormat="false" ht="15" hidden="false" customHeight="false" outlineLevel="0" collapsed="false">
      <c r="A16" s="160" t="s">
        <v>58</v>
      </c>
      <c r="B16" s="161" t="n">
        <f aca="true">RAND()</f>
        <v>0.324128731861095</v>
      </c>
      <c r="C16" s="161" t="n">
        <f aca="true">RAND()</f>
        <v>0.115570138373199</v>
      </c>
      <c r="D16" s="161" t="n">
        <f aca="true">RAND()</f>
        <v>0.858322273341469</v>
      </c>
      <c r="E16" s="161" t="n">
        <f aca="true">RAND()</f>
        <v>0.0307174676278389</v>
      </c>
      <c r="F16" s="161" t="n">
        <f aca="true">RAND()</f>
        <v>0.599558306793969</v>
      </c>
      <c r="G16" s="161" t="n">
        <f aca="true">RAND()</f>
        <v>0.330804730302843</v>
      </c>
      <c r="H16" s="161" t="n">
        <f aca="true">RAND()</f>
        <v>0.77122857694088</v>
      </c>
      <c r="I16" s="161" t="n">
        <f aca="true">RAND()</f>
        <v>0.497028828082291</v>
      </c>
      <c r="J16" s="161" t="n">
        <f aca="true">RAND()</f>
        <v>0.822093843240518</v>
      </c>
      <c r="K16" s="161" t="n">
        <f aca="true">RAND()</f>
        <v>0.263337014920044</v>
      </c>
      <c r="L16" s="161" t="n">
        <f aca="true">RAND()</f>
        <v>0.945661799685421</v>
      </c>
      <c r="M16" s="161" t="n">
        <f aca="true">RAND()</f>
        <v>0.92023978918597</v>
      </c>
      <c r="N16" s="161" t="n">
        <f aca="true">RAND()</f>
        <v>0.35645825513927</v>
      </c>
      <c r="O16" s="161" t="n">
        <f aca="true">RAND()</f>
        <v>0.241206490337306</v>
      </c>
      <c r="P16" s="161" t="n">
        <f aca="true">RAND()</f>
        <v>0.111470635470278</v>
      </c>
      <c r="Q16" s="161" t="n">
        <f aca="true">RAND()</f>
        <v>0.114993935248502</v>
      </c>
      <c r="R16" s="161" t="n">
        <f aca="true">RAND()</f>
        <v>0.5197463707553</v>
      </c>
      <c r="S16" s="161" t="n">
        <f aca="true">RAND()</f>
        <v>0.770233827587583</v>
      </c>
      <c r="T16" s="161" t="n">
        <f aca="true">RAND()</f>
        <v>0.190853507053675</v>
      </c>
      <c r="U16" s="161" t="n">
        <f aca="true">RAND()</f>
        <v>0.32040410365336</v>
      </c>
      <c r="V16" s="161" t="n">
        <f aca="true">RAND()</f>
        <v>0.254894273589415</v>
      </c>
      <c r="W16" s="161" t="n">
        <f aca="true">RAND()</f>
        <v>0.191601625900059</v>
      </c>
      <c r="X16" s="161" t="n">
        <f aca="true">RAND()</f>
        <v>0.211688239827747</v>
      </c>
      <c r="Y16" s="161" t="n">
        <f aca="true">RAND()</f>
        <v>0.307156502003445</v>
      </c>
      <c r="Z16" s="161" t="n">
        <f aca="true">RAND()</f>
        <v>0.779227962176741</v>
      </c>
      <c r="AA16" s="161" t="n">
        <f aca="true">RAND()</f>
        <v>0.998174745059966</v>
      </c>
      <c r="AB16" s="161" t="n">
        <f aca="true">RAND()</f>
        <v>0.548753743000546</v>
      </c>
      <c r="AC16" s="161" t="n">
        <f aca="true">RAND()</f>
        <v>0.441237359384192</v>
      </c>
      <c r="AD16" s="161" t="n">
        <f aca="true">RAND()</f>
        <v>0.619833223483673</v>
      </c>
      <c r="AE16" s="161" t="n">
        <f aca="true">RAND()</f>
        <v>0.937522583266098</v>
      </c>
      <c r="AF16" s="161" t="n">
        <f aca="true">RAND()</f>
        <v>0.4287972931117</v>
      </c>
      <c r="AG16" s="161" t="n">
        <f aca="true">RAND()</f>
        <v>0.812055526820436</v>
      </c>
      <c r="AH16" s="161" t="n">
        <f aca="true">RAND()</f>
        <v>0.220927375423084</v>
      </c>
      <c r="AI16" s="161" t="n">
        <f aca="true">RAND()</f>
        <v>0.852958780607312</v>
      </c>
      <c r="AJ16" s="161" t="n">
        <f aca="true">RAND()</f>
        <v>0.370258829362968</v>
      </c>
      <c r="AK16" s="161" t="n">
        <f aca="true">RAND()</f>
        <v>0.0461770135809291</v>
      </c>
      <c r="AL16" s="161" t="n">
        <f aca="true">RAND()</f>
        <v>0.76952518901637</v>
      </c>
      <c r="AM16" s="161" t="n">
        <f aca="true">RAND()</f>
        <v>0.214331929736884</v>
      </c>
      <c r="AN16" s="161" t="n">
        <f aca="true">RAND()</f>
        <v>0.86103233456194</v>
      </c>
      <c r="AO16" s="161" t="n">
        <f aca="true">RAND()</f>
        <v>0.462543929673722</v>
      </c>
      <c r="AP16" s="161" t="n">
        <f aca="true">RAND()</f>
        <v>0.516359677664454</v>
      </c>
      <c r="AQ16" s="161" t="n">
        <f aca="true">RAND()</f>
        <v>0.525746173247138</v>
      </c>
      <c r="AR16" s="161" t="n">
        <f aca="true">RAND()</f>
        <v>0.146964067674145</v>
      </c>
      <c r="AS16" s="161" t="n">
        <f aca="true">RAND()</f>
        <v>0.804181559127655</v>
      </c>
      <c r="AT16" s="161" t="n">
        <f aca="true">RAND()</f>
        <v>0.411025618638153</v>
      </c>
      <c r="AU16" s="161" t="n">
        <f aca="true">RAND()</f>
        <v>0.727992273716199</v>
      </c>
      <c r="AV16" s="161" t="n">
        <f aca="true">RAND()</f>
        <v>0.555806064756748</v>
      </c>
      <c r="AW16" s="161" t="n">
        <f aca="true">RAND()</f>
        <v>0.694708175153027</v>
      </c>
      <c r="AX16" s="161" t="n">
        <f aca="true">RAND()</f>
        <v>0.184849368813593</v>
      </c>
      <c r="AY16" s="161" t="n">
        <f aca="true">RAND()</f>
        <v>0.969314090461949</v>
      </c>
      <c r="AZ16" s="161" t="n">
        <f aca="true">RAND()</f>
        <v>0.610514278824117</v>
      </c>
      <c r="BA16" s="161" t="n">
        <f aca="true">RAND()</f>
        <v>0.717986400403212</v>
      </c>
      <c r="BB16" s="161" t="n">
        <f aca="true">RAND()</f>
        <v>0.248443429317127</v>
      </c>
      <c r="BC16" s="161" t="n">
        <f aca="true">RAND()</f>
        <v>0.218126005552401</v>
      </c>
      <c r="BD16" s="161" t="n">
        <f aca="true">RAND()</f>
        <v>0.763581550540879</v>
      </c>
      <c r="BE16" s="161" t="n">
        <f aca="true">RAND()</f>
        <v>0.206528045792576</v>
      </c>
      <c r="BF16" s="161" t="n">
        <f aca="true">RAND()</f>
        <v>0.711418824813388</v>
      </c>
      <c r="BG16" s="161" t="n">
        <f aca="true">RAND()</f>
        <v>0.284195110457197</v>
      </c>
      <c r="BH16" s="161" t="n">
        <f aca="true">RAND()</f>
        <v>0.777103863290039</v>
      </c>
      <c r="BI16" s="161" t="n">
        <f aca="true">RAND()</f>
        <v>0.391724680037387</v>
      </c>
      <c r="BJ16" s="161" t="n">
        <f aca="true">RAND()</f>
        <v>0.449991353164209</v>
      </c>
      <c r="BK16" s="161" t="n">
        <f aca="true">RAND()</f>
        <v>0.676015198943694</v>
      </c>
      <c r="BL16" s="161" t="n">
        <f aca="true">RAND()</f>
        <v>0.51054150424395</v>
      </c>
      <c r="BM16" s="161" t="n">
        <f aca="true">RAND()</f>
        <v>0.736929842875743</v>
      </c>
      <c r="BN16" s="161" t="n">
        <f aca="true">RAND()</f>
        <v>0.288377397815539</v>
      </c>
      <c r="BO16" s="161" t="n">
        <f aca="true">RAND()</f>
        <v>0.00246366057265673</v>
      </c>
      <c r="BP16" s="161" t="n">
        <f aca="true">RAND()</f>
        <v>0.999454409701078</v>
      </c>
      <c r="BQ16" s="161" t="n">
        <f aca="true">RAND()</f>
        <v>0.718080931543466</v>
      </c>
      <c r="BR16" s="161" t="n">
        <f aca="true">RAND()</f>
        <v>0.649198087775387</v>
      </c>
      <c r="BS16" s="161" t="n">
        <f aca="true">RAND()</f>
        <v>0.71750433557487</v>
      </c>
      <c r="BT16" s="161" t="n">
        <f aca="true">RAND()</f>
        <v>0.959617632125974</v>
      </c>
      <c r="BU16" s="161" t="n">
        <f aca="true">RAND()</f>
        <v>0.158846844999849</v>
      </c>
      <c r="BV16" s="161" t="n">
        <f aca="true">RAND()</f>
        <v>0.291363910239714</v>
      </c>
      <c r="BW16" s="161" t="n">
        <f aca="true">RAND()</f>
        <v>0.120026090304889</v>
      </c>
      <c r="BX16" s="161" t="n">
        <f aca="true">RAND()</f>
        <v>0.408601588324839</v>
      </c>
      <c r="BY16" s="161" t="n">
        <f aca="true">RAND()</f>
        <v>0.633229880269394</v>
      </c>
      <c r="BZ16" s="162" t="n">
        <f aca="false">Simulator!K19*Simulator!$D$5+Simulator!L19*Simulator!$D$6+Simulator!M19*Simulator!$D$7+Simulator!N19*Simulator!$D$8+Simulator!O19*Simulator!$D$9+Simulator!P19*Simulator!$D$10</f>
        <v>0.685179729994145</v>
      </c>
      <c r="CA16" s="162" t="n">
        <f aca="false">IF($BZ16=0,0.1667,(Simulator!K19*Simulator!$D$5)/$BZ16)</f>
        <v>0.34758008517269</v>
      </c>
      <c r="CB16" s="162" t="n">
        <f aca="false">IF($BZ16=0,0.3333,(Simulator!K19*Simulator!$D$5+Simulator!L19*Simulator!$D$6)/$BZ16)</f>
        <v>0.895245310771122</v>
      </c>
      <c r="CC16" s="162" t="n">
        <f aca="false">IF($BZ16=0,0.5,(Simulator!K19*Simulator!$D$5+Simulator!L19*Simulator!$D$6+Simulator!M19*Simulator!$D$7)/$BZ16)</f>
        <v>0.951286365959419</v>
      </c>
      <c r="CD16" s="162" t="n">
        <f aca="false">IF($BZ16=0,0.6667,(Simulator!K19*Simulator!$D$5+Simulator!L19*Simulator!$D$6+Simulator!M19*Simulator!$D$7+Simulator!N19*Simulator!$D$8)/$BZ16)</f>
        <v>0.995017862328984</v>
      </c>
      <c r="CE16" s="162" t="n">
        <f aca="false">IF($BZ16=0,0.8333,(Simulator!K19*Simulator!$D$5+Simulator!L19*Simulator!$D$6+Simulator!M19*Simulator!$D$7+Simulator!N19*Simulator!$D$8+Simulator!O19*Simulator!$D$9)/$BZ16)</f>
        <v>1</v>
      </c>
    </row>
    <row r="17" customFormat="false" ht="15" hidden="false" customHeight="false" outlineLevel="0" collapsed="false">
      <c r="A17" s="160" t="s">
        <v>59</v>
      </c>
      <c r="B17" s="161" t="n">
        <f aca="true">RAND()</f>
        <v>0.509646907743358</v>
      </c>
      <c r="C17" s="161" t="n">
        <f aca="true">RAND()</f>
        <v>0.188294117105014</v>
      </c>
      <c r="D17" s="161" t="n">
        <f aca="true">RAND()</f>
        <v>0.70362491558972</v>
      </c>
      <c r="E17" s="161" t="n">
        <f aca="true">RAND()</f>
        <v>0.906526138440685</v>
      </c>
      <c r="F17" s="161" t="n">
        <f aca="true">RAND()</f>
        <v>0.927426804334812</v>
      </c>
      <c r="G17" s="161" t="n">
        <f aca="true">RAND()</f>
        <v>0.803805546462583</v>
      </c>
      <c r="H17" s="161" t="n">
        <f aca="true">RAND()</f>
        <v>0.170615139440373</v>
      </c>
      <c r="I17" s="161" t="n">
        <f aca="true">RAND()</f>
        <v>0.358842927164368</v>
      </c>
      <c r="J17" s="161" t="n">
        <f aca="true">RAND()</f>
        <v>0.297610490534146</v>
      </c>
      <c r="K17" s="161" t="n">
        <f aca="true">RAND()</f>
        <v>0.305574472194325</v>
      </c>
      <c r="L17" s="161" t="n">
        <f aca="true">RAND()</f>
        <v>0.784265358751177</v>
      </c>
      <c r="M17" s="161" t="n">
        <f aca="true">RAND()</f>
        <v>0.295355482040181</v>
      </c>
      <c r="N17" s="161" t="n">
        <f aca="true">RAND()</f>
        <v>0.209605633752738</v>
      </c>
      <c r="O17" s="161" t="n">
        <f aca="true">RAND()</f>
        <v>0.569258297001917</v>
      </c>
      <c r="P17" s="161" t="n">
        <f aca="true">RAND()</f>
        <v>0.381683197722295</v>
      </c>
      <c r="Q17" s="161" t="n">
        <f aca="true">RAND()</f>
        <v>0.0488570549534086</v>
      </c>
      <c r="R17" s="161" t="n">
        <f aca="true">RAND()</f>
        <v>0.912564430624094</v>
      </c>
      <c r="S17" s="161" t="n">
        <f aca="true">RAND()</f>
        <v>0.371331513602498</v>
      </c>
      <c r="T17" s="161" t="n">
        <f aca="true">RAND()</f>
        <v>0.922187197092719</v>
      </c>
      <c r="U17" s="161" t="n">
        <f aca="true">RAND()</f>
        <v>0.758274850403584</v>
      </c>
      <c r="V17" s="161" t="n">
        <f aca="true">RAND()</f>
        <v>0.726145418593088</v>
      </c>
      <c r="W17" s="161" t="n">
        <f aca="true">RAND()</f>
        <v>0.279800624444759</v>
      </c>
      <c r="X17" s="161" t="n">
        <f aca="true">RAND()</f>
        <v>0.466391889042269</v>
      </c>
      <c r="Y17" s="161" t="n">
        <f aca="true">RAND()</f>
        <v>0.419389944109431</v>
      </c>
      <c r="Z17" s="161" t="n">
        <f aca="true">RAND()</f>
        <v>0.531365526768525</v>
      </c>
      <c r="AA17" s="161" t="n">
        <f aca="true">RAND()</f>
        <v>0.628351603042274</v>
      </c>
      <c r="AB17" s="161" t="n">
        <f aca="true">RAND()</f>
        <v>0.722140385411222</v>
      </c>
      <c r="AC17" s="161" t="n">
        <f aca="true">RAND()</f>
        <v>0.200250129643671</v>
      </c>
      <c r="AD17" s="161" t="n">
        <f aca="true">RAND()</f>
        <v>0.00324094867547319</v>
      </c>
      <c r="AE17" s="161" t="n">
        <f aca="true">RAND()</f>
        <v>0.359564392892068</v>
      </c>
      <c r="AF17" s="161" t="n">
        <f aca="true">RAND()</f>
        <v>0.16318427438975</v>
      </c>
      <c r="AG17" s="161" t="n">
        <f aca="true">RAND()</f>
        <v>0.281230671207075</v>
      </c>
      <c r="AH17" s="161" t="n">
        <f aca="true">RAND()</f>
        <v>0.157620840862444</v>
      </c>
      <c r="AI17" s="161" t="n">
        <f aca="true">RAND()</f>
        <v>0.694756621158091</v>
      </c>
      <c r="AJ17" s="161" t="n">
        <f aca="true">RAND()</f>
        <v>0.532300393615284</v>
      </c>
      <c r="AK17" s="161" t="n">
        <f aca="true">RAND()</f>
        <v>0.682988268659744</v>
      </c>
      <c r="AL17" s="161" t="n">
        <f aca="true">RAND()</f>
        <v>0.602338896171712</v>
      </c>
      <c r="AM17" s="161" t="n">
        <f aca="true">RAND()</f>
        <v>0.385426244279482</v>
      </c>
      <c r="AN17" s="161" t="n">
        <f aca="true">RAND()</f>
        <v>0.858588397018906</v>
      </c>
      <c r="AO17" s="161" t="n">
        <f aca="true">RAND()</f>
        <v>0.853046154199276</v>
      </c>
      <c r="AP17" s="161" t="n">
        <f aca="true">RAND()</f>
        <v>0.217864491626211</v>
      </c>
      <c r="AQ17" s="161" t="n">
        <f aca="true">RAND()</f>
        <v>0.0317079718994273</v>
      </c>
      <c r="AR17" s="161" t="n">
        <f aca="true">RAND()</f>
        <v>0.886246231690672</v>
      </c>
      <c r="AS17" s="161" t="n">
        <f aca="true">RAND()</f>
        <v>0.691300025048012</v>
      </c>
      <c r="AT17" s="161" t="n">
        <f aca="true">RAND()</f>
        <v>0.908006243093367</v>
      </c>
      <c r="AU17" s="161" t="n">
        <f aca="true">RAND()</f>
        <v>0.893288131170808</v>
      </c>
      <c r="AV17" s="161" t="n">
        <f aca="true">RAND()</f>
        <v>0.417847840798434</v>
      </c>
      <c r="AW17" s="161" t="n">
        <f aca="true">RAND()</f>
        <v>0.417604169468788</v>
      </c>
      <c r="AX17" s="161" t="n">
        <f aca="true">RAND()</f>
        <v>0.381481413346872</v>
      </c>
      <c r="AY17" s="161" t="n">
        <f aca="true">RAND()</f>
        <v>0.379783305114269</v>
      </c>
      <c r="AZ17" s="161" t="n">
        <f aca="true">RAND()</f>
        <v>0.844741916236197</v>
      </c>
      <c r="BA17" s="161" t="n">
        <f aca="true">RAND()</f>
        <v>0.876174712066667</v>
      </c>
      <c r="BB17" s="161" t="n">
        <f aca="true">RAND()</f>
        <v>0.685123459374076</v>
      </c>
      <c r="BC17" s="161" t="n">
        <f aca="true">RAND()</f>
        <v>0.394551179893391</v>
      </c>
      <c r="BD17" s="161" t="n">
        <f aca="true">RAND()</f>
        <v>0.895290949036915</v>
      </c>
      <c r="BE17" s="161" t="n">
        <f aca="true">RAND()</f>
        <v>0.446575155889547</v>
      </c>
      <c r="BF17" s="161" t="n">
        <f aca="true">RAND()</f>
        <v>0.899898810560736</v>
      </c>
      <c r="BG17" s="161" t="n">
        <f aca="true">RAND()</f>
        <v>0.166923323610201</v>
      </c>
      <c r="BH17" s="161" t="n">
        <f aca="true">RAND()</f>
        <v>0.200708304906561</v>
      </c>
      <c r="BI17" s="161" t="n">
        <f aca="true">RAND()</f>
        <v>0.252864251803325</v>
      </c>
      <c r="BJ17" s="161" t="n">
        <f aca="true">RAND()</f>
        <v>0.290948643126215</v>
      </c>
      <c r="BK17" s="161" t="n">
        <f aca="true">RAND()</f>
        <v>0.270270543832758</v>
      </c>
      <c r="BL17" s="161" t="n">
        <f aca="true">RAND()</f>
        <v>0.614660597647329</v>
      </c>
      <c r="BM17" s="161" t="n">
        <f aca="true">RAND()</f>
        <v>0.607537831256317</v>
      </c>
      <c r="BN17" s="161" t="n">
        <f aca="true">RAND()</f>
        <v>0.537027008797522</v>
      </c>
      <c r="BO17" s="161" t="n">
        <f aca="true">RAND()</f>
        <v>0.36182868704425</v>
      </c>
      <c r="BP17" s="161" t="n">
        <f aca="true">RAND()</f>
        <v>0.674021720320424</v>
      </c>
      <c r="BQ17" s="161" t="n">
        <f aca="true">RAND()</f>
        <v>0.257359883132874</v>
      </c>
      <c r="BR17" s="161" t="n">
        <f aca="true">RAND()</f>
        <v>0.928093781489392</v>
      </c>
      <c r="BS17" s="161" t="n">
        <f aca="true">RAND()</f>
        <v>0.0358583935723198</v>
      </c>
      <c r="BT17" s="161" t="n">
        <f aca="true">RAND()</f>
        <v>0.528111374986477</v>
      </c>
      <c r="BU17" s="161" t="n">
        <f aca="true">RAND()</f>
        <v>0.372083222400997</v>
      </c>
      <c r="BV17" s="161" t="n">
        <f aca="true">RAND()</f>
        <v>0.223968492563588</v>
      </c>
      <c r="BW17" s="161" t="n">
        <f aca="true">RAND()</f>
        <v>0.656589868827499</v>
      </c>
      <c r="BX17" s="161" t="n">
        <f aca="true">RAND()</f>
        <v>0.312393424992346</v>
      </c>
      <c r="BY17" s="161" t="n">
        <f aca="true">RAND()</f>
        <v>0.650767140164101</v>
      </c>
      <c r="BZ17" s="162" t="n">
        <f aca="false">Simulator!K20*Simulator!$D$5+Simulator!L20*Simulator!$D$6+Simulator!M20*Simulator!$D$7+Simulator!N20*Simulator!$D$8+Simulator!O20*Simulator!$D$9+Simulator!P20*Simulator!$D$10</f>
        <v>0.66799200537172</v>
      </c>
      <c r="CA17" s="162" t="n">
        <f aca="false">IF($BZ17=0,0.1667,(Simulator!K20*Simulator!$D$5)/$BZ17)</f>
        <v>0.417103402999113</v>
      </c>
      <c r="CB17" s="162" t="n">
        <f aca="false">IF($BZ17=0,0.3333,(Simulator!K20*Simulator!$D$5+Simulator!L20*Simulator!$D$6)/$BZ17)</f>
        <v>0.885225583436177</v>
      </c>
      <c r="CC17" s="162" t="n">
        <f aca="false">IF($BZ17=0,0.5,(Simulator!K20*Simulator!$D$5+Simulator!L20*Simulator!$D$6+Simulator!M20*Simulator!$D$7)/$BZ17)</f>
        <v>0.922615691027394</v>
      </c>
      <c r="CD17" s="162" t="n">
        <f aca="false">IF($BZ17=0,0.6667,(Simulator!K20*Simulator!$D$5+Simulator!L20*Simulator!$D$6+Simulator!M20*Simulator!$D$7+Simulator!N20*Simulator!$D$8)/$BZ17)</f>
        <v>0.994903116386717</v>
      </c>
      <c r="CE17" s="162" t="n">
        <f aca="false">IF($BZ17=0,0.8333,(Simulator!K20*Simulator!$D$5+Simulator!L20*Simulator!$D$6+Simulator!M20*Simulator!$D$7+Simulator!N20*Simulator!$D$8+Simulator!O20*Simulator!$D$9)/$BZ17)</f>
        <v>1</v>
      </c>
    </row>
    <row r="18" customFormat="false" ht="15" hidden="false" customHeight="false" outlineLevel="0" collapsed="false">
      <c r="A18" s="160" t="s">
        <v>60</v>
      </c>
      <c r="B18" s="161" t="n">
        <f aca="true">RAND()</f>
        <v>0.079634327396009</v>
      </c>
      <c r="C18" s="161" t="n">
        <f aca="true">RAND()</f>
        <v>0.671272737657436</v>
      </c>
      <c r="D18" s="161" t="n">
        <f aca="true">RAND()</f>
        <v>0.0468964653158682</v>
      </c>
      <c r="E18" s="161" t="n">
        <f aca="true">RAND()</f>
        <v>0.253505483846415</v>
      </c>
      <c r="F18" s="161" t="n">
        <f aca="true">RAND()</f>
        <v>0.964297869063986</v>
      </c>
      <c r="G18" s="161" t="n">
        <f aca="true">RAND()</f>
        <v>0.225333868403713</v>
      </c>
      <c r="H18" s="161" t="n">
        <f aca="true">RAND()</f>
        <v>0.181754935563286</v>
      </c>
      <c r="I18" s="161" t="n">
        <f aca="true">RAND()</f>
        <v>0.571772965318699</v>
      </c>
      <c r="J18" s="161" t="n">
        <f aca="true">RAND()</f>
        <v>0.0634128168538376</v>
      </c>
      <c r="K18" s="161" t="n">
        <f aca="true">RAND()</f>
        <v>0.0475909942159414</v>
      </c>
      <c r="L18" s="161" t="n">
        <f aca="true">RAND()</f>
        <v>0.326054159324137</v>
      </c>
      <c r="M18" s="161" t="n">
        <f aca="true">RAND()</f>
        <v>0.81163469140351</v>
      </c>
      <c r="N18" s="161" t="n">
        <f aca="true">RAND()</f>
        <v>0.577729160419308</v>
      </c>
      <c r="O18" s="161" t="n">
        <f aca="true">RAND()</f>
        <v>0.515368580091556</v>
      </c>
      <c r="P18" s="161" t="n">
        <f aca="true">RAND()</f>
        <v>0.109536172945105</v>
      </c>
      <c r="Q18" s="161" t="n">
        <f aca="true">RAND()</f>
        <v>0.51563397522339</v>
      </c>
      <c r="R18" s="161" t="n">
        <f aca="true">RAND()</f>
        <v>0.0458740717805768</v>
      </c>
      <c r="S18" s="161" t="n">
        <f aca="true">RAND()</f>
        <v>0.903505919907238</v>
      </c>
      <c r="T18" s="161" t="n">
        <f aca="true">RAND()</f>
        <v>0.67278191689841</v>
      </c>
      <c r="U18" s="161" t="n">
        <f aca="true">RAND()</f>
        <v>0.108377513189979</v>
      </c>
      <c r="V18" s="161" t="n">
        <f aca="true">RAND()</f>
        <v>0.365684046117598</v>
      </c>
      <c r="W18" s="161" t="n">
        <f aca="true">RAND()</f>
        <v>0.880050253517512</v>
      </c>
      <c r="X18" s="161" t="n">
        <f aca="true">RAND()</f>
        <v>0.718478320799135</v>
      </c>
      <c r="Y18" s="161" t="n">
        <f aca="true">RAND()</f>
        <v>0.998919189399157</v>
      </c>
      <c r="Z18" s="161" t="n">
        <f aca="true">RAND()</f>
        <v>0.843469703492816</v>
      </c>
      <c r="AA18" s="161" t="n">
        <f aca="true">RAND()</f>
        <v>0.659608028589145</v>
      </c>
      <c r="AB18" s="161" t="n">
        <f aca="true">RAND()</f>
        <v>0.535727015115456</v>
      </c>
      <c r="AC18" s="161" t="n">
        <f aca="true">RAND()</f>
        <v>0.139329309659413</v>
      </c>
      <c r="AD18" s="161" t="n">
        <f aca="true">RAND()</f>
        <v>0.139561520649531</v>
      </c>
      <c r="AE18" s="161" t="n">
        <f aca="true">RAND()</f>
        <v>0.420458020480491</v>
      </c>
      <c r="AF18" s="161" t="n">
        <f aca="true">RAND()</f>
        <v>0.871317851081557</v>
      </c>
      <c r="AG18" s="161" t="n">
        <f aca="true">RAND()</f>
        <v>0.535923979735764</v>
      </c>
      <c r="AH18" s="161" t="n">
        <f aca="true">RAND()</f>
        <v>0.879838699087369</v>
      </c>
      <c r="AI18" s="161" t="n">
        <f aca="true">RAND()</f>
        <v>0.595209720776696</v>
      </c>
      <c r="AJ18" s="161" t="n">
        <f aca="true">RAND()</f>
        <v>0.282193681006121</v>
      </c>
      <c r="AK18" s="161" t="n">
        <f aca="true">RAND()</f>
        <v>0.470817987382635</v>
      </c>
      <c r="AL18" s="161" t="n">
        <f aca="true">RAND()</f>
        <v>0.556454064002231</v>
      </c>
      <c r="AM18" s="161" t="n">
        <f aca="true">RAND()</f>
        <v>0.0317744783248188</v>
      </c>
      <c r="AN18" s="161" t="n">
        <f aca="true">RAND()</f>
        <v>0.246609843139717</v>
      </c>
      <c r="AO18" s="161" t="n">
        <f aca="true">RAND()</f>
        <v>0.204651973527425</v>
      </c>
      <c r="AP18" s="161" t="n">
        <f aca="true">RAND()</f>
        <v>0.550874229503706</v>
      </c>
      <c r="AQ18" s="161" t="n">
        <f aca="true">RAND()</f>
        <v>0.361356132990746</v>
      </c>
      <c r="AR18" s="161" t="n">
        <f aca="true">RAND()</f>
        <v>0.879989681620564</v>
      </c>
      <c r="AS18" s="161" t="n">
        <f aca="true">RAND()</f>
        <v>0.781403640253482</v>
      </c>
      <c r="AT18" s="161" t="n">
        <f aca="true">RAND()</f>
        <v>0.398010567905207</v>
      </c>
      <c r="AU18" s="161" t="n">
        <f aca="true">RAND()</f>
        <v>0.597250614127892</v>
      </c>
      <c r="AV18" s="161" t="n">
        <f aca="true">RAND()</f>
        <v>0.658255543449141</v>
      </c>
      <c r="AW18" s="161" t="n">
        <f aca="true">RAND()</f>
        <v>0.298377822096576</v>
      </c>
      <c r="AX18" s="161" t="n">
        <f aca="true">RAND()</f>
        <v>0.172790294287411</v>
      </c>
      <c r="AY18" s="161" t="n">
        <f aca="true">RAND()</f>
        <v>0.546551726721563</v>
      </c>
      <c r="AZ18" s="161" t="n">
        <f aca="true">RAND()</f>
        <v>0.851672273708091</v>
      </c>
      <c r="BA18" s="161" t="n">
        <f aca="true">RAND()</f>
        <v>0.592556017003004</v>
      </c>
      <c r="BB18" s="161" t="n">
        <f aca="true">RAND()</f>
        <v>0.151066477351826</v>
      </c>
      <c r="BC18" s="161" t="n">
        <f aca="true">RAND()</f>
        <v>0.945254373542324</v>
      </c>
      <c r="BD18" s="161" t="n">
        <f aca="true">RAND()</f>
        <v>0.230242247451723</v>
      </c>
      <c r="BE18" s="161" t="n">
        <f aca="true">RAND()</f>
        <v>0.502689280250348</v>
      </c>
      <c r="BF18" s="161" t="n">
        <f aca="true">RAND()</f>
        <v>0.747692843114991</v>
      </c>
      <c r="BG18" s="161" t="n">
        <f aca="true">RAND()</f>
        <v>0.495335593100764</v>
      </c>
      <c r="BH18" s="161" t="n">
        <f aca="true">RAND()</f>
        <v>0.354268150611895</v>
      </c>
      <c r="BI18" s="161" t="n">
        <f aca="true">RAND()</f>
        <v>0.712210240610479</v>
      </c>
      <c r="BJ18" s="161" t="n">
        <f aca="true">RAND()</f>
        <v>0.0953420612801955</v>
      </c>
      <c r="BK18" s="161" t="n">
        <f aca="true">RAND()</f>
        <v>0.808543845922036</v>
      </c>
      <c r="BL18" s="161" t="n">
        <f aca="true">RAND()</f>
        <v>0.805815116440931</v>
      </c>
      <c r="BM18" s="161" t="n">
        <f aca="true">RAND()</f>
        <v>0.35040007926221</v>
      </c>
      <c r="BN18" s="161" t="n">
        <f aca="true">RAND()</f>
        <v>0.635465213276467</v>
      </c>
      <c r="BO18" s="161" t="n">
        <f aca="true">RAND()</f>
        <v>0.0515875866089747</v>
      </c>
      <c r="BP18" s="161" t="n">
        <f aca="true">RAND()</f>
        <v>0.777873573975758</v>
      </c>
      <c r="BQ18" s="161" t="n">
        <f aca="true">RAND()</f>
        <v>0.740073165885387</v>
      </c>
      <c r="BR18" s="161" t="n">
        <f aca="true">RAND()</f>
        <v>0.175637776451838</v>
      </c>
      <c r="BS18" s="161" t="n">
        <f aca="true">RAND()</f>
        <v>0.567393487900682</v>
      </c>
      <c r="BT18" s="161" t="n">
        <f aca="true">RAND()</f>
        <v>0.0340346529123006</v>
      </c>
      <c r="BU18" s="161" t="n">
        <f aca="true">RAND()</f>
        <v>0.887431986124348</v>
      </c>
      <c r="BV18" s="161" t="n">
        <f aca="true">RAND()</f>
        <v>0.664657595758911</v>
      </c>
      <c r="BW18" s="161" t="n">
        <f aca="true">RAND()</f>
        <v>0.522657328725836</v>
      </c>
      <c r="BX18" s="161" t="n">
        <f aca="true">RAND()</f>
        <v>0.0725693253105749</v>
      </c>
      <c r="BY18" s="161" t="n">
        <f aca="true">RAND()</f>
        <v>0.104939183855582</v>
      </c>
      <c r="BZ18" s="162" t="n">
        <f aca="false">Simulator!K21*Simulator!$D$5+Simulator!L21*Simulator!$D$6+Simulator!M21*Simulator!$D$7+Simulator!N21*Simulator!$D$8+Simulator!O21*Simulator!$D$9+Simulator!P21*Simulator!$D$10</f>
        <v>0.657266581476626</v>
      </c>
      <c r="CA18" s="162" t="n">
        <f aca="false">IF($BZ18=0,0.1667,(Simulator!K21*Simulator!$D$5)/$BZ18)</f>
        <v>0.381742858876128</v>
      </c>
      <c r="CB18" s="162" t="n">
        <f aca="false">IF($BZ18=0,0.3333,(Simulator!K21*Simulator!$D$5+Simulator!L21*Simulator!$D$6)/$BZ18)</f>
        <v>0.879401286467328</v>
      </c>
      <c r="CC18" s="162" t="n">
        <f aca="false">IF($BZ18=0,0.5,(Simulator!K21*Simulator!$D$5+Simulator!L21*Simulator!$D$6+Simulator!M21*Simulator!$D$7)/$BZ18)</f>
        <v>0.936757619466387</v>
      </c>
      <c r="CD18" s="162" t="n">
        <f aca="false">IF($BZ18=0,0.6667,(Simulator!K21*Simulator!$D$5+Simulator!L21*Simulator!$D$6+Simulator!M21*Simulator!$D$7+Simulator!N21*Simulator!$D$8)/$BZ18)</f>
        <v>0.994689333377393</v>
      </c>
      <c r="CE18" s="162" t="n">
        <f aca="false">IF($BZ18=0,0.8333,(Simulator!K21*Simulator!$D$5+Simulator!L21*Simulator!$D$6+Simulator!M21*Simulator!$D$7+Simulator!N21*Simulator!$D$8+Simulator!O21*Simulator!$D$9)/$BZ18)</f>
        <v>1</v>
      </c>
    </row>
    <row r="19" customFormat="false" ht="15" hidden="false" customHeight="false" outlineLevel="0" collapsed="false">
      <c r="A19" s="160" t="s">
        <v>61</v>
      </c>
      <c r="B19" s="161" t="n">
        <f aca="true">RAND()</f>
        <v>0.91281376485348</v>
      </c>
      <c r="C19" s="161" t="n">
        <f aca="true">RAND()</f>
        <v>0.202465069671272</v>
      </c>
      <c r="D19" s="161" t="n">
        <f aca="true">RAND()</f>
        <v>0.362406497185178</v>
      </c>
      <c r="E19" s="161" t="n">
        <f aca="true">RAND()</f>
        <v>0.369221330654562</v>
      </c>
      <c r="F19" s="161" t="n">
        <f aca="true">RAND()</f>
        <v>0.60909360355767</v>
      </c>
      <c r="G19" s="161" t="n">
        <f aca="true">RAND()</f>
        <v>0.0807255053523117</v>
      </c>
      <c r="H19" s="161" t="n">
        <f aca="true">RAND()</f>
        <v>0.465893580179934</v>
      </c>
      <c r="I19" s="161" t="n">
        <f aca="true">RAND()</f>
        <v>0.504952598171794</v>
      </c>
      <c r="J19" s="161" t="n">
        <f aca="true">RAND()</f>
        <v>0.801386015344932</v>
      </c>
      <c r="K19" s="161" t="n">
        <f aca="true">RAND()</f>
        <v>0.516163220084066</v>
      </c>
      <c r="L19" s="161" t="n">
        <f aca="true">RAND()</f>
        <v>0.037772658388327</v>
      </c>
      <c r="M19" s="161" t="n">
        <f aca="true">RAND()</f>
        <v>0.245271097537274</v>
      </c>
      <c r="N19" s="161" t="n">
        <f aca="true">RAND()</f>
        <v>0.746622202059971</v>
      </c>
      <c r="O19" s="161" t="n">
        <f aca="true">RAND()</f>
        <v>0.519024105326416</v>
      </c>
      <c r="P19" s="161" t="n">
        <f aca="true">RAND()</f>
        <v>0.632013551982149</v>
      </c>
      <c r="Q19" s="161" t="n">
        <f aca="true">RAND()</f>
        <v>0.395474612095073</v>
      </c>
      <c r="R19" s="161" t="n">
        <f aca="true">RAND()</f>
        <v>0.743132323124412</v>
      </c>
      <c r="S19" s="161" t="n">
        <f aca="true">RAND()</f>
        <v>0.864749304770081</v>
      </c>
      <c r="T19" s="161" t="n">
        <f aca="true">RAND()</f>
        <v>0.0158991128828468</v>
      </c>
      <c r="U19" s="161" t="n">
        <f aca="true">RAND()</f>
        <v>0.139573031751699</v>
      </c>
      <c r="V19" s="161" t="n">
        <f aca="true">RAND()</f>
        <v>0.292185826215431</v>
      </c>
      <c r="W19" s="161" t="n">
        <f aca="true">RAND()</f>
        <v>0.695248644959397</v>
      </c>
      <c r="X19" s="161" t="n">
        <f aca="true">RAND()</f>
        <v>0.935793819971202</v>
      </c>
      <c r="Y19" s="161" t="n">
        <f aca="true">RAND()</f>
        <v>0.803232368894292</v>
      </c>
      <c r="Z19" s="161" t="n">
        <f aca="true">RAND()</f>
        <v>0.197631939235478</v>
      </c>
      <c r="AA19" s="161" t="n">
        <f aca="true">RAND()</f>
        <v>0.0142909617013413</v>
      </c>
      <c r="AB19" s="161" t="n">
        <f aca="true">RAND()</f>
        <v>0.331515006263928</v>
      </c>
      <c r="AC19" s="161" t="n">
        <f aca="true">RAND()</f>
        <v>0.534748362747307</v>
      </c>
      <c r="AD19" s="161" t="n">
        <f aca="true">RAND()</f>
        <v>0.67439794008943</v>
      </c>
      <c r="AE19" s="161" t="n">
        <f aca="true">RAND()</f>
        <v>0.325862290013866</v>
      </c>
      <c r="AF19" s="161" t="n">
        <f aca="true">RAND()</f>
        <v>0.408880398246405</v>
      </c>
      <c r="AG19" s="161" t="n">
        <f aca="true">RAND()</f>
        <v>0.972880551175569</v>
      </c>
      <c r="AH19" s="161" t="n">
        <f aca="true">RAND()</f>
        <v>0.13293816983298</v>
      </c>
      <c r="AI19" s="161" t="n">
        <f aca="true">RAND()</f>
        <v>0.328435920221342</v>
      </c>
      <c r="AJ19" s="161" t="n">
        <f aca="true">RAND()</f>
        <v>0.467207011741719</v>
      </c>
      <c r="AK19" s="161" t="n">
        <f aca="true">RAND()</f>
        <v>0.00467749898068516</v>
      </c>
      <c r="AL19" s="161" t="n">
        <f aca="true">RAND()</f>
        <v>0.0283659049284963</v>
      </c>
      <c r="AM19" s="161" t="n">
        <f aca="true">RAND()</f>
        <v>0.664437384522059</v>
      </c>
      <c r="AN19" s="161" t="n">
        <f aca="true">RAND()</f>
        <v>0.786115204176963</v>
      </c>
      <c r="AO19" s="161" t="n">
        <f aca="true">RAND()</f>
        <v>0.300806355863292</v>
      </c>
      <c r="AP19" s="161" t="n">
        <f aca="true">RAND()</f>
        <v>0.969327337201599</v>
      </c>
      <c r="AQ19" s="161" t="n">
        <f aca="true">RAND()</f>
        <v>0.810708114973577</v>
      </c>
      <c r="AR19" s="161" t="n">
        <f aca="true">RAND()</f>
        <v>0.0100510342651881</v>
      </c>
      <c r="AS19" s="161" t="n">
        <f aca="true">RAND()</f>
        <v>0.943254024743953</v>
      </c>
      <c r="AT19" s="161" t="n">
        <f aca="true">RAND()</f>
        <v>0.742958149374097</v>
      </c>
      <c r="AU19" s="161" t="n">
        <f aca="true">RAND()</f>
        <v>0.789932228750596</v>
      </c>
      <c r="AV19" s="161" t="n">
        <f aca="true">RAND()</f>
        <v>0.442080632907932</v>
      </c>
      <c r="AW19" s="161" t="n">
        <f aca="true">RAND()</f>
        <v>0.927377249258549</v>
      </c>
      <c r="AX19" s="161" t="n">
        <f aca="true">RAND()</f>
        <v>0.0206545587083743</v>
      </c>
      <c r="AY19" s="161" t="n">
        <f aca="true">RAND()</f>
        <v>0.395747769414682</v>
      </c>
      <c r="AZ19" s="161" t="n">
        <f aca="true">RAND()</f>
        <v>0.656228500120896</v>
      </c>
      <c r="BA19" s="161" t="n">
        <f aca="true">RAND()</f>
        <v>0.878913304590957</v>
      </c>
      <c r="BB19" s="161" t="n">
        <f aca="true">RAND()</f>
        <v>0.0353110303558531</v>
      </c>
      <c r="BC19" s="161" t="n">
        <f aca="true">RAND()</f>
        <v>0.107327443195624</v>
      </c>
      <c r="BD19" s="161" t="n">
        <f aca="true">RAND()</f>
        <v>0.258062944793771</v>
      </c>
      <c r="BE19" s="161" t="n">
        <f aca="true">RAND()</f>
        <v>0.0381012786517938</v>
      </c>
      <c r="BF19" s="161" t="n">
        <f aca="true">RAND()</f>
        <v>0.789838467781042</v>
      </c>
      <c r="BG19" s="161" t="n">
        <f aca="true">RAND()</f>
        <v>0.207769848411786</v>
      </c>
      <c r="BH19" s="161" t="n">
        <f aca="true">RAND()</f>
        <v>0.477459054712091</v>
      </c>
      <c r="BI19" s="161" t="n">
        <f aca="true">RAND()</f>
        <v>0.22266236029571</v>
      </c>
      <c r="BJ19" s="161" t="n">
        <f aca="true">RAND()</f>
        <v>0.0564487603750032</v>
      </c>
      <c r="BK19" s="161" t="n">
        <f aca="true">RAND()</f>
        <v>0.0345255268058216</v>
      </c>
      <c r="BL19" s="161" t="n">
        <f aca="true">RAND()</f>
        <v>0.646241309103779</v>
      </c>
      <c r="BM19" s="161" t="n">
        <f aca="true">RAND()</f>
        <v>0.504320768801705</v>
      </c>
      <c r="BN19" s="161" t="n">
        <f aca="true">RAND()</f>
        <v>0.725790489457756</v>
      </c>
      <c r="BO19" s="161" t="n">
        <f aca="true">RAND()</f>
        <v>0.117992127284811</v>
      </c>
      <c r="BP19" s="161" t="n">
        <f aca="true">RAND()</f>
        <v>0.135223535089635</v>
      </c>
      <c r="BQ19" s="161" t="n">
        <f aca="true">RAND()</f>
        <v>0.923563301411299</v>
      </c>
      <c r="BR19" s="161" t="n">
        <f aca="true">RAND()</f>
        <v>0.615872620443879</v>
      </c>
      <c r="BS19" s="161" t="n">
        <f aca="true">RAND()</f>
        <v>0.101456015656772</v>
      </c>
      <c r="BT19" s="161" t="n">
        <f aca="true">RAND()</f>
        <v>0.792115430554039</v>
      </c>
      <c r="BU19" s="161" t="n">
        <f aca="true">RAND()</f>
        <v>0.3193512261767</v>
      </c>
      <c r="BV19" s="161" t="n">
        <f aca="true">RAND()</f>
        <v>0.865989008985902</v>
      </c>
      <c r="BW19" s="161" t="n">
        <f aca="true">RAND()</f>
        <v>0.415248671152182</v>
      </c>
      <c r="BX19" s="161" t="n">
        <f aca="true">RAND()</f>
        <v>0.0130588531648423</v>
      </c>
      <c r="BY19" s="161" t="n">
        <f aca="true">RAND()</f>
        <v>0.525372867587122</v>
      </c>
      <c r="BZ19" s="162" t="n">
        <f aca="false">Simulator!K22*Simulator!$D$5+Simulator!L22*Simulator!$D$6+Simulator!M22*Simulator!$D$7+Simulator!N22*Simulator!$D$8+Simulator!O22*Simulator!$D$9+Simulator!P22*Simulator!$D$10</f>
        <v>0.608784831960599</v>
      </c>
      <c r="CA19" s="162" t="n">
        <f aca="false">IF($BZ19=0,0.1667,(Simulator!K22*Simulator!$D$5)/$BZ19)</f>
        <v>0.506531166424164</v>
      </c>
      <c r="CB19" s="162" t="n">
        <f aca="false">IF($BZ19=0,0.3333,(Simulator!K22*Simulator!$D$5+Simulator!L22*Simulator!$D$6)/$BZ19)</f>
        <v>0.851857071067047</v>
      </c>
      <c r="CC19" s="162" t="n">
        <f aca="false">IF($BZ19=0,0.5,(Simulator!K22*Simulator!$D$5+Simulator!L22*Simulator!$D$6+Simulator!M22*Simulator!$D$7)/$BZ19)</f>
        <v>0.891891709039032</v>
      </c>
      <c r="CD19" s="162" t="n">
        <f aca="false">IF($BZ19=0,0.6667,(Simulator!K22*Simulator!$D$5+Simulator!L22*Simulator!$D$6+Simulator!M22*Simulator!$D$7+Simulator!N22*Simulator!$D$8)/$BZ19)</f>
        <v>0.993359506382847</v>
      </c>
      <c r="CE19" s="162" t="n">
        <f aca="false">IF($BZ19=0,0.8333,(Simulator!K22*Simulator!$D$5+Simulator!L22*Simulator!$D$6+Simulator!M22*Simulator!$D$7+Simulator!N22*Simulator!$D$8+Simulator!O22*Simulator!$D$9)/$BZ19)</f>
        <v>1</v>
      </c>
    </row>
    <row r="20" customFormat="false" ht="15" hidden="false" customHeight="false" outlineLevel="0" collapsed="false">
      <c r="A20" s="160" t="s">
        <v>63</v>
      </c>
      <c r="B20" s="161" t="n">
        <f aca="true">RAND()</f>
        <v>0.181453552223972</v>
      </c>
      <c r="C20" s="161" t="n">
        <f aca="true">RAND()</f>
        <v>0.54364940075872</v>
      </c>
      <c r="D20" s="161" t="n">
        <f aca="true">RAND()</f>
        <v>0.421632246815891</v>
      </c>
      <c r="E20" s="161" t="n">
        <f aca="true">RAND()</f>
        <v>0.884743178674472</v>
      </c>
      <c r="F20" s="161" t="n">
        <f aca="true">RAND()</f>
        <v>0.92540285191159</v>
      </c>
      <c r="G20" s="161" t="n">
        <f aca="true">RAND()</f>
        <v>0.377693468206057</v>
      </c>
      <c r="H20" s="161" t="n">
        <f aca="true">RAND()</f>
        <v>0.0692580263121508</v>
      </c>
      <c r="I20" s="161" t="n">
        <f aca="true">RAND()</f>
        <v>0.539762327564245</v>
      </c>
      <c r="J20" s="161" t="n">
        <f aca="true">RAND()</f>
        <v>0.533413979400754</v>
      </c>
      <c r="K20" s="161" t="n">
        <f aca="true">RAND()</f>
        <v>0.297240991598111</v>
      </c>
      <c r="L20" s="161" t="n">
        <f aca="true">RAND()</f>
        <v>0.715293800573053</v>
      </c>
      <c r="M20" s="161" t="n">
        <f aca="true">RAND()</f>
        <v>0.436296857075175</v>
      </c>
      <c r="N20" s="161" t="n">
        <f aca="true">RAND()</f>
        <v>0.803591254573008</v>
      </c>
      <c r="O20" s="161" t="n">
        <f aca="true">RAND()</f>
        <v>0.169670707472759</v>
      </c>
      <c r="P20" s="161" t="n">
        <f aca="true">RAND()</f>
        <v>0.539957653604912</v>
      </c>
      <c r="Q20" s="161" t="n">
        <f aca="true">RAND()</f>
        <v>0.109423046803515</v>
      </c>
      <c r="R20" s="161" t="n">
        <f aca="true">RAND()</f>
        <v>0.393459174288976</v>
      </c>
      <c r="S20" s="161" t="n">
        <f aca="true">RAND()</f>
        <v>0.12469696937879</v>
      </c>
      <c r="T20" s="161" t="n">
        <f aca="true">RAND()</f>
        <v>0.68074249852179</v>
      </c>
      <c r="U20" s="161" t="n">
        <f aca="true">RAND()</f>
        <v>0.0103301609621397</v>
      </c>
      <c r="V20" s="161" t="n">
        <f aca="true">RAND()</f>
        <v>0.325757654632495</v>
      </c>
      <c r="W20" s="161" t="n">
        <f aca="true">RAND()</f>
        <v>0.195363627425292</v>
      </c>
      <c r="X20" s="161" t="n">
        <f aca="true">RAND()</f>
        <v>0.585255806425664</v>
      </c>
      <c r="Y20" s="161" t="n">
        <f aca="true">RAND()</f>
        <v>0.58618360043356</v>
      </c>
      <c r="Z20" s="161" t="n">
        <f aca="true">RAND()</f>
        <v>0.337607582536628</v>
      </c>
      <c r="AA20" s="161" t="n">
        <f aca="true">RAND()</f>
        <v>0.91891950910025</v>
      </c>
      <c r="AB20" s="161" t="n">
        <f aca="true">RAND()</f>
        <v>0.983031768315755</v>
      </c>
      <c r="AC20" s="161" t="n">
        <f aca="true">RAND()</f>
        <v>0.0221206464367193</v>
      </c>
      <c r="AD20" s="161" t="n">
        <f aca="true">RAND()</f>
        <v>0.279788397927018</v>
      </c>
      <c r="AE20" s="161" t="n">
        <f aca="true">RAND()</f>
        <v>0.0569122377324615</v>
      </c>
      <c r="AF20" s="161" t="n">
        <f aca="true">RAND()</f>
        <v>0.277336082618819</v>
      </c>
      <c r="AG20" s="161" t="n">
        <f aca="true">RAND()</f>
        <v>0.178945696961972</v>
      </c>
      <c r="AH20" s="161" t="n">
        <f aca="true">RAND()</f>
        <v>0.739900586535715</v>
      </c>
      <c r="AI20" s="161" t="n">
        <f aca="true">RAND()</f>
        <v>0.807358581780974</v>
      </c>
      <c r="AJ20" s="161" t="n">
        <f aca="true">RAND()</f>
        <v>0.796236936474688</v>
      </c>
      <c r="AK20" s="161" t="n">
        <f aca="true">RAND()</f>
        <v>0.287242988094666</v>
      </c>
      <c r="AL20" s="161" t="n">
        <f aca="true">RAND()</f>
        <v>0.262738275402945</v>
      </c>
      <c r="AM20" s="161" t="n">
        <f aca="true">RAND()</f>
        <v>0.321059954920172</v>
      </c>
      <c r="AN20" s="161" t="n">
        <f aca="true">RAND()</f>
        <v>0.384638010993917</v>
      </c>
      <c r="AO20" s="161" t="n">
        <f aca="true">RAND()</f>
        <v>0.400601833048838</v>
      </c>
      <c r="AP20" s="161" t="n">
        <f aca="true">RAND()</f>
        <v>0.441952121108459</v>
      </c>
      <c r="AQ20" s="161" t="n">
        <f aca="true">RAND()</f>
        <v>0.811348939409726</v>
      </c>
      <c r="AR20" s="161" t="n">
        <f aca="true">RAND()</f>
        <v>0.512126697178412</v>
      </c>
      <c r="AS20" s="161" t="n">
        <f aca="true">RAND()</f>
        <v>0.625975222343325</v>
      </c>
      <c r="AT20" s="161" t="n">
        <f aca="true">RAND()</f>
        <v>0.0894255935665724</v>
      </c>
      <c r="AU20" s="161" t="n">
        <f aca="true">RAND()</f>
        <v>0.226391785120249</v>
      </c>
      <c r="AV20" s="161" t="n">
        <f aca="true">RAND()</f>
        <v>0.309587193985734</v>
      </c>
      <c r="AW20" s="161" t="n">
        <f aca="true">RAND()</f>
        <v>0.471204082793397</v>
      </c>
      <c r="AX20" s="161" t="n">
        <f aca="true">RAND()</f>
        <v>0.044923536308306</v>
      </c>
      <c r="AY20" s="161" t="n">
        <f aca="true">RAND()</f>
        <v>0.384723169949781</v>
      </c>
      <c r="AZ20" s="161" t="n">
        <f aca="true">RAND()</f>
        <v>0.981814438966042</v>
      </c>
      <c r="BA20" s="161" t="n">
        <f aca="true">RAND()</f>
        <v>0.675458425477816</v>
      </c>
      <c r="BB20" s="161" t="n">
        <f aca="true">RAND()</f>
        <v>0.720942052196578</v>
      </c>
      <c r="BC20" s="161" t="n">
        <f aca="true">RAND()</f>
        <v>0.345160599050212</v>
      </c>
      <c r="BD20" s="161" t="n">
        <f aca="true">RAND()</f>
        <v>0.112947889527169</v>
      </c>
      <c r="BE20" s="161" t="n">
        <f aca="true">RAND()</f>
        <v>0.56006297623608</v>
      </c>
      <c r="BF20" s="161" t="n">
        <f aca="true">RAND()</f>
        <v>0.171697879141469</v>
      </c>
      <c r="BG20" s="161" t="n">
        <f aca="true">RAND()</f>
        <v>0.514611683535661</v>
      </c>
      <c r="BH20" s="161" t="n">
        <f aca="true">RAND()</f>
        <v>0.610677063540049</v>
      </c>
      <c r="BI20" s="161" t="n">
        <f aca="true">RAND()</f>
        <v>0.117421469226086</v>
      </c>
      <c r="BJ20" s="161" t="n">
        <f aca="true">RAND()</f>
        <v>0.194006788752067</v>
      </c>
      <c r="BK20" s="161" t="n">
        <f aca="true">RAND()</f>
        <v>0.680186705920931</v>
      </c>
      <c r="BL20" s="161" t="n">
        <f aca="true">RAND()</f>
        <v>0.911242037821404</v>
      </c>
      <c r="BM20" s="161" t="n">
        <f aca="true">RAND()</f>
        <v>0.359382894286059</v>
      </c>
      <c r="BN20" s="161" t="n">
        <f aca="true">RAND()</f>
        <v>0.2075996510268</v>
      </c>
      <c r="BO20" s="161" t="n">
        <f aca="true">RAND()</f>
        <v>0.739115772733084</v>
      </c>
      <c r="BP20" s="161" t="n">
        <f aca="true">RAND()</f>
        <v>0.955085334302192</v>
      </c>
      <c r="BQ20" s="161" t="n">
        <f aca="true">RAND()</f>
        <v>0.31531088077042</v>
      </c>
      <c r="BR20" s="161" t="n">
        <f aca="true">RAND()</f>
        <v>0.216147197915434</v>
      </c>
      <c r="BS20" s="161" t="n">
        <f aca="true">RAND()</f>
        <v>0.473862613749536</v>
      </c>
      <c r="BT20" s="161" t="n">
        <f aca="true">RAND()</f>
        <v>0.466743619054188</v>
      </c>
      <c r="BU20" s="161" t="n">
        <f aca="true">RAND()</f>
        <v>0.294563802493656</v>
      </c>
      <c r="BV20" s="161" t="n">
        <f aca="true">RAND()</f>
        <v>0.299269261931198</v>
      </c>
      <c r="BW20" s="161" t="n">
        <f aca="true">RAND()</f>
        <v>0.903389348874793</v>
      </c>
      <c r="BX20" s="161" t="n">
        <f aca="true">RAND()</f>
        <v>0.61312597721779</v>
      </c>
      <c r="BY20" s="161" t="n">
        <f aca="true">RAND()</f>
        <v>0.390628008613747</v>
      </c>
      <c r="BZ20" s="162" t="n">
        <f aca="false">Simulator!K23*Simulator!$D$5+Simulator!L23*Simulator!$D$6+Simulator!M23*Simulator!$D$7+Simulator!N23*Simulator!$D$8+Simulator!O23*Simulator!$D$9+Simulator!P23*Simulator!$D$10</f>
        <v>0.646404413746041</v>
      </c>
      <c r="CA20" s="162" t="n">
        <f aca="false">IF($BZ20=0,0.1667,(Simulator!K23*Simulator!$D$5)/$BZ20)</f>
        <v>0.349223217810941</v>
      </c>
      <c r="CB20" s="162" t="n">
        <f aca="false">IF($BZ20=0,0.3333,(Simulator!K23*Simulator!$D$5+Simulator!L23*Simulator!$D$6)/$BZ20)</f>
        <v>0.878254405486568</v>
      </c>
      <c r="CC20" s="162" t="n">
        <f aca="false">IF($BZ20=0,0.5,(Simulator!K23*Simulator!$D$5+Simulator!L23*Simulator!$D$6+Simulator!M23*Simulator!$D$7)/$BZ20)</f>
        <v>0.926052081568439</v>
      </c>
      <c r="CD20" s="162" t="n">
        <f aca="false">IF($BZ20=0,0.6667,(Simulator!K23*Simulator!$D$5+Simulator!L23*Simulator!$D$6+Simulator!M23*Simulator!$D$7+Simulator!N23*Simulator!$D$8)/$BZ20)</f>
        <v>0.993473033629617</v>
      </c>
      <c r="CE20" s="162" t="n">
        <f aca="false">IF($BZ20=0,0.8333,(Simulator!K23*Simulator!$D$5+Simulator!L23*Simulator!$D$6+Simulator!M23*Simulator!$D$7+Simulator!N23*Simulator!$D$8+Simulator!O23*Simulator!$D$9)/$BZ20)</f>
        <v>1</v>
      </c>
    </row>
    <row r="21" customFormat="false" ht="15" hidden="false" customHeight="false" outlineLevel="0" collapsed="false">
      <c r="A21" s="160" t="s">
        <v>65</v>
      </c>
      <c r="B21" s="161" t="n">
        <f aca="true">RAND()</f>
        <v>0.865021766313848</v>
      </c>
      <c r="C21" s="161" t="n">
        <f aca="true">RAND()</f>
        <v>0.802623151930329</v>
      </c>
      <c r="D21" s="161" t="n">
        <f aca="true">RAND()</f>
        <v>0.283973022748437</v>
      </c>
      <c r="E21" s="161" t="n">
        <f aca="true">RAND()</f>
        <v>0.272315410022138</v>
      </c>
      <c r="F21" s="161" t="n">
        <f aca="true">RAND()</f>
        <v>0.167277570668351</v>
      </c>
      <c r="G21" s="161" t="n">
        <f aca="true">RAND()</f>
        <v>0.908421415730197</v>
      </c>
      <c r="H21" s="161" t="n">
        <f aca="true">RAND()</f>
        <v>0.44576579723449</v>
      </c>
      <c r="I21" s="161" t="n">
        <f aca="true">RAND()</f>
        <v>0.176619094906015</v>
      </c>
      <c r="J21" s="161" t="n">
        <f aca="true">RAND()</f>
        <v>0.769657623999704</v>
      </c>
      <c r="K21" s="161" t="n">
        <f aca="true">RAND()</f>
        <v>0.859473437312677</v>
      </c>
      <c r="L21" s="161" t="n">
        <f aca="true">RAND()</f>
        <v>0.279360938651149</v>
      </c>
      <c r="M21" s="161" t="n">
        <f aca="true">RAND()</f>
        <v>0.159675098000743</v>
      </c>
      <c r="N21" s="161" t="n">
        <f aca="true">RAND()</f>
        <v>0.195888639420682</v>
      </c>
      <c r="O21" s="161" t="n">
        <f aca="true">RAND()</f>
        <v>0.162784383820749</v>
      </c>
      <c r="P21" s="161" t="n">
        <f aca="true">RAND()</f>
        <v>0.496819098384311</v>
      </c>
      <c r="Q21" s="161" t="n">
        <f aca="true">RAND()</f>
        <v>0.828442953880525</v>
      </c>
      <c r="R21" s="161" t="n">
        <f aca="true">RAND()</f>
        <v>0.671591242536917</v>
      </c>
      <c r="S21" s="161" t="n">
        <f aca="true">RAND()</f>
        <v>0.984205477481976</v>
      </c>
      <c r="T21" s="161" t="n">
        <f aca="true">RAND()</f>
        <v>0.824075010655731</v>
      </c>
      <c r="U21" s="161" t="n">
        <f aca="true">RAND()</f>
        <v>0.0715152563817128</v>
      </c>
      <c r="V21" s="161" t="n">
        <f aca="true">RAND()</f>
        <v>0.0752574324909243</v>
      </c>
      <c r="W21" s="161" t="n">
        <f aca="true">RAND()</f>
        <v>0.656676643299659</v>
      </c>
      <c r="X21" s="161" t="n">
        <f aca="true">RAND()</f>
        <v>0.995273586331428</v>
      </c>
      <c r="Y21" s="161" t="n">
        <f aca="true">RAND()</f>
        <v>0.681182834746076</v>
      </c>
      <c r="Z21" s="161" t="n">
        <f aca="true">RAND()</f>
        <v>0.535033506495067</v>
      </c>
      <c r="AA21" s="161" t="n">
        <f aca="true">RAND()</f>
        <v>0.116342433278505</v>
      </c>
      <c r="AB21" s="161" t="n">
        <f aca="true">RAND()</f>
        <v>0.739720191526942</v>
      </c>
      <c r="AC21" s="161" t="n">
        <f aca="true">RAND()</f>
        <v>0.948037369098664</v>
      </c>
      <c r="AD21" s="161" t="n">
        <f aca="true">RAND()</f>
        <v>0.058783661563404</v>
      </c>
      <c r="AE21" s="161" t="n">
        <f aca="true">RAND()</f>
        <v>0.916399450547354</v>
      </c>
      <c r="AF21" s="161" t="n">
        <f aca="true">RAND()</f>
        <v>0.66644020079252</v>
      </c>
      <c r="AG21" s="161" t="n">
        <f aca="true">RAND()</f>
        <v>0.41699503113036</v>
      </c>
      <c r="AH21" s="161" t="n">
        <f aca="true">RAND()</f>
        <v>0.293095215636039</v>
      </c>
      <c r="AI21" s="161" t="n">
        <f aca="true">RAND()</f>
        <v>0.204506299001308</v>
      </c>
      <c r="AJ21" s="161" t="n">
        <f aca="true">RAND()</f>
        <v>0.218006724005051</v>
      </c>
      <c r="AK21" s="161" t="n">
        <f aca="true">RAND()</f>
        <v>0.722692060531487</v>
      </c>
      <c r="AL21" s="161" t="n">
        <f aca="true">RAND()</f>
        <v>0.885474396156628</v>
      </c>
      <c r="AM21" s="161" t="n">
        <f aca="true">RAND()</f>
        <v>0.254644528201715</v>
      </c>
      <c r="AN21" s="161" t="n">
        <f aca="true">RAND()</f>
        <v>0.734978764970862</v>
      </c>
      <c r="AO21" s="161" t="n">
        <f aca="true">RAND()</f>
        <v>0.512568757640991</v>
      </c>
      <c r="AP21" s="161" t="n">
        <f aca="true">RAND()</f>
        <v>0.427745526465658</v>
      </c>
      <c r="AQ21" s="161" t="n">
        <f aca="true">RAND()</f>
        <v>0.490177442207578</v>
      </c>
      <c r="AR21" s="161" t="n">
        <f aca="true">RAND()</f>
        <v>0.254416698762325</v>
      </c>
      <c r="AS21" s="161" t="n">
        <f aca="true">RAND()</f>
        <v>0.542628126682814</v>
      </c>
      <c r="AT21" s="161" t="n">
        <f aca="true">RAND()</f>
        <v>0.345597481603807</v>
      </c>
      <c r="AU21" s="161" t="n">
        <f aca="true">RAND()</f>
        <v>0.687628791172795</v>
      </c>
      <c r="AV21" s="161" t="n">
        <f aca="true">RAND()</f>
        <v>0.651679108551344</v>
      </c>
      <c r="AW21" s="161" t="n">
        <f aca="true">RAND()</f>
        <v>0.616820340541727</v>
      </c>
      <c r="AX21" s="161" t="n">
        <f aca="true">RAND()</f>
        <v>0.660640166755685</v>
      </c>
      <c r="AY21" s="161" t="n">
        <f aca="true">RAND()</f>
        <v>0.841150228334798</v>
      </c>
      <c r="AZ21" s="161" t="n">
        <f aca="true">RAND()</f>
        <v>0.137376027363072</v>
      </c>
      <c r="BA21" s="161" t="n">
        <f aca="true">RAND()</f>
        <v>0.0920738843859133</v>
      </c>
      <c r="BB21" s="161" t="n">
        <f aca="true">RAND()</f>
        <v>0.996252361223613</v>
      </c>
      <c r="BC21" s="161" t="n">
        <f aca="true">RAND()</f>
        <v>0.0690743945773355</v>
      </c>
      <c r="BD21" s="161" t="n">
        <f aca="true">RAND()</f>
        <v>0.765099258313866</v>
      </c>
      <c r="BE21" s="161" t="n">
        <f aca="true">RAND()</f>
        <v>0.993628110187896</v>
      </c>
      <c r="BF21" s="161" t="n">
        <f aca="true">RAND()</f>
        <v>0.230289353183652</v>
      </c>
      <c r="BG21" s="161" t="n">
        <f aca="true">RAND()</f>
        <v>0.546071483522746</v>
      </c>
      <c r="BH21" s="161" t="n">
        <f aca="true">RAND()</f>
        <v>0.831836515867425</v>
      </c>
      <c r="BI21" s="161" t="n">
        <f aca="true">RAND()</f>
        <v>0.831215235096054</v>
      </c>
      <c r="BJ21" s="161" t="n">
        <f aca="true">RAND()</f>
        <v>0.945935852384503</v>
      </c>
      <c r="BK21" s="161" t="n">
        <f aca="true">RAND()</f>
        <v>0.514439942823087</v>
      </c>
      <c r="BL21" s="161" t="n">
        <f aca="true">RAND()</f>
        <v>0.891393730318286</v>
      </c>
      <c r="BM21" s="161" t="n">
        <f aca="true">RAND()</f>
        <v>0.200187910190008</v>
      </c>
      <c r="BN21" s="161" t="n">
        <f aca="true">RAND()</f>
        <v>0.95936004035433</v>
      </c>
      <c r="BO21" s="161" t="n">
        <f aca="true">RAND()</f>
        <v>0.560483805622708</v>
      </c>
      <c r="BP21" s="161" t="n">
        <f aca="true">RAND()</f>
        <v>0.483243984132342</v>
      </c>
      <c r="BQ21" s="161" t="n">
        <f aca="true">RAND()</f>
        <v>0.749079971221196</v>
      </c>
      <c r="BR21" s="161" t="n">
        <f aca="true">RAND()</f>
        <v>0.741567655799086</v>
      </c>
      <c r="BS21" s="161" t="n">
        <f aca="true">RAND()</f>
        <v>0.763160556154903</v>
      </c>
      <c r="BT21" s="161" t="n">
        <f aca="true">RAND()</f>
        <v>0.135642190456328</v>
      </c>
      <c r="BU21" s="161" t="n">
        <f aca="true">RAND()</f>
        <v>0.57522470974773</v>
      </c>
      <c r="BV21" s="161" t="n">
        <f aca="true">RAND()</f>
        <v>0.275413225901419</v>
      </c>
      <c r="BW21" s="161" t="n">
        <f aca="true">RAND()</f>
        <v>0.366068623774868</v>
      </c>
      <c r="BX21" s="161" t="n">
        <f aca="true">RAND()</f>
        <v>0.283671524993831</v>
      </c>
      <c r="BY21" s="161" t="n">
        <f aca="true">RAND()</f>
        <v>0.822685418690108</v>
      </c>
      <c r="BZ21" s="162" t="n">
        <f aca="false">Simulator!K24*Simulator!$D$5+Simulator!L24*Simulator!$D$6+Simulator!M24*Simulator!$D$7+Simulator!N24*Simulator!$D$8+Simulator!O24*Simulator!$D$9+Simulator!P24*Simulator!$D$10</f>
        <v>0.679964028383645</v>
      </c>
      <c r="CA21" s="162" t="n">
        <f aca="false">IF($BZ21=0,0.1667,(Simulator!K24*Simulator!$D$5)/$BZ21)</f>
        <v>0.373697828865212</v>
      </c>
      <c r="CB21" s="162" t="n">
        <f aca="false">IF($BZ21=0,0.3333,(Simulator!K24*Simulator!$D$5+Simulator!L24*Simulator!$D$6)/$BZ21)</f>
        <v>0.89072141380955</v>
      </c>
      <c r="CC21" s="162" t="n">
        <f aca="false">IF($BZ21=0,0.5,(Simulator!K24*Simulator!$D$5+Simulator!L24*Simulator!$D$6+Simulator!M24*Simulator!$D$7)/$BZ21)</f>
        <v>0.94867648132513</v>
      </c>
      <c r="CD21" s="162" t="n">
        <f aca="false">IF($BZ21=0,0.6667,(Simulator!K24*Simulator!$D$5+Simulator!L24*Simulator!$D$6+Simulator!M24*Simulator!$D$7+Simulator!N24*Simulator!$D$8)/$BZ21)</f>
        <v>0.995291912294739</v>
      </c>
      <c r="CE21" s="162" t="n">
        <f aca="false">IF($BZ21=0,0.8333,(Simulator!K24*Simulator!$D$5+Simulator!L24*Simulator!$D$6+Simulator!M24*Simulator!$D$7+Simulator!N24*Simulator!$D$8+Simulator!O24*Simulator!$D$9)/$BZ21)</f>
        <v>1</v>
      </c>
    </row>
    <row r="22" customFormat="false" ht="15" hidden="false" customHeight="false" outlineLevel="0" collapsed="false">
      <c r="A22" s="160" t="s">
        <v>66</v>
      </c>
      <c r="B22" s="161" t="n">
        <f aca="true">RAND()</f>
        <v>0.946523745838858</v>
      </c>
      <c r="C22" s="161" t="n">
        <f aca="true">RAND()</f>
        <v>0.318917381339799</v>
      </c>
      <c r="D22" s="161" t="n">
        <f aca="true">RAND()</f>
        <v>0.345297848408873</v>
      </c>
      <c r="E22" s="161" t="n">
        <f aca="true">RAND()</f>
        <v>0.339539715562989</v>
      </c>
      <c r="F22" s="161" t="n">
        <f aca="true">RAND()</f>
        <v>0.414152503947185</v>
      </c>
      <c r="G22" s="161" t="n">
        <f aca="true">RAND()</f>
        <v>0.335402399518163</v>
      </c>
      <c r="H22" s="161" t="n">
        <f aca="true">RAND()</f>
        <v>0.391392359368699</v>
      </c>
      <c r="I22" s="161" t="n">
        <f aca="true">RAND()</f>
        <v>0.862305658011642</v>
      </c>
      <c r="J22" s="161" t="n">
        <f aca="true">RAND()</f>
        <v>0.840331161726147</v>
      </c>
      <c r="K22" s="161" t="n">
        <f aca="true">RAND()</f>
        <v>0.0438783235281183</v>
      </c>
      <c r="L22" s="161" t="n">
        <f aca="true">RAND()</f>
        <v>0.832585441629519</v>
      </c>
      <c r="M22" s="161" t="n">
        <f aca="true">RAND()</f>
        <v>0.437148121570206</v>
      </c>
      <c r="N22" s="161" t="n">
        <f aca="true">RAND()</f>
        <v>0.118531272442103</v>
      </c>
      <c r="O22" s="161" t="n">
        <f aca="true">RAND()</f>
        <v>0.573369385410655</v>
      </c>
      <c r="P22" s="161" t="n">
        <f aca="true">RAND()</f>
        <v>0.519440278147586</v>
      </c>
      <c r="Q22" s="161" t="n">
        <f aca="true">RAND()</f>
        <v>0.260536929560382</v>
      </c>
      <c r="R22" s="161" t="n">
        <f aca="true">RAND()</f>
        <v>0.77832875216063</v>
      </c>
      <c r="S22" s="161" t="n">
        <f aca="true">RAND()</f>
        <v>0.798849342811878</v>
      </c>
      <c r="T22" s="161" t="n">
        <f aca="true">RAND()</f>
        <v>0.357274655628673</v>
      </c>
      <c r="U22" s="161" t="n">
        <f aca="true">RAND()</f>
        <v>0.896675515458216</v>
      </c>
      <c r="V22" s="161" t="n">
        <f aca="true">RAND()</f>
        <v>0.904140727478121</v>
      </c>
      <c r="W22" s="161" t="n">
        <f aca="true">RAND()</f>
        <v>0.65986459903356</v>
      </c>
      <c r="X22" s="161" t="n">
        <f aca="true">RAND()</f>
        <v>0.495559493979324</v>
      </c>
      <c r="Y22" s="161" t="n">
        <f aca="true">RAND()</f>
        <v>0.635229506997135</v>
      </c>
      <c r="Z22" s="161" t="n">
        <f aca="true">RAND()</f>
        <v>0.647331679522629</v>
      </c>
      <c r="AA22" s="161" t="n">
        <f aca="true">RAND()</f>
        <v>0.265326191330911</v>
      </c>
      <c r="AB22" s="161" t="n">
        <f aca="true">RAND()</f>
        <v>0.578634420968973</v>
      </c>
      <c r="AC22" s="161" t="n">
        <f aca="true">RAND()</f>
        <v>0.772942727051682</v>
      </c>
      <c r="AD22" s="161" t="n">
        <f aca="true">RAND()</f>
        <v>0.24879679133709</v>
      </c>
      <c r="AE22" s="161" t="n">
        <f aca="true">RAND()</f>
        <v>0.122956691460637</v>
      </c>
      <c r="AF22" s="161" t="n">
        <f aca="true">RAND()</f>
        <v>0.492629636912218</v>
      </c>
      <c r="AG22" s="161" t="n">
        <f aca="true">RAND()</f>
        <v>0.259351688647739</v>
      </c>
      <c r="AH22" s="161" t="n">
        <f aca="true">RAND()</f>
        <v>0.716498045041919</v>
      </c>
      <c r="AI22" s="161" t="n">
        <f aca="true">RAND()</f>
        <v>0.415922251155066</v>
      </c>
      <c r="AJ22" s="161" t="n">
        <f aca="true">RAND()</f>
        <v>0.27863273846926</v>
      </c>
      <c r="AK22" s="161" t="n">
        <f aca="true">RAND()</f>
        <v>0.981513292040453</v>
      </c>
      <c r="AL22" s="161" t="n">
        <f aca="true">RAND()</f>
        <v>0.116930812559134</v>
      </c>
      <c r="AM22" s="161" t="n">
        <f aca="true">RAND()</f>
        <v>0.310324882807567</v>
      </c>
      <c r="AN22" s="161" t="n">
        <f aca="true">RAND()</f>
        <v>0.425944176587617</v>
      </c>
      <c r="AO22" s="161" t="n">
        <f aca="true">RAND()</f>
        <v>0.0102056777551535</v>
      </c>
      <c r="AP22" s="161" t="n">
        <f aca="true">RAND()</f>
        <v>0.644391947323015</v>
      </c>
      <c r="AQ22" s="161" t="n">
        <f aca="true">RAND()</f>
        <v>0.125022348426063</v>
      </c>
      <c r="AR22" s="161" t="n">
        <f aca="true">RAND()</f>
        <v>0.165127278847865</v>
      </c>
      <c r="AS22" s="161" t="n">
        <f aca="true">RAND()</f>
        <v>0.970646469799427</v>
      </c>
      <c r="AT22" s="161" t="n">
        <f aca="true">RAND()</f>
        <v>0.511675821839654</v>
      </c>
      <c r="AU22" s="161" t="n">
        <f aca="true">RAND()</f>
        <v>0.00841352808638504</v>
      </c>
      <c r="AV22" s="161" t="n">
        <f aca="true">RAND()</f>
        <v>0.919841454601726</v>
      </c>
      <c r="AW22" s="161" t="n">
        <f aca="true">RAND()</f>
        <v>0.430462504291804</v>
      </c>
      <c r="AX22" s="161" t="n">
        <f aca="true">RAND()</f>
        <v>0.49956474534772</v>
      </c>
      <c r="AY22" s="161" t="n">
        <f aca="true">RAND()</f>
        <v>0.249560226091915</v>
      </c>
      <c r="AZ22" s="161" t="n">
        <f aca="true">RAND()</f>
        <v>0.621703198808982</v>
      </c>
      <c r="BA22" s="161" t="n">
        <f aca="true">RAND()</f>
        <v>0.753257300463393</v>
      </c>
      <c r="BB22" s="161" t="n">
        <f aca="true">RAND()</f>
        <v>0.879258689738971</v>
      </c>
      <c r="BC22" s="161" t="n">
        <f aca="true">RAND()</f>
        <v>0.242821852443978</v>
      </c>
      <c r="BD22" s="161" t="n">
        <f aca="true">RAND()</f>
        <v>0.247762143303928</v>
      </c>
      <c r="BE22" s="161" t="n">
        <f aca="true">RAND()</f>
        <v>0.040157151618302</v>
      </c>
      <c r="BF22" s="161" t="n">
        <f aca="true">RAND()</f>
        <v>0.338172679859135</v>
      </c>
      <c r="BG22" s="161" t="n">
        <f aca="true">RAND()</f>
        <v>0.999811872138381</v>
      </c>
      <c r="BH22" s="161" t="n">
        <f aca="true">RAND()</f>
        <v>0.871397625757066</v>
      </c>
      <c r="BI22" s="161" t="n">
        <f aca="true">RAND()</f>
        <v>0.732533818247575</v>
      </c>
      <c r="BJ22" s="161" t="n">
        <f aca="true">RAND()</f>
        <v>0.642611336258012</v>
      </c>
      <c r="BK22" s="161" t="n">
        <f aca="true">RAND()</f>
        <v>0.49192993534888</v>
      </c>
      <c r="BL22" s="161" t="n">
        <f aca="true">RAND()</f>
        <v>0.21260052817211</v>
      </c>
      <c r="BM22" s="161" t="n">
        <f aca="true">RAND()</f>
        <v>0.154744773242837</v>
      </c>
      <c r="BN22" s="161" t="n">
        <f aca="true">RAND()</f>
        <v>0.585917638199781</v>
      </c>
      <c r="BO22" s="161" t="n">
        <f aca="true">RAND()</f>
        <v>0.777485117622014</v>
      </c>
      <c r="BP22" s="161" t="n">
        <f aca="true">RAND()</f>
        <v>0.249695261313744</v>
      </c>
      <c r="BQ22" s="161" t="n">
        <f aca="true">RAND()</f>
        <v>0.176958435956353</v>
      </c>
      <c r="BR22" s="161" t="n">
        <f aca="true">RAND()</f>
        <v>0.520497338166365</v>
      </c>
      <c r="BS22" s="161" t="n">
        <f aca="true">RAND()</f>
        <v>0.62639938788589</v>
      </c>
      <c r="BT22" s="161" t="n">
        <f aca="true">RAND()</f>
        <v>0.436302702725841</v>
      </c>
      <c r="BU22" s="161" t="n">
        <f aca="true">RAND()</f>
        <v>0.0318634585626444</v>
      </c>
      <c r="BV22" s="161" t="n">
        <f aca="true">RAND()</f>
        <v>0.840026024726897</v>
      </c>
      <c r="BW22" s="161" t="n">
        <f aca="true">RAND()</f>
        <v>0.201039293191997</v>
      </c>
      <c r="BX22" s="161" t="n">
        <f aca="true">RAND()</f>
        <v>0.756008051830306</v>
      </c>
      <c r="BY22" s="161" t="n">
        <f aca="true">RAND()</f>
        <v>0.0346389062152533</v>
      </c>
      <c r="BZ22" s="162" t="n">
        <f aca="false">Simulator!K25*Simulator!$D$5+Simulator!L25*Simulator!$D$6+Simulator!M25*Simulator!$D$7+Simulator!N25*Simulator!$D$8+Simulator!O25*Simulator!$D$9+Simulator!P25*Simulator!$D$10</f>
        <v>0.652812665468665</v>
      </c>
      <c r="CA22" s="162" t="n">
        <f aca="false">IF($BZ22=0,0.1667,(Simulator!K25*Simulator!$D$5)/$BZ22)</f>
        <v>0.389543457148808</v>
      </c>
      <c r="CB22" s="162" t="n">
        <f aca="false">IF($BZ22=0,0.3333,(Simulator!K25*Simulator!$D$5+Simulator!L25*Simulator!$D$6)/$BZ22)</f>
        <v>0.879812197047184</v>
      </c>
      <c r="CC22" s="162" t="n">
        <f aca="false">IF($BZ22=0,0.5,(Simulator!K25*Simulator!$D$5+Simulator!L25*Simulator!$D$6+Simulator!M25*Simulator!$D$7)/$BZ22)</f>
        <v>0.927765932165851</v>
      </c>
      <c r="CD22" s="162" t="n">
        <f aca="false">IF($BZ22=0,0.6667,(Simulator!K25*Simulator!$D$5+Simulator!L25*Simulator!$D$6+Simulator!M25*Simulator!$D$7+Simulator!N25*Simulator!$D$8)/$BZ22)</f>
        <v>0.994019685358335</v>
      </c>
      <c r="CE22" s="162" t="n">
        <f aca="false">IF($BZ22=0,0.8333,(Simulator!K25*Simulator!$D$5+Simulator!L25*Simulator!$D$6+Simulator!M25*Simulator!$D$7+Simulator!N25*Simulator!$D$8+Simulator!O25*Simulator!$D$9)/$BZ22)</f>
        <v>1</v>
      </c>
    </row>
    <row r="23" customFormat="false" ht="15" hidden="false" customHeight="false" outlineLevel="0" collapsed="false">
      <c r="A23" s="160" t="s">
        <v>68</v>
      </c>
      <c r="B23" s="161" t="n">
        <f aca="true">RAND()</f>
        <v>0.196031094784414</v>
      </c>
      <c r="C23" s="161" t="n">
        <f aca="true">RAND()</f>
        <v>0.990835948776725</v>
      </c>
      <c r="D23" s="161" t="n">
        <f aca="true">RAND()</f>
        <v>0.346929057698446</v>
      </c>
      <c r="E23" s="161" t="n">
        <f aca="true">RAND()</f>
        <v>0.875606149144177</v>
      </c>
      <c r="F23" s="161" t="n">
        <f aca="true">RAND()</f>
        <v>0.515221902697555</v>
      </c>
      <c r="G23" s="161" t="n">
        <f aca="true">RAND()</f>
        <v>0.985730685967782</v>
      </c>
      <c r="H23" s="161" t="n">
        <f aca="true">RAND()</f>
        <v>0.749908230961566</v>
      </c>
      <c r="I23" s="161" t="n">
        <f aca="true">RAND()</f>
        <v>0.114493560275308</v>
      </c>
      <c r="J23" s="161" t="n">
        <f aca="true">RAND()</f>
        <v>0.875439304958973</v>
      </c>
      <c r="K23" s="161" t="n">
        <f aca="true">RAND()</f>
        <v>0.440162077050951</v>
      </c>
      <c r="L23" s="161" t="n">
        <f aca="true">RAND()</f>
        <v>0.483260377755457</v>
      </c>
      <c r="M23" s="161" t="n">
        <f aca="true">RAND()</f>
        <v>0.0474404621823709</v>
      </c>
      <c r="N23" s="161" t="n">
        <f aca="true">RAND()</f>
        <v>0.431823461928287</v>
      </c>
      <c r="O23" s="161" t="n">
        <f aca="true">RAND()</f>
        <v>0.775988834083296</v>
      </c>
      <c r="P23" s="161" t="n">
        <f aca="true">RAND()</f>
        <v>0.903156372498267</v>
      </c>
      <c r="Q23" s="161" t="n">
        <f aca="true">RAND()</f>
        <v>0.869754115494554</v>
      </c>
      <c r="R23" s="161" t="n">
        <f aca="true">RAND()</f>
        <v>0.938889360753564</v>
      </c>
      <c r="S23" s="161" t="n">
        <f aca="true">RAND()</f>
        <v>0.642045847938898</v>
      </c>
      <c r="T23" s="161" t="n">
        <f aca="true">RAND()</f>
        <v>0.282871836191979</v>
      </c>
      <c r="U23" s="161" t="n">
        <f aca="true">RAND()</f>
        <v>0.354970007885804</v>
      </c>
      <c r="V23" s="161" t="n">
        <f aca="true">RAND()</f>
        <v>0.079131508520046</v>
      </c>
      <c r="W23" s="161" t="n">
        <f aca="true">RAND()</f>
        <v>0.644676572344584</v>
      </c>
      <c r="X23" s="161" t="n">
        <f aca="true">RAND()</f>
        <v>0.00775080900844677</v>
      </c>
      <c r="Y23" s="161" t="n">
        <f aca="true">RAND()</f>
        <v>0.969979103597944</v>
      </c>
      <c r="Z23" s="161" t="n">
        <f aca="true">RAND()</f>
        <v>0.299297351885151</v>
      </c>
      <c r="AA23" s="161" t="n">
        <f aca="true">RAND()</f>
        <v>0.846239954389266</v>
      </c>
      <c r="AB23" s="161" t="n">
        <f aca="true">RAND()</f>
        <v>0.16682512661974</v>
      </c>
      <c r="AC23" s="161" t="n">
        <f aca="true">RAND()</f>
        <v>0.529620408256558</v>
      </c>
      <c r="AD23" s="161" t="n">
        <f aca="true">RAND()</f>
        <v>0.877034352577639</v>
      </c>
      <c r="AE23" s="161" t="n">
        <f aca="true">RAND()</f>
        <v>0.717044737007024</v>
      </c>
      <c r="AF23" s="161" t="n">
        <f aca="true">RAND()</f>
        <v>0.408600761793785</v>
      </c>
      <c r="AG23" s="161" t="n">
        <f aca="true">RAND()</f>
        <v>0.313523141327029</v>
      </c>
      <c r="AH23" s="161" t="n">
        <f aca="true">RAND()</f>
        <v>0.518861495715851</v>
      </c>
      <c r="AI23" s="161" t="n">
        <f aca="true">RAND()</f>
        <v>0.518511171837335</v>
      </c>
      <c r="AJ23" s="161" t="n">
        <f aca="true">RAND()</f>
        <v>0.181186607842806</v>
      </c>
      <c r="AK23" s="161" t="n">
        <f aca="true">RAND()</f>
        <v>0.97541867429124</v>
      </c>
      <c r="AL23" s="161" t="n">
        <f aca="true">RAND()</f>
        <v>0.519265197508563</v>
      </c>
      <c r="AM23" s="161" t="n">
        <f aca="true">RAND()</f>
        <v>0.662652930019055</v>
      </c>
      <c r="AN23" s="161" t="n">
        <f aca="true">RAND()</f>
        <v>0.349099528409627</v>
      </c>
      <c r="AO23" s="161" t="n">
        <f aca="true">RAND()</f>
        <v>0.018716371675072</v>
      </c>
      <c r="AP23" s="161" t="n">
        <f aca="true">RAND()</f>
        <v>0.540857924745585</v>
      </c>
      <c r="AQ23" s="161" t="n">
        <f aca="true">RAND()</f>
        <v>0.482121653402078</v>
      </c>
      <c r="AR23" s="161" t="n">
        <f aca="true">RAND()</f>
        <v>0.169776955602958</v>
      </c>
      <c r="AS23" s="161" t="n">
        <f aca="true">RAND()</f>
        <v>0.869831609350011</v>
      </c>
      <c r="AT23" s="161" t="n">
        <f aca="true">RAND()</f>
        <v>0.933717227991353</v>
      </c>
      <c r="AU23" s="161" t="n">
        <f aca="true">RAND()</f>
        <v>0.532799279606013</v>
      </c>
      <c r="AV23" s="161" t="n">
        <f aca="true">RAND()</f>
        <v>0.53109490420526</v>
      </c>
      <c r="AW23" s="161" t="n">
        <f aca="true">RAND()</f>
        <v>0.508435386356129</v>
      </c>
      <c r="AX23" s="161" t="n">
        <f aca="true">RAND()</f>
        <v>0.542080470419497</v>
      </c>
      <c r="AY23" s="161" t="n">
        <f aca="true">RAND()</f>
        <v>0.734239599419351</v>
      </c>
      <c r="AZ23" s="161" t="n">
        <f aca="true">RAND()</f>
        <v>0.205778973783959</v>
      </c>
      <c r="BA23" s="161" t="n">
        <f aca="true">RAND()</f>
        <v>0.346017081735286</v>
      </c>
      <c r="BB23" s="161" t="n">
        <f aca="true">RAND()</f>
        <v>0.803001985158302</v>
      </c>
      <c r="BC23" s="161" t="n">
        <f aca="true">RAND()</f>
        <v>0.639576168883593</v>
      </c>
      <c r="BD23" s="161" t="n">
        <f aca="true">RAND()</f>
        <v>0.509495058527766</v>
      </c>
      <c r="BE23" s="161" t="n">
        <f aca="true">RAND()</f>
        <v>0.195240386612799</v>
      </c>
      <c r="BF23" s="161" t="n">
        <f aca="true">RAND()</f>
        <v>0.923304280350523</v>
      </c>
      <c r="BG23" s="161" t="n">
        <f aca="true">RAND()</f>
        <v>0.953821133160025</v>
      </c>
      <c r="BH23" s="161" t="n">
        <f aca="true">RAND()</f>
        <v>0.346167800464032</v>
      </c>
      <c r="BI23" s="161" t="n">
        <f aca="true">RAND()</f>
        <v>0.0492865244315808</v>
      </c>
      <c r="BJ23" s="161" t="n">
        <f aca="true">RAND()</f>
        <v>0.987015290429146</v>
      </c>
      <c r="BK23" s="161" t="n">
        <f aca="true">RAND()</f>
        <v>0.499878441582266</v>
      </c>
      <c r="BL23" s="161" t="n">
        <f aca="true">RAND()</f>
        <v>0.677886463518566</v>
      </c>
      <c r="BM23" s="161" t="n">
        <f aca="true">RAND()</f>
        <v>0.022700691559438</v>
      </c>
      <c r="BN23" s="161" t="n">
        <f aca="true">RAND()</f>
        <v>0.683928502186253</v>
      </c>
      <c r="BO23" s="161" t="n">
        <f aca="true">RAND()</f>
        <v>0.61588342091423</v>
      </c>
      <c r="BP23" s="161" t="n">
        <f aca="true">RAND()</f>
        <v>0.306371823384822</v>
      </c>
      <c r="BQ23" s="161" t="n">
        <f aca="true">RAND()</f>
        <v>0.243173753653449</v>
      </c>
      <c r="BR23" s="161" t="n">
        <f aca="true">RAND()</f>
        <v>0.137254209004339</v>
      </c>
      <c r="BS23" s="161" t="n">
        <f aca="true">RAND()</f>
        <v>0.414888762263874</v>
      </c>
      <c r="BT23" s="161" t="n">
        <f aca="true">RAND()</f>
        <v>0.61455665061272</v>
      </c>
      <c r="BU23" s="161" t="n">
        <f aca="true">RAND()</f>
        <v>0.443492390644461</v>
      </c>
      <c r="BV23" s="161" t="n">
        <f aca="true">RAND()</f>
        <v>0.287464323201081</v>
      </c>
      <c r="BW23" s="161" t="n">
        <f aca="true">RAND()</f>
        <v>0.649281207186216</v>
      </c>
      <c r="BX23" s="161" t="n">
        <f aca="true">RAND()</f>
        <v>0.0207919318986674</v>
      </c>
      <c r="BY23" s="161" t="n">
        <f aca="true">RAND()</f>
        <v>0.122722663274265</v>
      </c>
      <c r="BZ23" s="162" t="n">
        <f aca="false">Simulator!K26*Simulator!$D$5+Simulator!L26*Simulator!$D$6+Simulator!M26*Simulator!$D$7+Simulator!N26*Simulator!$D$8+Simulator!O26*Simulator!$D$9+Simulator!P26*Simulator!$D$10</f>
        <v>0.664947711743788</v>
      </c>
      <c r="CA23" s="162" t="n">
        <f aca="false">IF($BZ23=0,0.1667,(Simulator!K26*Simulator!$D$5)/$BZ23)</f>
        <v>0.444598526049773</v>
      </c>
      <c r="CB23" s="162" t="n">
        <f aca="false">IF($BZ23=0,0.3333,(Simulator!K26*Simulator!$D$5+Simulator!L26*Simulator!$D$6)/$BZ23)</f>
        <v>0.885571633472023</v>
      </c>
      <c r="CC23" s="162" t="n">
        <f aca="false">IF($BZ23=0,0.5,(Simulator!K26*Simulator!$D$5+Simulator!L26*Simulator!$D$6+Simulator!M26*Simulator!$D$7)/$BZ23)</f>
        <v>0.923768024076332</v>
      </c>
      <c r="CD23" s="162" t="n">
        <f aca="false">IF($BZ23=0,0.6667,(Simulator!K26*Simulator!$D$5+Simulator!L26*Simulator!$D$6+Simulator!M26*Simulator!$D$7+Simulator!N26*Simulator!$D$8)/$BZ23)</f>
        <v>0.994445982637419</v>
      </c>
      <c r="CE23" s="162" t="n">
        <f aca="false">IF($BZ23=0,0.8333,(Simulator!K26*Simulator!$D$5+Simulator!L26*Simulator!$D$6+Simulator!M26*Simulator!$D$7+Simulator!N26*Simulator!$D$8+Simulator!O26*Simulator!$D$9)/$BZ23)</f>
        <v>1</v>
      </c>
    </row>
    <row r="24" customFormat="false" ht="15" hidden="false" customHeight="false" outlineLevel="0" collapsed="false">
      <c r="A24" s="160" t="s">
        <v>69</v>
      </c>
      <c r="B24" s="161" t="n">
        <f aca="true">RAND()</f>
        <v>0.419808935975769</v>
      </c>
      <c r="C24" s="161" t="n">
        <f aca="true">RAND()</f>
        <v>0.815379805676199</v>
      </c>
      <c r="D24" s="161" t="n">
        <f aca="true">RAND()</f>
        <v>0.550124549623416</v>
      </c>
      <c r="E24" s="161" t="n">
        <f aca="true">RAND()</f>
        <v>0.276565295882453</v>
      </c>
      <c r="F24" s="161" t="n">
        <f aca="true">RAND()</f>
        <v>0.861858934090494</v>
      </c>
      <c r="G24" s="161" t="n">
        <f aca="true">RAND()</f>
        <v>0.0899085000741631</v>
      </c>
      <c r="H24" s="161" t="n">
        <f aca="true">RAND()</f>
        <v>0.52093154576949</v>
      </c>
      <c r="I24" s="161" t="n">
        <f aca="true">RAND()</f>
        <v>0.703974310986974</v>
      </c>
      <c r="J24" s="161" t="n">
        <f aca="true">RAND()</f>
        <v>0.336001639846294</v>
      </c>
      <c r="K24" s="161" t="n">
        <f aca="true">RAND()</f>
        <v>0.181520780273113</v>
      </c>
      <c r="L24" s="161" t="n">
        <f aca="true">RAND()</f>
        <v>0.858168919309685</v>
      </c>
      <c r="M24" s="161" t="n">
        <f aca="true">RAND()</f>
        <v>0.525810899355127</v>
      </c>
      <c r="N24" s="161" t="n">
        <f aca="true">RAND()</f>
        <v>0.202677463402388</v>
      </c>
      <c r="O24" s="161" t="n">
        <f aca="true">RAND()</f>
        <v>0.955934381476953</v>
      </c>
      <c r="P24" s="161" t="n">
        <f aca="true">RAND()</f>
        <v>0.119666523419702</v>
      </c>
      <c r="Q24" s="161" t="n">
        <f aca="true">RAND()</f>
        <v>0.599680731270369</v>
      </c>
      <c r="R24" s="161" t="n">
        <f aca="true">RAND()</f>
        <v>0.959671144565832</v>
      </c>
      <c r="S24" s="161" t="n">
        <f aca="true">RAND()</f>
        <v>0.315432008150065</v>
      </c>
      <c r="T24" s="161" t="n">
        <f aca="true">RAND()</f>
        <v>0.792764174206975</v>
      </c>
      <c r="U24" s="161" t="n">
        <f aca="true">RAND()</f>
        <v>0.452807979581022</v>
      </c>
      <c r="V24" s="161" t="n">
        <f aca="true">RAND()</f>
        <v>0.822607000275024</v>
      </c>
      <c r="W24" s="161" t="n">
        <f aca="true">RAND()</f>
        <v>0.0605905947903062</v>
      </c>
      <c r="X24" s="161" t="n">
        <f aca="true">RAND()</f>
        <v>0.88957362014679</v>
      </c>
      <c r="Y24" s="161" t="n">
        <f aca="true">RAND()</f>
        <v>0.808475002645441</v>
      </c>
      <c r="Z24" s="161" t="n">
        <f aca="true">RAND()</f>
        <v>0.295563617352689</v>
      </c>
      <c r="AA24" s="161" t="n">
        <f aca="true">RAND()</f>
        <v>0.922004485066346</v>
      </c>
      <c r="AB24" s="161" t="n">
        <f aca="true">RAND()</f>
        <v>0.420044853339094</v>
      </c>
      <c r="AC24" s="161" t="n">
        <f aca="true">RAND()</f>
        <v>0.75302856352809</v>
      </c>
      <c r="AD24" s="161" t="n">
        <f aca="true">RAND()</f>
        <v>0.0230261788374891</v>
      </c>
      <c r="AE24" s="161" t="n">
        <f aca="true">RAND()</f>
        <v>0.943170235314901</v>
      </c>
      <c r="AF24" s="161" t="n">
        <f aca="true">RAND()</f>
        <v>0.833955687288888</v>
      </c>
      <c r="AG24" s="161" t="n">
        <f aca="true">RAND()</f>
        <v>0.989614128763149</v>
      </c>
      <c r="AH24" s="161" t="n">
        <f aca="true">RAND()</f>
        <v>0.893175842899522</v>
      </c>
      <c r="AI24" s="161" t="n">
        <f aca="true">RAND()</f>
        <v>0.433442153693503</v>
      </c>
      <c r="AJ24" s="161" t="n">
        <f aca="true">RAND()</f>
        <v>0.638441051906871</v>
      </c>
      <c r="AK24" s="161" t="n">
        <f aca="true">RAND()</f>
        <v>0.899875725045365</v>
      </c>
      <c r="AL24" s="161" t="n">
        <f aca="true">RAND()</f>
        <v>0.363606719567006</v>
      </c>
      <c r="AM24" s="161" t="n">
        <f aca="true">RAND()</f>
        <v>0.810772099492641</v>
      </c>
      <c r="AN24" s="161" t="n">
        <f aca="true">RAND()</f>
        <v>0.795401967197724</v>
      </c>
      <c r="AO24" s="161" t="n">
        <f aca="true">RAND()</f>
        <v>0.627242966123057</v>
      </c>
      <c r="AP24" s="161" t="n">
        <f aca="true">RAND()</f>
        <v>0.20355434381204</v>
      </c>
      <c r="AQ24" s="161" t="n">
        <f aca="true">RAND()</f>
        <v>0.107885598733465</v>
      </c>
      <c r="AR24" s="161" t="n">
        <f aca="true">RAND()</f>
        <v>0.0132123209158478</v>
      </c>
      <c r="AS24" s="161" t="n">
        <f aca="true">RAND()</f>
        <v>0.278922062280637</v>
      </c>
      <c r="AT24" s="161" t="n">
        <f aca="true">RAND()</f>
        <v>0.793298474305941</v>
      </c>
      <c r="AU24" s="161" t="n">
        <f aca="true">RAND()</f>
        <v>0.238855326455105</v>
      </c>
      <c r="AV24" s="161" t="n">
        <f aca="true">RAND()</f>
        <v>0.387145198031859</v>
      </c>
      <c r="AW24" s="161" t="n">
        <f aca="true">RAND()</f>
        <v>0.246212588968716</v>
      </c>
      <c r="AX24" s="161" t="n">
        <f aca="true">RAND()</f>
        <v>0.586665155798473</v>
      </c>
      <c r="AY24" s="161" t="n">
        <f aca="true">RAND()</f>
        <v>0.0519883399437956</v>
      </c>
      <c r="AZ24" s="161" t="n">
        <f aca="true">RAND()</f>
        <v>0.95792004797476</v>
      </c>
      <c r="BA24" s="161" t="n">
        <f aca="true">RAND()</f>
        <v>0.513209481222861</v>
      </c>
      <c r="BB24" s="161" t="n">
        <f aca="true">RAND()</f>
        <v>0.783750540075555</v>
      </c>
      <c r="BC24" s="161" t="n">
        <f aca="true">RAND()</f>
        <v>0.489772278369658</v>
      </c>
      <c r="BD24" s="161" t="n">
        <f aca="true">RAND()</f>
        <v>0.922689046867763</v>
      </c>
      <c r="BE24" s="161" t="n">
        <f aca="true">RAND()</f>
        <v>0.0175765818209586</v>
      </c>
      <c r="BF24" s="161" t="n">
        <f aca="true">RAND()</f>
        <v>0.433316875455577</v>
      </c>
      <c r="BG24" s="161" t="n">
        <f aca="true">RAND()</f>
        <v>0.968448784033518</v>
      </c>
      <c r="BH24" s="161" t="n">
        <f aca="true">RAND()</f>
        <v>0.158483808260157</v>
      </c>
      <c r="BI24" s="161" t="n">
        <f aca="true">RAND()</f>
        <v>0.406160623341392</v>
      </c>
      <c r="BJ24" s="161" t="n">
        <f aca="true">RAND()</f>
        <v>0.6741113828316</v>
      </c>
      <c r="BK24" s="161" t="n">
        <f aca="true">RAND()</f>
        <v>0.705019859567962</v>
      </c>
      <c r="BL24" s="161" t="n">
        <f aca="true">RAND()</f>
        <v>0.998517673527027</v>
      </c>
      <c r="BM24" s="161" t="n">
        <f aca="true">RAND()</f>
        <v>0.941606144942233</v>
      </c>
      <c r="BN24" s="161" t="n">
        <f aca="true">RAND()</f>
        <v>0.525942592900429</v>
      </c>
      <c r="BO24" s="161" t="n">
        <f aca="true">RAND()</f>
        <v>0.319836131222028</v>
      </c>
      <c r="BP24" s="161" t="n">
        <f aca="true">RAND()</f>
        <v>0.446394569798649</v>
      </c>
      <c r="BQ24" s="161" t="n">
        <f aca="true">RAND()</f>
        <v>0.985733170075679</v>
      </c>
      <c r="BR24" s="161" t="n">
        <f aca="true">RAND()</f>
        <v>0.720829485808403</v>
      </c>
      <c r="BS24" s="161" t="n">
        <f aca="true">RAND()</f>
        <v>0.931586483720401</v>
      </c>
      <c r="BT24" s="161" t="n">
        <f aca="true">RAND()</f>
        <v>0.568899279234712</v>
      </c>
      <c r="BU24" s="161" t="n">
        <f aca="true">RAND()</f>
        <v>0.328231771145599</v>
      </c>
      <c r="BV24" s="161" t="n">
        <f aca="true">RAND()</f>
        <v>0.706580730678194</v>
      </c>
      <c r="BW24" s="161" t="n">
        <f aca="true">RAND()</f>
        <v>0.0984978680798711</v>
      </c>
      <c r="BX24" s="161" t="n">
        <f aca="true">RAND()</f>
        <v>0.231199592556208</v>
      </c>
      <c r="BY24" s="161" t="n">
        <f aca="true">RAND()</f>
        <v>0.0767176682320306</v>
      </c>
      <c r="BZ24" s="162" t="n">
        <f aca="false">Simulator!K27*Simulator!$D$5+Simulator!L27*Simulator!$D$6+Simulator!M27*Simulator!$D$7+Simulator!N27*Simulator!$D$8+Simulator!O27*Simulator!$D$9+Simulator!P27*Simulator!$D$10</f>
        <v>0.674238847820199</v>
      </c>
      <c r="CA24" s="162" t="n">
        <f aca="false">IF($BZ24=0,0.1667,(Simulator!K27*Simulator!$D$5)/$BZ24)</f>
        <v>0.431660433087211</v>
      </c>
      <c r="CB24" s="162" t="n">
        <f aca="false">IF($BZ24=0,0.3333,(Simulator!K27*Simulator!$D$5+Simulator!L27*Simulator!$D$6)/$BZ24)</f>
        <v>0.888914571232999</v>
      </c>
      <c r="CC24" s="162" t="n">
        <f aca="false">IF($BZ24=0,0.5,(Simulator!K27*Simulator!$D$5+Simulator!L27*Simulator!$D$6+Simulator!M27*Simulator!$D$7)/$BZ24)</f>
        <v>0.927108581083345</v>
      </c>
      <c r="CD24" s="162" t="n">
        <f aca="false">IF($BZ24=0,0.6667,(Simulator!K27*Simulator!$D$5+Simulator!L27*Simulator!$D$6+Simulator!M27*Simulator!$D$7+Simulator!N27*Simulator!$D$8)/$BZ24)</f>
        <v>0.994947854841433</v>
      </c>
      <c r="CE24" s="162" t="n">
        <f aca="false">IF($BZ24=0,0.8333,(Simulator!K27*Simulator!$D$5+Simulator!L27*Simulator!$D$6+Simulator!M27*Simulator!$D$7+Simulator!N27*Simulator!$D$8+Simulator!O27*Simulator!$D$9)/$BZ24)</f>
        <v>1</v>
      </c>
    </row>
    <row r="25" customFormat="false" ht="15" hidden="false" customHeight="false" outlineLevel="0" collapsed="false">
      <c r="A25" s="160" t="s">
        <v>70</v>
      </c>
      <c r="B25" s="161" t="n">
        <f aca="true">RAND()</f>
        <v>0.585883125546596</v>
      </c>
      <c r="C25" s="161" t="n">
        <f aca="true">RAND()</f>
        <v>0.564802703509364</v>
      </c>
      <c r="D25" s="161" t="n">
        <f aca="true">RAND()</f>
        <v>0.955890552577888</v>
      </c>
      <c r="E25" s="161" t="n">
        <f aca="true">RAND()</f>
        <v>0.826805907512831</v>
      </c>
      <c r="F25" s="161" t="n">
        <f aca="true">RAND()</f>
        <v>0.038740000698172</v>
      </c>
      <c r="G25" s="161" t="n">
        <f aca="true">RAND()</f>
        <v>0.199792453677341</v>
      </c>
      <c r="H25" s="161" t="n">
        <f aca="true">RAND()</f>
        <v>0.419036806046279</v>
      </c>
      <c r="I25" s="161" t="n">
        <f aca="true">RAND()</f>
        <v>0.982483865573613</v>
      </c>
      <c r="J25" s="161" t="n">
        <f aca="true">RAND()</f>
        <v>0.0242968089018432</v>
      </c>
      <c r="K25" s="161" t="n">
        <f aca="true">RAND()</f>
        <v>0.864630596673365</v>
      </c>
      <c r="L25" s="161" t="n">
        <f aca="true">RAND()</f>
        <v>0.969254440285903</v>
      </c>
      <c r="M25" s="161" t="n">
        <f aca="true">RAND()</f>
        <v>0.254388547071996</v>
      </c>
      <c r="N25" s="161" t="n">
        <f aca="true">RAND()</f>
        <v>0.844024638873838</v>
      </c>
      <c r="O25" s="161" t="n">
        <f aca="true">RAND()</f>
        <v>0.992097434624475</v>
      </c>
      <c r="P25" s="161" t="n">
        <f aca="true">RAND()</f>
        <v>0.777563840286628</v>
      </c>
      <c r="Q25" s="161" t="n">
        <f aca="true">RAND()</f>
        <v>0.109352052995728</v>
      </c>
      <c r="R25" s="161" t="n">
        <f aca="true">RAND()</f>
        <v>0.397588514885923</v>
      </c>
      <c r="S25" s="161" t="n">
        <f aca="true">RAND()</f>
        <v>0.85615463365738</v>
      </c>
      <c r="T25" s="161" t="n">
        <f aca="true">RAND()</f>
        <v>0.184596909954566</v>
      </c>
      <c r="U25" s="161" t="n">
        <f aca="true">RAND()</f>
        <v>0.977184858575597</v>
      </c>
      <c r="V25" s="161" t="n">
        <f aca="true">RAND()</f>
        <v>0.184269796045373</v>
      </c>
      <c r="W25" s="161" t="n">
        <f aca="true">RAND()</f>
        <v>0.39674891165172</v>
      </c>
      <c r="X25" s="161" t="n">
        <f aca="true">RAND()</f>
        <v>0.48213794202855</v>
      </c>
      <c r="Y25" s="161" t="n">
        <f aca="true">RAND()</f>
        <v>0.18793624383395</v>
      </c>
      <c r="Z25" s="161" t="n">
        <f aca="true">RAND()</f>
        <v>0.913476007523837</v>
      </c>
      <c r="AA25" s="161" t="n">
        <f aca="true">RAND()</f>
        <v>0.145703937816485</v>
      </c>
      <c r="AB25" s="161" t="n">
        <f aca="true">RAND()</f>
        <v>0.967795617392887</v>
      </c>
      <c r="AC25" s="161" t="n">
        <f aca="true">RAND()</f>
        <v>0.675974778848589</v>
      </c>
      <c r="AD25" s="161" t="n">
        <f aca="true">RAND()</f>
        <v>0.826572259281211</v>
      </c>
      <c r="AE25" s="161" t="n">
        <f aca="true">RAND()</f>
        <v>0.948072177894284</v>
      </c>
      <c r="AF25" s="161" t="n">
        <f aca="true">RAND()</f>
        <v>0.536885045822681</v>
      </c>
      <c r="AG25" s="161" t="n">
        <f aca="true">RAND()</f>
        <v>0.848447080479304</v>
      </c>
      <c r="AH25" s="161" t="n">
        <f aca="true">RAND()</f>
        <v>0.214936889061218</v>
      </c>
      <c r="AI25" s="161" t="n">
        <f aca="true">RAND()</f>
        <v>0.312196408477795</v>
      </c>
      <c r="AJ25" s="161" t="n">
        <f aca="true">RAND()</f>
        <v>0.605444125072255</v>
      </c>
      <c r="AK25" s="161" t="n">
        <f aca="true">RAND()</f>
        <v>0.982850015810893</v>
      </c>
      <c r="AL25" s="161" t="n">
        <f aca="true">RAND()</f>
        <v>0.605016206214155</v>
      </c>
      <c r="AM25" s="161" t="n">
        <f aca="true">RAND()</f>
        <v>0.513144902595308</v>
      </c>
      <c r="AN25" s="161" t="n">
        <f aca="true">RAND()</f>
        <v>0.336568653211122</v>
      </c>
      <c r="AO25" s="161" t="n">
        <f aca="true">RAND()</f>
        <v>0.340038177654501</v>
      </c>
      <c r="AP25" s="161" t="n">
        <f aca="true">RAND()</f>
        <v>0.438797470538199</v>
      </c>
      <c r="AQ25" s="161" t="n">
        <f aca="true">RAND()</f>
        <v>0.148701967474736</v>
      </c>
      <c r="AR25" s="161" t="n">
        <f aca="true">RAND()</f>
        <v>0.00781012674527291</v>
      </c>
      <c r="AS25" s="161" t="n">
        <f aca="true">RAND()</f>
        <v>0.0138880707628596</v>
      </c>
      <c r="AT25" s="161" t="n">
        <f aca="true">RAND()</f>
        <v>0.332373346245683</v>
      </c>
      <c r="AU25" s="161" t="n">
        <f aca="true">RAND()</f>
        <v>0.368339106589386</v>
      </c>
      <c r="AV25" s="161" t="n">
        <f aca="true">RAND()</f>
        <v>0.501146215561739</v>
      </c>
      <c r="AW25" s="161" t="n">
        <f aca="true">RAND()</f>
        <v>0.869082541954806</v>
      </c>
      <c r="AX25" s="161" t="n">
        <f aca="true">RAND()</f>
        <v>0.433826078498895</v>
      </c>
      <c r="AY25" s="161" t="n">
        <f aca="true">RAND()</f>
        <v>0.61236921860227</v>
      </c>
      <c r="AZ25" s="161" t="n">
        <f aca="true">RAND()</f>
        <v>0.0501750282389274</v>
      </c>
      <c r="BA25" s="161" t="n">
        <f aca="true">RAND()</f>
        <v>0.692845085124238</v>
      </c>
      <c r="BB25" s="161" t="n">
        <f aca="true">RAND()</f>
        <v>0.420255627529354</v>
      </c>
      <c r="BC25" s="161" t="n">
        <f aca="true">RAND()</f>
        <v>0.358072218699991</v>
      </c>
      <c r="BD25" s="161" t="n">
        <f aca="true">RAND()</f>
        <v>0.68043581862681</v>
      </c>
      <c r="BE25" s="161" t="n">
        <f aca="true">RAND()</f>
        <v>0.0950374932402722</v>
      </c>
      <c r="BF25" s="161" t="n">
        <f aca="true">RAND()</f>
        <v>0.861633287728514</v>
      </c>
      <c r="BG25" s="161" t="n">
        <f aca="true">RAND()</f>
        <v>0.688535621597625</v>
      </c>
      <c r="BH25" s="161" t="n">
        <f aca="true">RAND()</f>
        <v>0.97924391650105</v>
      </c>
      <c r="BI25" s="161" t="n">
        <f aca="true">RAND()</f>
        <v>0.915940672221796</v>
      </c>
      <c r="BJ25" s="161" t="n">
        <f aca="true">RAND()</f>
        <v>0.594604362563222</v>
      </c>
      <c r="BK25" s="161" t="n">
        <f aca="true">RAND()</f>
        <v>0.323842215778255</v>
      </c>
      <c r="BL25" s="161" t="n">
        <f aca="true">RAND()</f>
        <v>0.714152145712007</v>
      </c>
      <c r="BM25" s="161" t="n">
        <f aca="true">RAND()</f>
        <v>0.93614000925438</v>
      </c>
      <c r="BN25" s="161" t="n">
        <f aca="true">RAND()</f>
        <v>0.563417709527657</v>
      </c>
      <c r="BO25" s="161" t="n">
        <f aca="true">RAND()</f>
        <v>0.582541474269572</v>
      </c>
      <c r="BP25" s="161" t="n">
        <f aca="true">RAND()</f>
        <v>0.00303109594522438</v>
      </c>
      <c r="BQ25" s="161" t="n">
        <f aca="true">RAND()</f>
        <v>0.220802679980649</v>
      </c>
      <c r="BR25" s="161" t="n">
        <f aca="true">RAND()</f>
        <v>0.146851240771688</v>
      </c>
      <c r="BS25" s="161" t="n">
        <f aca="true">RAND()</f>
        <v>0.165004014545338</v>
      </c>
      <c r="BT25" s="161" t="n">
        <f aca="true">RAND()</f>
        <v>0.375695580245268</v>
      </c>
      <c r="BU25" s="161" t="n">
        <f aca="true">RAND()</f>
        <v>0.329894689471193</v>
      </c>
      <c r="BV25" s="161" t="n">
        <f aca="true">RAND()</f>
        <v>0.951798273318419</v>
      </c>
      <c r="BW25" s="161" t="n">
        <f aca="true">RAND()</f>
        <v>0.14168045550271</v>
      </c>
      <c r="BX25" s="161" t="n">
        <f aca="true">RAND()</f>
        <v>0.568339171771491</v>
      </c>
      <c r="BY25" s="161" t="n">
        <f aca="true">RAND()</f>
        <v>0.911162993470154</v>
      </c>
      <c r="BZ25" s="162" t="n">
        <f aca="false">Simulator!K28*Simulator!$D$5+Simulator!L28*Simulator!$D$6+Simulator!M28*Simulator!$D$7+Simulator!N28*Simulator!$D$8+Simulator!O28*Simulator!$D$9+Simulator!P28*Simulator!$D$10</f>
        <v>0.688833615217322</v>
      </c>
      <c r="CA25" s="162" t="n">
        <f aca="false">IF($BZ25=0,0.1667,(Simulator!K28*Simulator!$D$5)/$BZ25)</f>
        <v>0.458125225290279</v>
      </c>
      <c r="CB25" s="162" t="n">
        <f aca="false">IF($BZ25=0,0.3333,(Simulator!K28*Simulator!$D$5+Simulator!L28*Simulator!$D$6)/$BZ25)</f>
        <v>0.895239483727948</v>
      </c>
      <c r="CC25" s="162" t="n">
        <f aca="false">IF($BZ25=0,0.5,(Simulator!K28*Simulator!$D$5+Simulator!L28*Simulator!$D$6+Simulator!M28*Simulator!$D$7)/$BZ25)</f>
        <v>0.945245157827188</v>
      </c>
      <c r="CD25" s="162" t="n">
        <f aca="false">IF($BZ25=0,0.6667,(Simulator!K28*Simulator!$D$5+Simulator!L28*Simulator!$D$6+Simulator!M28*Simulator!$D$7+Simulator!N28*Simulator!$D$8)/$BZ25)</f>
        <v>0.995456989817612</v>
      </c>
      <c r="CE25" s="162" t="n">
        <f aca="false">IF($BZ25=0,0.8333,(Simulator!K28*Simulator!$D$5+Simulator!L28*Simulator!$D$6+Simulator!M28*Simulator!$D$7+Simulator!N28*Simulator!$D$8+Simulator!O28*Simulator!$D$9)/$BZ25)</f>
        <v>1</v>
      </c>
    </row>
    <row r="26" customFormat="false" ht="15" hidden="false" customHeight="false" outlineLevel="0" collapsed="false">
      <c r="A26" s="160" t="s">
        <v>71</v>
      </c>
      <c r="B26" s="161" t="n">
        <f aca="true">RAND()</f>
        <v>0.655855510863841</v>
      </c>
      <c r="C26" s="161" t="n">
        <f aca="true">RAND()</f>
        <v>0.259616681217823</v>
      </c>
      <c r="D26" s="161" t="n">
        <f aca="true">RAND()</f>
        <v>0.0408821024182486</v>
      </c>
      <c r="E26" s="161" t="n">
        <f aca="true">RAND()</f>
        <v>0.0625254280265917</v>
      </c>
      <c r="F26" s="161" t="n">
        <f aca="true">RAND()</f>
        <v>0.735037109560965</v>
      </c>
      <c r="G26" s="161" t="n">
        <f aca="true">RAND()</f>
        <v>0.191848665190472</v>
      </c>
      <c r="H26" s="161" t="n">
        <f aca="true">RAND()</f>
        <v>0.0985689191660565</v>
      </c>
      <c r="I26" s="161" t="n">
        <f aca="true">RAND()</f>
        <v>0.373679289948362</v>
      </c>
      <c r="J26" s="161" t="n">
        <f aca="true">RAND()</f>
        <v>0.907795488243678</v>
      </c>
      <c r="K26" s="161" t="n">
        <f aca="true">RAND()</f>
        <v>0.0576891041369148</v>
      </c>
      <c r="L26" s="161" t="n">
        <f aca="true">RAND()</f>
        <v>0.645855510245157</v>
      </c>
      <c r="M26" s="161" t="n">
        <f aca="true">RAND()</f>
        <v>0.843064254132874</v>
      </c>
      <c r="N26" s="161" t="n">
        <f aca="true">RAND()</f>
        <v>0.252939818429917</v>
      </c>
      <c r="O26" s="161" t="n">
        <f aca="true">RAND()</f>
        <v>0.9651989983721</v>
      </c>
      <c r="P26" s="161" t="n">
        <f aca="true">RAND()</f>
        <v>0.276051313153267</v>
      </c>
      <c r="Q26" s="161" t="n">
        <f aca="true">RAND()</f>
        <v>0.238379448833245</v>
      </c>
      <c r="R26" s="161" t="n">
        <f aca="true">RAND()</f>
        <v>0.104444554146782</v>
      </c>
      <c r="S26" s="161" t="n">
        <f aca="true">RAND()</f>
        <v>0.926245500838364</v>
      </c>
      <c r="T26" s="161" t="n">
        <f aca="true">RAND()</f>
        <v>0.422716163237131</v>
      </c>
      <c r="U26" s="161" t="n">
        <f aca="true">RAND()</f>
        <v>0.977540648688261</v>
      </c>
      <c r="V26" s="161" t="n">
        <f aca="true">RAND()</f>
        <v>0.526714776125573</v>
      </c>
      <c r="W26" s="161" t="n">
        <f aca="true">RAND()</f>
        <v>0.403970282703682</v>
      </c>
      <c r="X26" s="161" t="n">
        <f aca="true">RAND()</f>
        <v>0.850035238988455</v>
      </c>
      <c r="Y26" s="161" t="n">
        <f aca="true">RAND()</f>
        <v>0.217829267747958</v>
      </c>
      <c r="Z26" s="161" t="n">
        <f aca="true">RAND()</f>
        <v>0.911193879171955</v>
      </c>
      <c r="AA26" s="161" t="n">
        <f aca="true">RAND()</f>
        <v>0.315068881072253</v>
      </c>
      <c r="AB26" s="161" t="n">
        <f aca="true">RAND()</f>
        <v>0.3066797588476</v>
      </c>
      <c r="AC26" s="161" t="n">
        <f aca="true">RAND()</f>
        <v>0.0350575498941174</v>
      </c>
      <c r="AD26" s="161" t="n">
        <f aca="true">RAND()</f>
        <v>0.226050126743131</v>
      </c>
      <c r="AE26" s="161" t="n">
        <f aca="true">RAND()</f>
        <v>0.897350977548533</v>
      </c>
      <c r="AF26" s="161" t="n">
        <f aca="true">RAND()</f>
        <v>0.766765569517883</v>
      </c>
      <c r="AG26" s="161" t="n">
        <f aca="true">RAND()</f>
        <v>0.463115421458429</v>
      </c>
      <c r="AH26" s="161" t="n">
        <f aca="true">RAND()</f>
        <v>0.385835354242006</v>
      </c>
      <c r="AI26" s="161" t="n">
        <f aca="true">RAND()</f>
        <v>0.318240660205764</v>
      </c>
      <c r="AJ26" s="161" t="n">
        <f aca="true">RAND()</f>
        <v>0.472888054938984</v>
      </c>
      <c r="AK26" s="161" t="n">
        <f aca="true">RAND()</f>
        <v>0.377596158076117</v>
      </c>
      <c r="AL26" s="161" t="n">
        <f aca="true">RAND()</f>
        <v>0.781172403647369</v>
      </c>
      <c r="AM26" s="161" t="n">
        <f aca="true">RAND()</f>
        <v>0.783428448175747</v>
      </c>
      <c r="AN26" s="161" t="n">
        <f aca="true">RAND()</f>
        <v>0.305132271830105</v>
      </c>
      <c r="AO26" s="161" t="n">
        <f aca="true">RAND()</f>
        <v>0.531375012667077</v>
      </c>
      <c r="AP26" s="161" t="n">
        <f aca="true">RAND()</f>
        <v>0.904902932123175</v>
      </c>
      <c r="AQ26" s="161" t="n">
        <f aca="true">RAND()</f>
        <v>0.388014796886688</v>
      </c>
      <c r="AR26" s="161" t="n">
        <f aca="true">RAND()</f>
        <v>0.558998218246066</v>
      </c>
      <c r="AS26" s="161" t="n">
        <f aca="true">RAND()</f>
        <v>0.342974432061564</v>
      </c>
      <c r="AT26" s="161" t="n">
        <f aca="true">RAND()</f>
        <v>0.249905751666237</v>
      </c>
      <c r="AU26" s="161" t="n">
        <f aca="true">RAND()</f>
        <v>0.560655941665426</v>
      </c>
      <c r="AV26" s="161" t="n">
        <f aca="true">RAND()</f>
        <v>0.999972613752685</v>
      </c>
      <c r="AW26" s="161" t="n">
        <f aca="true">RAND()</f>
        <v>0.00541985913467499</v>
      </c>
      <c r="AX26" s="161" t="n">
        <f aca="true">RAND()</f>
        <v>0.644487083205897</v>
      </c>
      <c r="AY26" s="161" t="n">
        <f aca="true">RAND()</f>
        <v>0.692967068879147</v>
      </c>
      <c r="AZ26" s="161" t="n">
        <f aca="true">RAND()</f>
        <v>0.178891801624481</v>
      </c>
      <c r="BA26" s="161" t="n">
        <f aca="true">RAND()</f>
        <v>0.612629722296002</v>
      </c>
      <c r="BB26" s="161" t="n">
        <f aca="true">RAND()</f>
        <v>0.554313689201947</v>
      </c>
      <c r="BC26" s="161" t="n">
        <f aca="true">RAND()</f>
        <v>0.799910920907557</v>
      </c>
      <c r="BD26" s="161" t="n">
        <f aca="true">RAND()</f>
        <v>0.361517895971042</v>
      </c>
      <c r="BE26" s="161" t="n">
        <f aca="true">RAND()</f>
        <v>0.211534927744128</v>
      </c>
      <c r="BF26" s="161" t="n">
        <f aca="true">RAND()</f>
        <v>0.717219074070535</v>
      </c>
      <c r="BG26" s="161" t="n">
        <f aca="true">RAND()</f>
        <v>0.740650784569901</v>
      </c>
      <c r="BH26" s="161" t="n">
        <f aca="true">RAND()</f>
        <v>0.562132889008422</v>
      </c>
      <c r="BI26" s="161" t="n">
        <f aca="true">RAND()</f>
        <v>0.820166544807659</v>
      </c>
      <c r="BJ26" s="161" t="n">
        <f aca="true">RAND()</f>
        <v>0.864572081805189</v>
      </c>
      <c r="BK26" s="161" t="n">
        <f aca="true">RAND()</f>
        <v>0.232451897127639</v>
      </c>
      <c r="BL26" s="161" t="n">
        <f aca="true">RAND()</f>
        <v>0.439830627353066</v>
      </c>
      <c r="BM26" s="161" t="n">
        <f aca="true">RAND()</f>
        <v>0.546757137249939</v>
      </c>
      <c r="BN26" s="161" t="n">
        <f aca="true">RAND()</f>
        <v>0.832426259658147</v>
      </c>
      <c r="BO26" s="161" t="n">
        <f aca="true">RAND()</f>
        <v>0.844408057729551</v>
      </c>
      <c r="BP26" s="161" t="n">
        <f aca="true">RAND()</f>
        <v>0.0204355415080427</v>
      </c>
      <c r="BQ26" s="161" t="n">
        <f aca="true">RAND()</f>
        <v>0.273513688409831</v>
      </c>
      <c r="BR26" s="161" t="n">
        <f aca="true">RAND()</f>
        <v>0.0996837719085366</v>
      </c>
      <c r="BS26" s="161" t="n">
        <f aca="true">RAND()</f>
        <v>0.803100237177829</v>
      </c>
      <c r="BT26" s="161" t="n">
        <f aca="true">RAND()</f>
        <v>0.0134512861065441</v>
      </c>
      <c r="BU26" s="161" t="n">
        <f aca="true">RAND()</f>
        <v>0.294523580134576</v>
      </c>
      <c r="BV26" s="161" t="n">
        <f aca="true">RAND()</f>
        <v>0.297225346002015</v>
      </c>
      <c r="BW26" s="161" t="n">
        <f aca="true">RAND()</f>
        <v>0.272618573172031</v>
      </c>
      <c r="BX26" s="161" t="n">
        <f aca="true">RAND()</f>
        <v>0.755410764019181</v>
      </c>
      <c r="BY26" s="161" t="n">
        <f aca="true">RAND()</f>
        <v>0.211247951380464</v>
      </c>
      <c r="BZ26" s="162" t="n">
        <f aca="false">Simulator!K29*Simulator!$D$5+Simulator!L29*Simulator!$D$6+Simulator!M29*Simulator!$D$7+Simulator!N29*Simulator!$D$8+Simulator!O29*Simulator!$D$9+Simulator!P29*Simulator!$D$10</f>
        <v>0.651268094006341</v>
      </c>
      <c r="CA26" s="162" t="n">
        <f aca="false">IF($BZ26=0,0.1667,(Simulator!K29*Simulator!$D$5)/$BZ26)</f>
        <v>0.388399614894783</v>
      </c>
      <c r="CB26" s="162" t="n">
        <f aca="false">IF($BZ26=0,0.3333,(Simulator!K29*Simulator!$D$5+Simulator!L29*Simulator!$D$6)/$BZ26)</f>
        <v>0.875701835427922</v>
      </c>
      <c r="CC26" s="162" t="n">
        <f aca="false">IF($BZ26=0,0.5,(Simulator!K29*Simulator!$D$5+Simulator!L29*Simulator!$D$6+Simulator!M29*Simulator!$D$7)/$BZ26)</f>
        <v>0.925358097216612</v>
      </c>
      <c r="CD26" s="162" t="n">
        <f aca="false">IF($BZ26=0,0.6667,(Simulator!K29*Simulator!$D$5+Simulator!L29*Simulator!$D$6+Simulator!M29*Simulator!$D$7+Simulator!N29*Simulator!$D$8)/$BZ26)</f>
        <v>0.994638585188665</v>
      </c>
      <c r="CE26" s="162" t="n">
        <f aca="false">IF($BZ26=0,0.8333,(Simulator!K29*Simulator!$D$5+Simulator!L29*Simulator!$D$6+Simulator!M29*Simulator!$D$7+Simulator!N29*Simulator!$D$8+Simulator!O29*Simulator!$D$9)/$BZ26)</f>
        <v>1</v>
      </c>
    </row>
    <row r="27" customFormat="false" ht="15" hidden="false" customHeight="false" outlineLevel="0" collapsed="false">
      <c r="A27" s="160" t="s">
        <v>72</v>
      </c>
      <c r="B27" s="161" t="n">
        <f aca="true">RAND()</f>
        <v>0.30581693261138</v>
      </c>
      <c r="C27" s="161" t="n">
        <f aca="true">RAND()</f>
        <v>0.361511901842609</v>
      </c>
      <c r="D27" s="161" t="n">
        <f aca="true">RAND()</f>
        <v>0.0648990193239566</v>
      </c>
      <c r="E27" s="161" t="n">
        <f aca="true">RAND()</f>
        <v>0.668173011330623</v>
      </c>
      <c r="F27" s="161" t="n">
        <f aca="true">RAND()</f>
        <v>0.114746674558346</v>
      </c>
      <c r="G27" s="161" t="n">
        <f aca="true">RAND()</f>
        <v>0.266557039392351</v>
      </c>
      <c r="H27" s="161" t="n">
        <f aca="true">RAND()</f>
        <v>0.59351919526799</v>
      </c>
      <c r="I27" s="161" t="n">
        <f aca="true">RAND()</f>
        <v>0.755119557029702</v>
      </c>
      <c r="J27" s="161" t="n">
        <f aca="true">RAND()</f>
        <v>0.101999386974119</v>
      </c>
      <c r="K27" s="161" t="n">
        <f aca="true">RAND()</f>
        <v>0.847147156331977</v>
      </c>
      <c r="L27" s="161" t="n">
        <f aca="true">RAND()</f>
        <v>0.527734323470796</v>
      </c>
      <c r="M27" s="161" t="n">
        <f aca="true">RAND()</f>
        <v>0.90324548163842</v>
      </c>
      <c r="N27" s="161" t="n">
        <f aca="true">RAND()</f>
        <v>0.139241100712174</v>
      </c>
      <c r="O27" s="161" t="n">
        <f aca="true">RAND()</f>
        <v>0.0656309217254286</v>
      </c>
      <c r="P27" s="161" t="n">
        <f aca="true">RAND()</f>
        <v>0.771690621602557</v>
      </c>
      <c r="Q27" s="161" t="n">
        <f aca="true">RAND()</f>
        <v>0.348114813361889</v>
      </c>
      <c r="R27" s="161" t="n">
        <f aca="true">RAND()</f>
        <v>0.660210227288302</v>
      </c>
      <c r="S27" s="161" t="n">
        <f aca="true">RAND()</f>
        <v>0.0399647396658047</v>
      </c>
      <c r="T27" s="161" t="n">
        <f aca="true">RAND()</f>
        <v>0.308708571721681</v>
      </c>
      <c r="U27" s="161" t="n">
        <f aca="true">RAND()</f>
        <v>0.936410530249223</v>
      </c>
      <c r="V27" s="161" t="n">
        <f aca="true">RAND()</f>
        <v>0.276315494488748</v>
      </c>
      <c r="W27" s="161" t="n">
        <f aca="true">RAND()</f>
        <v>0.417790234474224</v>
      </c>
      <c r="X27" s="161" t="n">
        <f aca="true">RAND()</f>
        <v>0.376533659693408</v>
      </c>
      <c r="Y27" s="161" t="n">
        <f aca="true">RAND()</f>
        <v>0.911022246357088</v>
      </c>
      <c r="Z27" s="161" t="n">
        <f aca="true">RAND()</f>
        <v>0.438119450784658</v>
      </c>
      <c r="AA27" s="161" t="n">
        <f aca="true">RAND()</f>
        <v>0.535450846490826</v>
      </c>
      <c r="AB27" s="161" t="n">
        <f aca="true">RAND()</f>
        <v>0.200692102316128</v>
      </c>
      <c r="AC27" s="161" t="n">
        <f aca="true">RAND()</f>
        <v>0.408846022808814</v>
      </c>
      <c r="AD27" s="161" t="n">
        <f aca="true">RAND()</f>
        <v>0.242566252462588</v>
      </c>
      <c r="AE27" s="161" t="n">
        <f aca="true">RAND()</f>
        <v>0.525146640438438</v>
      </c>
      <c r="AF27" s="161" t="n">
        <f aca="true">RAND()</f>
        <v>0.0851201617946245</v>
      </c>
      <c r="AG27" s="161" t="n">
        <f aca="true">RAND()</f>
        <v>0.689360134932246</v>
      </c>
      <c r="AH27" s="161" t="n">
        <f aca="true">RAND()</f>
        <v>0.689128548289196</v>
      </c>
      <c r="AI27" s="161" t="n">
        <f aca="true">RAND()</f>
        <v>0.419459575995453</v>
      </c>
      <c r="AJ27" s="161" t="n">
        <f aca="true">RAND()</f>
        <v>0.430817336504384</v>
      </c>
      <c r="AK27" s="161" t="n">
        <f aca="true">RAND()</f>
        <v>0.871124368046721</v>
      </c>
      <c r="AL27" s="161" t="n">
        <f aca="true">RAND()</f>
        <v>0.890522173190144</v>
      </c>
      <c r="AM27" s="161" t="n">
        <f aca="true">RAND()</f>
        <v>0.0962529938212638</v>
      </c>
      <c r="AN27" s="161" t="n">
        <f aca="true">RAND()</f>
        <v>0.649447036353754</v>
      </c>
      <c r="AO27" s="161" t="n">
        <f aca="true">RAND()</f>
        <v>0.0286134360321058</v>
      </c>
      <c r="AP27" s="161" t="n">
        <f aca="true">RAND()</f>
        <v>0.0277159713595436</v>
      </c>
      <c r="AQ27" s="161" t="n">
        <f aca="true">RAND()</f>
        <v>0.457143264089397</v>
      </c>
      <c r="AR27" s="161" t="n">
        <f aca="true">RAND()</f>
        <v>0.237266385689887</v>
      </c>
      <c r="AS27" s="161" t="n">
        <f aca="true">RAND()</f>
        <v>0.444624929933297</v>
      </c>
      <c r="AT27" s="161" t="n">
        <f aca="true">RAND()</f>
        <v>0.930968123138599</v>
      </c>
      <c r="AU27" s="161" t="n">
        <f aca="true">RAND()</f>
        <v>0.393231438274507</v>
      </c>
      <c r="AV27" s="161" t="n">
        <f aca="true">RAND()</f>
        <v>0.419895179253074</v>
      </c>
      <c r="AW27" s="161" t="n">
        <f aca="true">RAND()</f>
        <v>0.663424724643454</v>
      </c>
      <c r="AX27" s="161" t="n">
        <f aca="true">RAND()</f>
        <v>0.205398895613765</v>
      </c>
      <c r="AY27" s="161" t="n">
        <f aca="true">RAND()</f>
        <v>0.404259870701961</v>
      </c>
      <c r="AZ27" s="161" t="n">
        <f aca="true">RAND()</f>
        <v>0.184529346493196</v>
      </c>
      <c r="BA27" s="161" t="n">
        <f aca="true">RAND()</f>
        <v>0.17766574307035</v>
      </c>
      <c r="BB27" s="161" t="n">
        <f aca="true">RAND()</f>
        <v>0.736381914242712</v>
      </c>
      <c r="BC27" s="161" t="n">
        <f aca="true">RAND()</f>
        <v>0.269920139192259</v>
      </c>
      <c r="BD27" s="161" t="n">
        <f aca="true">RAND()</f>
        <v>0.690321936121035</v>
      </c>
      <c r="BE27" s="161" t="n">
        <f aca="true">RAND()</f>
        <v>0.46852872909513</v>
      </c>
      <c r="BF27" s="161" t="n">
        <f aca="true">RAND()</f>
        <v>0.982847871479899</v>
      </c>
      <c r="BG27" s="161" t="n">
        <f aca="true">RAND()</f>
        <v>0.152089848231255</v>
      </c>
      <c r="BH27" s="161" t="n">
        <f aca="true">RAND()</f>
        <v>0.495063482208567</v>
      </c>
      <c r="BI27" s="161" t="n">
        <f aca="true">RAND()</f>
        <v>0.1250804912559</v>
      </c>
      <c r="BJ27" s="161" t="n">
        <f aca="true">RAND()</f>
        <v>0.554263145238262</v>
      </c>
      <c r="BK27" s="161" t="n">
        <f aca="true">RAND()</f>
        <v>0.00449294088673387</v>
      </c>
      <c r="BL27" s="161" t="n">
        <f aca="true">RAND()</f>
        <v>0.961044136092913</v>
      </c>
      <c r="BM27" s="161" t="n">
        <f aca="true">RAND()</f>
        <v>0.851787518561236</v>
      </c>
      <c r="BN27" s="161" t="n">
        <f aca="true">RAND()</f>
        <v>0.0162413536218073</v>
      </c>
      <c r="BO27" s="161" t="n">
        <f aca="true">RAND()</f>
        <v>0.125352092532925</v>
      </c>
      <c r="BP27" s="161" t="n">
        <f aca="true">RAND()</f>
        <v>0.606325617760484</v>
      </c>
      <c r="BQ27" s="161" t="n">
        <f aca="true">RAND()</f>
        <v>0.9980679302186</v>
      </c>
      <c r="BR27" s="161" t="n">
        <f aca="true">RAND()</f>
        <v>0.0545806921619152</v>
      </c>
      <c r="BS27" s="161" t="n">
        <f aca="true">RAND()</f>
        <v>0.276008274662141</v>
      </c>
      <c r="BT27" s="161" t="n">
        <f aca="true">RAND()</f>
        <v>0.0750742630855441</v>
      </c>
      <c r="BU27" s="161" t="n">
        <f aca="true">RAND()</f>
        <v>0.744065514386691</v>
      </c>
      <c r="BV27" s="161" t="n">
        <f aca="true">RAND()</f>
        <v>0.747314209880538</v>
      </c>
      <c r="BW27" s="161" t="n">
        <f aca="true">RAND()</f>
        <v>0.519077463606495</v>
      </c>
      <c r="BX27" s="161" t="n">
        <f aca="true">RAND()</f>
        <v>0.268802451700958</v>
      </c>
      <c r="BY27" s="161" t="n">
        <f aca="true">RAND()</f>
        <v>0.187593544556832</v>
      </c>
      <c r="BZ27" s="162" t="n">
        <f aca="false">Simulator!K30*Simulator!$D$5+Simulator!L30*Simulator!$D$6+Simulator!M30*Simulator!$D$7+Simulator!N30*Simulator!$D$8+Simulator!O30*Simulator!$D$9+Simulator!P30*Simulator!$D$10</f>
        <v>0.691338689319233</v>
      </c>
      <c r="CA27" s="162" t="n">
        <f aca="false">IF($BZ27=0,0.1667,(Simulator!K30*Simulator!$D$5)/$BZ27)</f>
        <v>0.394322392526328</v>
      </c>
      <c r="CB27" s="162" t="n">
        <f aca="false">IF($BZ27=0,0.3333,(Simulator!K30*Simulator!$D$5+Simulator!L30*Simulator!$D$6)/$BZ27)</f>
        <v>0.898441508087335</v>
      </c>
      <c r="CC27" s="162" t="n">
        <f aca="false">IF($BZ27=0,0.5,(Simulator!K30*Simulator!$D$5+Simulator!L30*Simulator!$D$6+Simulator!M30*Simulator!$D$7)/$BZ27)</f>
        <v>0.950736844338865</v>
      </c>
      <c r="CD27" s="162" t="n">
        <f aca="false">IF($BZ27=0,0.6667,(Simulator!K30*Simulator!$D$5+Simulator!L30*Simulator!$D$6+Simulator!M30*Simulator!$D$7+Simulator!N30*Simulator!$D$8)/$BZ27)</f>
        <v>0.995112341239878</v>
      </c>
      <c r="CE27" s="162" t="n">
        <f aca="false">IF($BZ27=0,0.8333,(Simulator!K30*Simulator!$D$5+Simulator!L30*Simulator!$D$6+Simulator!M30*Simulator!$D$7+Simulator!N30*Simulator!$D$8+Simulator!O30*Simulator!$D$9)/$BZ27)</f>
        <v>1</v>
      </c>
    </row>
    <row r="28" customFormat="false" ht="15" hidden="false" customHeight="false" outlineLevel="0" collapsed="false">
      <c r="A28" s="160" t="s">
        <v>73</v>
      </c>
      <c r="B28" s="161" t="n">
        <f aca="true">RAND()</f>
        <v>0.205469019262231</v>
      </c>
      <c r="C28" s="161" t="n">
        <f aca="true">RAND()</f>
        <v>0.667712866291198</v>
      </c>
      <c r="D28" s="161" t="n">
        <f aca="true">RAND()</f>
        <v>0.0831062055611776</v>
      </c>
      <c r="E28" s="161" t="n">
        <f aca="true">RAND()</f>
        <v>0.411661726379998</v>
      </c>
      <c r="F28" s="161" t="n">
        <f aca="true">RAND()</f>
        <v>0.223082935693443</v>
      </c>
      <c r="G28" s="161" t="n">
        <f aca="true">RAND()</f>
        <v>0.196147681398599</v>
      </c>
      <c r="H28" s="161" t="n">
        <f aca="true">RAND()</f>
        <v>0.0208208117342513</v>
      </c>
      <c r="I28" s="161" t="n">
        <f aca="true">RAND()</f>
        <v>0.573656248992803</v>
      </c>
      <c r="J28" s="161" t="n">
        <f aca="true">RAND()</f>
        <v>0.784020983768566</v>
      </c>
      <c r="K28" s="161" t="n">
        <f aca="true">RAND()</f>
        <v>0.456045016706419</v>
      </c>
      <c r="L28" s="161" t="n">
        <f aca="true">RAND()</f>
        <v>0.746860695867599</v>
      </c>
      <c r="M28" s="161" t="n">
        <f aca="true">RAND()</f>
        <v>0.0551924167151522</v>
      </c>
      <c r="N28" s="161" t="n">
        <f aca="true">RAND()</f>
        <v>0.20750108289097</v>
      </c>
      <c r="O28" s="161" t="n">
        <f aca="true">RAND()</f>
        <v>0.858699600969652</v>
      </c>
      <c r="P28" s="161" t="n">
        <f aca="true">RAND()</f>
        <v>0.21338258595597</v>
      </c>
      <c r="Q28" s="161" t="n">
        <f aca="true">RAND()</f>
        <v>0.0740704196177193</v>
      </c>
      <c r="R28" s="161" t="n">
        <f aca="true">RAND()</f>
        <v>0.792115748029168</v>
      </c>
      <c r="S28" s="161" t="n">
        <f aca="true">RAND()</f>
        <v>0.925209432393584</v>
      </c>
      <c r="T28" s="161" t="n">
        <f aca="true">RAND()</f>
        <v>0.457861636716147</v>
      </c>
      <c r="U28" s="161" t="n">
        <f aca="true">RAND()</f>
        <v>0.967305960410731</v>
      </c>
      <c r="V28" s="161" t="n">
        <f aca="true">RAND()</f>
        <v>0.0815912900424734</v>
      </c>
      <c r="W28" s="161" t="n">
        <f aca="true">RAND()</f>
        <v>0.860769563355253</v>
      </c>
      <c r="X28" s="161" t="n">
        <f aca="true">RAND()</f>
        <v>0.974475968560138</v>
      </c>
      <c r="Y28" s="161" t="n">
        <f aca="true">RAND()</f>
        <v>0.725436565879814</v>
      </c>
      <c r="Z28" s="161" t="n">
        <f aca="true">RAND()</f>
        <v>0.971189783023511</v>
      </c>
      <c r="AA28" s="161" t="n">
        <f aca="true">RAND()</f>
        <v>0.535688142493993</v>
      </c>
      <c r="AB28" s="161" t="n">
        <f aca="true">RAND()</f>
        <v>0.718847641828127</v>
      </c>
      <c r="AC28" s="161" t="n">
        <f aca="true">RAND()</f>
        <v>0.053210903939886</v>
      </c>
      <c r="AD28" s="161" t="n">
        <f aca="true">RAND()</f>
        <v>0.925069564307858</v>
      </c>
      <c r="AE28" s="161" t="n">
        <f aca="true">RAND()</f>
        <v>0.132282771646149</v>
      </c>
      <c r="AF28" s="161" t="n">
        <f aca="true">RAND()</f>
        <v>0.998709110975967</v>
      </c>
      <c r="AG28" s="161" t="n">
        <f aca="true">RAND()</f>
        <v>0.19492994627947</v>
      </c>
      <c r="AH28" s="161" t="n">
        <f aca="true">RAND()</f>
        <v>0.0210520792128634</v>
      </c>
      <c r="AI28" s="161" t="n">
        <f aca="true">RAND()</f>
        <v>0.487532212052151</v>
      </c>
      <c r="AJ28" s="161" t="n">
        <f aca="true">RAND()</f>
        <v>0.935119473837611</v>
      </c>
      <c r="AK28" s="161" t="n">
        <f aca="true">RAND()</f>
        <v>0.948873518508074</v>
      </c>
      <c r="AL28" s="161" t="n">
        <f aca="true">RAND()</f>
        <v>0.129674992530577</v>
      </c>
      <c r="AM28" s="161" t="n">
        <f aca="true">RAND()</f>
        <v>0.0778161294980866</v>
      </c>
      <c r="AN28" s="161" t="n">
        <f aca="true">RAND()</f>
        <v>0.0874721698271224</v>
      </c>
      <c r="AO28" s="161" t="n">
        <f aca="true">RAND()</f>
        <v>0.909974852146648</v>
      </c>
      <c r="AP28" s="161" t="n">
        <f aca="true">RAND()</f>
        <v>0.535125798101986</v>
      </c>
      <c r="AQ28" s="161" t="n">
        <f aca="true">RAND()</f>
        <v>0.90394166799702</v>
      </c>
      <c r="AR28" s="161" t="n">
        <f aca="true">RAND()</f>
        <v>0.432196267240597</v>
      </c>
      <c r="AS28" s="161" t="n">
        <f aca="true">RAND()</f>
        <v>0.65572965156681</v>
      </c>
      <c r="AT28" s="161" t="n">
        <f aca="true">RAND()</f>
        <v>0.748009967287109</v>
      </c>
      <c r="AU28" s="161" t="n">
        <f aca="true">RAND()</f>
        <v>0.0179379285722017</v>
      </c>
      <c r="AV28" s="161" t="n">
        <f aca="true">RAND()</f>
        <v>0.998528257696</v>
      </c>
      <c r="AW28" s="161" t="n">
        <f aca="true">RAND()</f>
        <v>0.849344635176619</v>
      </c>
      <c r="AX28" s="161" t="n">
        <f aca="true">RAND()</f>
        <v>0.262895510894185</v>
      </c>
      <c r="AY28" s="161" t="n">
        <f aca="true">RAND()</f>
        <v>0.907164588473411</v>
      </c>
      <c r="AZ28" s="161" t="n">
        <f aca="true">RAND()</f>
        <v>0.0887957170558147</v>
      </c>
      <c r="BA28" s="161" t="n">
        <f aca="true">RAND()</f>
        <v>0.447445306906409</v>
      </c>
      <c r="BB28" s="161" t="n">
        <f aca="true">RAND()</f>
        <v>0.244854102798177</v>
      </c>
      <c r="BC28" s="161" t="n">
        <f aca="true">RAND()</f>
        <v>0.312777548887907</v>
      </c>
      <c r="BD28" s="161" t="n">
        <f aca="true">RAND()</f>
        <v>0.559145383705053</v>
      </c>
      <c r="BE28" s="161" t="n">
        <f aca="true">RAND()</f>
        <v>0.829952744396235</v>
      </c>
      <c r="BF28" s="161" t="n">
        <f aca="true">RAND()</f>
        <v>0.0863905109750354</v>
      </c>
      <c r="BG28" s="161" t="n">
        <f aca="true">RAND()</f>
        <v>0.505787043040334</v>
      </c>
      <c r="BH28" s="161" t="n">
        <f aca="true">RAND()</f>
        <v>0.757668924654075</v>
      </c>
      <c r="BI28" s="161" t="n">
        <f aca="true">RAND()</f>
        <v>0.446083615703516</v>
      </c>
      <c r="BJ28" s="161" t="n">
        <f aca="true">RAND()</f>
        <v>0.556625474097038</v>
      </c>
      <c r="BK28" s="161" t="n">
        <f aca="true">RAND()</f>
        <v>0.705594278056117</v>
      </c>
      <c r="BL28" s="161" t="n">
        <f aca="true">RAND()</f>
        <v>0.413942197559859</v>
      </c>
      <c r="BM28" s="161" t="n">
        <f aca="true">RAND()</f>
        <v>0.800793205645116</v>
      </c>
      <c r="BN28" s="161" t="n">
        <f aca="true">RAND()</f>
        <v>0.575964190295002</v>
      </c>
      <c r="BO28" s="161" t="n">
        <f aca="true">RAND()</f>
        <v>0.86218642094963</v>
      </c>
      <c r="BP28" s="161" t="n">
        <f aca="true">RAND()</f>
        <v>0.969870099344717</v>
      </c>
      <c r="BQ28" s="161" t="n">
        <f aca="true">RAND()</f>
        <v>0.400713713434331</v>
      </c>
      <c r="BR28" s="161" t="n">
        <f aca="true">RAND()</f>
        <v>0.263579287919762</v>
      </c>
      <c r="BS28" s="161" t="n">
        <f aca="true">RAND()</f>
        <v>0.103892289182153</v>
      </c>
      <c r="BT28" s="161" t="n">
        <f aca="true">RAND()</f>
        <v>0.747689490526552</v>
      </c>
      <c r="BU28" s="161" t="n">
        <f aca="true">RAND()</f>
        <v>0.85545016859406</v>
      </c>
      <c r="BV28" s="161" t="n">
        <f aca="true">RAND()</f>
        <v>0.875644709539579</v>
      </c>
      <c r="BW28" s="161" t="n">
        <f aca="true">RAND()</f>
        <v>0.464620938140277</v>
      </c>
      <c r="BX28" s="161" t="n">
        <f aca="true">RAND()</f>
        <v>0.291602556762235</v>
      </c>
      <c r="BY28" s="161" t="n">
        <f aca="true">RAND()</f>
        <v>0.638765235401983</v>
      </c>
      <c r="BZ28" s="162" t="n">
        <f aca="false">Simulator!K31*Simulator!$D$5+Simulator!L31*Simulator!$D$6+Simulator!M31*Simulator!$D$7+Simulator!N31*Simulator!$D$8+Simulator!O31*Simulator!$D$9+Simulator!P31*Simulator!$D$10</f>
        <v>0.636184529391966</v>
      </c>
      <c r="CA28" s="162" t="n">
        <f aca="false">IF($BZ28=0,0.1667,(Simulator!K31*Simulator!$D$5)/$BZ28)</f>
        <v>0.448514474956582</v>
      </c>
      <c r="CB28" s="162" t="n">
        <f aca="false">IF($BZ28=0,0.3333,(Simulator!K31*Simulator!$D$5+Simulator!L31*Simulator!$D$6)/$BZ28)</f>
        <v>0.867619679686224</v>
      </c>
      <c r="CC28" s="162" t="n">
        <f aca="false">IF($BZ28=0,0.5,(Simulator!K31*Simulator!$D$5+Simulator!L31*Simulator!$D$6+Simulator!M31*Simulator!$D$7)/$BZ28)</f>
        <v>0.911442808015061</v>
      </c>
      <c r="CD28" s="162" t="n">
        <f aca="false">IF($BZ28=0,0.6667,(Simulator!K31*Simulator!$D$5+Simulator!L31*Simulator!$D$6+Simulator!M31*Simulator!$D$7+Simulator!N31*Simulator!$D$8)/$BZ28)</f>
        <v>0.99420015163414</v>
      </c>
      <c r="CE28" s="162" t="n">
        <f aca="false">IF($BZ28=0,0.8333,(Simulator!K31*Simulator!$D$5+Simulator!L31*Simulator!$D$6+Simulator!M31*Simulator!$D$7+Simulator!N31*Simulator!$D$8+Simulator!O31*Simulator!$D$9)/$BZ28)</f>
        <v>1</v>
      </c>
    </row>
    <row r="29" customFormat="false" ht="15" hidden="false" customHeight="false" outlineLevel="0" collapsed="false">
      <c r="A29" s="160" t="s">
        <v>74</v>
      </c>
      <c r="B29" s="161" t="n">
        <f aca="true">RAND()</f>
        <v>0.642688843161539</v>
      </c>
      <c r="C29" s="161" t="n">
        <f aca="true">RAND()</f>
        <v>0.144754662294414</v>
      </c>
      <c r="D29" s="161" t="n">
        <f aca="true">RAND()</f>
        <v>0.407099019869135</v>
      </c>
      <c r="E29" s="161" t="n">
        <f aca="true">RAND()</f>
        <v>0.339655150282494</v>
      </c>
      <c r="F29" s="161" t="n">
        <f aca="true">RAND()</f>
        <v>0.146749911890135</v>
      </c>
      <c r="G29" s="161" t="n">
        <f aca="true">RAND()</f>
        <v>0.0939198155802951</v>
      </c>
      <c r="H29" s="161" t="n">
        <f aca="true">RAND()</f>
        <v>0.34700036046202</v>
      </c>
      <c r="I29" s="161" t="n">
        <f aca="true">RAND()</f>
        <v>0.955889858069664</v>
      </c>
      <c r="J29" s="161" t="n">
        <f aca="true">RAND()</f>
        <v>0.830712279918184</v>
      </c>
      <c r="K29" s="161" t="n">
        <f aca="true">RAND()</f>
        <v>0.537470100462494</v>
      </c>
      <c r="L29" s="161" t="n">
        <f aca="true">RAND()</f>
        <v>0.204550031268568</v>
      </c>
      <c r="M29" s="161" t="n">
        <f aca="true">RAND()</f>
        <v>0.0600412338103867</v>
      </c>
      <c r="N29" s="161" t="n">
        <f aca="true">RAND()</f>
        <v>0.38445465259654</v>
      </c>
      <c r="O29" s="161" t="n">
        <f aca="true">RAND()</f>
        <v>0.572444953886829</v>
      </c>
      <c r="P29" s="161" t="n">
        <f aca="true">RAND()</f>
        <v>0.847121524797011</v>
      </c>
      <c r="Q29" s="161" t="n">
        <f aca="true">RAND()</f>
        <v>0.820236191535281</v>
      </c>
      <c r="R29" s="161" t="n">
        <f aca="true">RAND()</f>
        <v>0.953713118252413</v>
      </c>
      <c r="S29" s="161" t="n">
        <f aca="true">RAND()</f>
        <v>0.236328128262626</v>
      </c>
      <c r="T29" s="161" t="n">
        <f aca="true">RAND()</f>
        <v>0.15309194028388</v>
      </c>
      <c r="U29" s="161" t="n">
        <f aca="true">RAND()</f>
        <v>0.545355231813108</v>
      </c>
      <c r="V29" s="161" t="n">
        <f aca="true">RAND()</f>
        <v>0.14252357541066</v>
      </c>
      <c r="W29" s="161" t="n">
        <f aca="true">RAND()</f>
        <v>0.637066286188516</v>
      </c>
      <c r="X29" s="161" t="n">
        <f aca="true">RAND()</f>
        <v>0.780544557608692</v>
      </c>
      <c r="Y29" s="161" t="n">
        <f aca="true">RAND()</f>
        <v>0.235841418276342</v>
      </c>
      <c r="Z29" s="161" t="n">
        <f aca="true">RAND()</f>
        <v>0.428206268199524</v>
      </c>
      <c r="AA29" s="161" t="n">
        <f aca="true">RAND()</f>
        <v>0.252633597734853</v>
      </c>
      <c r="AB29" s="161" t="n">
        <f aca="true">RAND()</f>
        <v>0.519546235512769</v>
      </c>
      <c r="AC29" s="161" t="n">
        <f aca="true">RAND()</f>
        <v>0.510466850483775</v>
      </c>
      <c r="AD29" s="161" t="n">
        <f aca="true">RAND()</f>
        <v>0.201230642717491</v>
      </c>
      <c r="AE29" s="161" t="n">
        <f aca="true">RAND()</f>
        <v>0.611758114227512</v>
      </c>
      <c r="AF29" s="161" t="n">
        <f aca="true">RAND()</f>
        <v>0.105843915537015</v>
      </c>
      <c r="AG29" s="161" t="n">
        <f aca="true">RAND()</f>
        <v>0.0690620862492974</v>
      </c>
      <c r="AH29" s="161" t="n">
        <f aca="true">RAND()</f>
        <v>0.742821354916201</v>
      </c>
      <c r="AI29" s="161" t="n">
        <f aca="true">RAND()</f>
        <v>0.666926264408095</v>
      </c>
      <c r="AJ29" s="161" t="n">
        <f aca="true">RAND()</f>
        <v>0.949461342196843</v>
      </c>
      <c r="AK29" s="161" t="n">
        <f aca="true">RAND()</f>
        <v>0.460654860475558</v>
      </c>
      <c r="AL29" s="161" t="n">
        <f aca="true">RAND()</f>
        <v>0.857622066962704</v>
      </c>
      <c r="AM29" s="161" t="n">
        <f aca="true">RAND()</f>
        <v>0.849969655337145</v>
      </c>
      <c r="AN29" s="161" t="n">
        <f aca="true">RAND()</f>
        <v>0.436010211682214</v>
      </c>
      <c r="AO29" s="161" t="n">
        <f aca="true">RAND()</f>
        <v>0.588308405197148</v>
      </c>
      <c r="AP29" s="161" t="n">
        <f aca="true">RAND()</f>
        <v>0.551367583254964</v>
      </c>
      <c r="AQ29" s="161" t="n">
        <f aca="true">RAND()</f>
        <v>0.783219170780358</v>
      </c>
      <c r="AR29" s="161" t="n">
        <f aca="true">RAND()</f>
        <v>0.746816608927607</v>
      </c>
      <c r="AS29" s="161" t="n">
        <f aca="true">RAND()</f>
        <v>0.447731518821655</v>
      </c>
      <c r="AT29" s="161" t="n">
        <f aca="true">RAND()</f>
        <v>0.159067128114927</v>
      </c>
      <c r="AU29" s="161" t="n">
        <f aca="true">RAND()</f>
        <v>0.394382684205503</v>
      </c>
      <c r="AV29" s="161" t="n">
        <f aca="true">RAND()</f>
        <v>0.853967172642059</v>
      </c>
      <c r="AW29" s="161" t="n">
        <f aca="true">RAND()</f>
        <v>0.00438981721302865</v>
      </c>
      <c r="AX29" s="161" t="n">
        <f aca="true">RAND()</f>
        <v>0.251098048772048</v>
      </c>
      <c r="AY29" s="161" t="n">
        <f aca="true">RAND()</f>
        <v>0.542450478442552</v>
      </c>
      <c r="AZ29" s="161" t="n">
        <f aca="true">RAND()</f>
        <v>0.242102235989574</v>
      </c>
      <c r="BA29" s="161" t="n">
        <f aca="true">RAND()</f>
        <v>0.383608460505567</v>
      </c>
      <c r="BB29" s="161" t="n">
        <f aca="true">RAND()</f>
        <v>0.990147304813079</v>
      </c>
      <c r="BC29" s="161" t="n">
        <f aca="true">RAND()</f>
        <v>0.422448120286636</v>
      </c>
      <c r="BD29" s="161" t="n">
        <f aca="true">RAND()</f>
        <v>0.993474959437023</v>
      </c>
      <c r="BE29" s="161" t="n">
        <f aca="true">RAND()</f>
        <v>0.483158853846968</v>
      </c>
      <c r="BF29" s="161" t="n">
        <f aca="true">RAND()</f>
        <v>0.419702186735576</v>
      </c>
      <c r="BG29" s="161" t="n">
        <f aca="true">RAND()</f>
        <v>0.740388634529936</v>
      </c>
      <c r="BH29" s="161" t="n">
        <f aca="true">RAND()</f>
        <v>0.15404410751846</v>
      </c>
      <c r="BI29" s="161" t="n">
        <f aca="true">RAND()</f>
        <v>0.548824034940664</v>
      </c>
      <c r="BJ29" s="161" t="n">
        <f aca="true">RAND()</f>
        <v>0.0811331677632583</v>
      </c>
      <c r="BK29" s="161" t="n">
        <f aca="true">RAND()</f>
        <v>0.507452025972878</v>
      </c>
      <c r="BL29" s="161" t="n">
        <f aca="true">RAND()</f>
        <v>0.0382067092565352</v>
      </c>
      <c r="BM29" s="161" t="n">
        <f aca="true">RAND()</f>
        <v>0.0841179179523716</v>
      </c>
      <c r="BN29" s="161" t="n">
        <f aca="true">RAND()</f>
        <v>0.232801378690238</v>
      </c>
      <c r="BO29" s="161" t="n">
        <f aca="true">RAND()</f>
        <v>0.89814070974924</v>
      </c>
      <c r="BP29" s="161" t="n">
        <f aca="true">RAND()</f>
        <v>0.107146320861078</v>
      </c>
      <c r="BQ29" s="161" t="n">
        <f aca="true">RAND()</f>
        <v>0.175149633916717</v>
      </c>
      <c r="BR29" s="161" t="n">
        <f aca="true">RAND()</f>
        <v>0.806870503061563</v>
      </c>
      <c r="BS29" s="161" t="n">
        <f aca="true">RAND()</f>
        <v>0.578868053880845</v>
      </c>
      <c r="BT29" s="161" t="n">
        <f aca="true">RAND()</f>
        <v>0.591186529980729</v>
      </c>
      <c r="BU29" s="161" t="n">
        <f aca="true">RAND()</f>
        <v>0.571726013740238</v>
      </c>
      <c r="BV29" s="161" t="n">
        <f aca="true">RAND()</f>
        <v>0.387935759844388</v>
      </c>
      <c r="BW29" s="161" t="n">
        <f aca="true">RAND()</f>
        <v>0.0716398636947476</v>
      </c>
      <c r="BX29" s="161" t="n">
        <f aca="true">RAND()</f>
        <v>0.661781192882223</v>
      </c>
      <c r="BY29" s="161" t="n">
        <f aca="true">RAND()</f>
        <v>0.907560721522279</v>
      </c>
      <c r="BZ29" s="162" t="n">
        <f aca="false">Simulator!K32*Simulator!$D$5+Simulator!L32*Simulator!$D$6+Simulator!M32*Simulator!$D$7+Simulator!N32*Simulator!$D$8+Simulator!O32*Simulator!$D$9+Simulator!P32*Simulator!$D$10</f>
        <v>0.643297664033092</v>
      </c>
      <c r="CA29" s="162" t="n">
        <f aca="false">IF($BZ29=0,0.1667,(Simulator!K32*Simulator!$D$5)/$BZ29)</f>
        <v>0.328613605647811</v>
      </c>
      <c r="CB29" s="162" t="n">
        <f aca="false">IF($BZ29=0,0.3333,(Simulator!K32*Simulator!$D$5+Simulator!L32*Simulator!$D$6)/$BZ29)</f>
        <v>0.874262415753651</v>
      </c>
      <c r="CC29" s="162" t="n">
        <f aca="false">IF($BZ29=0,0.5,(Simulator!K32*Simulator!$D$5+Simulator!L32*Simulator!$D$6+Simulator!M32*Simulator!$D$7)/$BZ29)</f>
        <v>0.950053290058633</v>
      </c>
      <c r="CD29" s="162" t="n">
        <f aca="false">IF($BZ29=0,0.6667,(Simulator!K32*Simulator!$D$5+Simulator!L32*Simulator!$D$6+Simulator!M32*Simulator!$D$7+Simulator!N32*Simulator!$D$8)/$BZ29)</f>
        <v>0.993851056628876</v>
      </c>
      <c r="CE29" s="162" t="n">
        <f aca="false">IF($BZ29=0,0.8333,(Simulator!K32*Simulator!$D$5+Simulator!L32*Simulator!$D$6+Simulator!M32*Simulator!$D$7+Simulator!N32*Simulator!$D$8+Simulator!O32*Simulator!$D$9)/$BZ29)</f>
        <v>1</v>
      </c>
    </row>
    <row r="30" customFormat="false" ht="15" hidden="false" customHeight="false" outlineLevel="0" collapsed="false">
      <c r="A30" s="160" t="s">
        <v>75</v>
      </c>
      <c r="B30" s="161" t="n">
        <f aca="true">RAND()</f>
        <v>0.958553171730278</v>
      </c>
      <c r="C30" s="161" t="n">
        <f aca="true">RAND()</f>
        <v>0.450266558718384</v>
      </c>
      <c r="D30" s="161" t="n">
        <f aca="true">RAND()</f>
        <v>0.225922580211908</v>
      </c>
      <c r="E30" s="161" t="n">
        <f aca="true">RAND()</f>
        <v>0.438806520850876</v>
      </c>
      <c r="F30" s="161" t="n">
        <f aca="true">RAND()</f>
        <v>0.0770754115886815</v>
      </c>
      <c r="G30" s="161" t="n">
        <f aca="true">RAND()</f>
        <v>0.783955196894548</v>
      </c>
      <c r="H30" s="161" t="n">
        <f aca="true">RAND()</f>
        <v>0.783592901180397</v>
      </c>
      <c r="I30" s="161" t="n">
        <f aca="true">RAND()</f>
        <v>0.547026991118847</v>
      </c>
      <c r="J30" s="161" t="n">
        <f aca="true">RAND()</f>
        <v>0.66446936637643</v>
      </c>
      <c r="K30" s="161" t="n">
        <f aca="true">RAND()</f>
        <v>0.802972295308964</v>
      </c>
      <c r="L30" s="161" t="n">
        <f aca="true">RAND()</f>
        <v>0.359605424093773</v>
      </c>
      <c r="M30" s="161" t="n">
        <f aca="true">RAND()</f>
        <v>0.232086358725825</v>
      </c>
      <c r="N30" s="161" t="n">
        <f aca="true">RAND()</f>
        <v>0.152683734451266</v>
      </c>
      <c r="O30" s="161" t="n">
        <f aca="true">RAND()</f>
        <v>0.808983716756688</v>
      </c>
      <c r="P30" s="161" t="n">
        <f aca="true">RAND()</f>
        <v>0.438867517293121</v>
      </c>
      <c r="Q30" s="161" t="n">
        <f aca="true">RAND()</f>
        <v>0.224337437021053</v>
      </c>
      <c r="R30" s="161" t="n">
        <f aca="true">RAND()</f>
        <v>0.4728226515067</v>
      </c>
      <c r="S30" s="161" t="n">
        <f aca="true">RAND()</f>
        <v>0.784110464317258</v>
      </c>
      <c r="T30" s="161" t="n">
        <f aca="true">RAND()</f>
        <v>0.809896212075992</v>
      </c>
      <c r="U30" s="161" t="n">
        <f aca="true">RAND()</f>
        <v>0.561690303143092</v>
      </c>
      <c r="V30" s="161" t="n">
        <f aca="true">RAND()</f>
        <v>0.520560392863099</v>
      </c>
      <c r="W30" s="161" t="n">
        <f aca="true">RAND()</f>
        <v>0.335897477097634</v>
      </c>
      <c r="X30" s="161" t="n">
        <f aca="true">RAND()</f>
        <v>0.789439122343645</v>
      </c>
      <c r="Y30" s="161" t="n">
        <f aca="true">RAND()</f>
        <v>0.569389881971917</v>
      </c>
      <c r="Z30" s="161" t="n">
        <f aca="true">RAND()</f>
        <v>0.943624741908266</v>
      </c>
      <c r="AA30" s="161" t="n">
        <f aca="true">RAND()</f>
        <v>0.933209283994456</v>
      </c>
      <c r="AB30" s="161" t="n">
        <f aca="true">RAND()</f>
        <v>0.00970033131223185</v>
      </c>
      <c r="AC30" s="161" t="n">
        <f aca="true">RAND()</f>
        <v>0.362502741092979</v>
      </c>
      <c r="AD30" s="161" t="n">
        <f aca="true">RAND()</f>
        <v>0.00173637073693423</v>
      </c>
      <c r="AE30" s="161" t="n">
        <f aca="true">RAND()</f>
        <v>0.57048126731613</v>
      </c>
      <c r="AF30" s="161" t="n">
        <f aca="true">RAND()</f>
        <v>0.295099906385339</v>
      </c>
      <c r="AG30" s="161" t="n">
        <f aca="true">RAND()</f>
        <v>0.107157631786406</v>
      </c>
      <c r="AH30" s="161" t="n">
        <f aca="true">RAND()</f>
        <v>0.719115512845898</v>
      </c>
      <c r="AI30" s="161" t="n">
        <f aca="true">RAND()</f>
        <v>0.0797773106052647</v>
      </c>
      <c r="AJ30" s="161" t="n">
        <f aca="true">RAND()</f>
        <v>0.727756989844362</v>
      </c>
      <c r="AK30" s="161" t="n">
        <f aca="true">RAND()</f>
        <v>0.74118729778228</v>
      </c>
      <c r="AL30" s="161" t="n">
        <f aca="true">RAND()</f>
        <v>0.797670256325596</v>
      </c>
      <c r="AM30" s="161" t="n">
        <f aca="true">RAND()</f>
        <v>0.273905666355419</v>
      </c>
      <c r="AN30" s="161" t="n">
        <f aca="true">RAND()</f>
        <v>0.0514461688339256</v>
      </c>
      <c r="AO30" s="161" t="n">
        <f aca="true">RAND()</f>
        <v>0.580181992153665</v>
      </c>
      <c r="AP30" s="161" t="n">
        <f aca="true">RAND()</f>
        <v>0.723815203015174</v>
      </c>
      <c r="AQ30" s="161" t="n">
        <f aca="true">RAND()</f>
        <v>0.0409895100392854</v>
      </c>
      <c r="AR30" s="161" t="n">
        <f aca="true">RAND()</f>
        <v>0.6115751883902</v>
      </c>
      <c r="AS30" s="161" t="n">
        <f aca="true">RAND()</f>
        <v>0.741506259002409</v>
      </c>
      <c r="AT30" s="161" t="n">
        <f aca="true">RAND()</f>
        <v>0.993039066559382</v>
      </c>
      <c r="AU30" s="161" t="n">
        <f aca="true">RAND()</f>
        <v>0.742550298957211</v>
      </c>
      <c r="AV30" s="161" t="n">
        <f aca="true">RAND()</f>
        <v>0.973766204088461</v>
      </c>
      <c r="AW30" s="161" t="n">
        <f aca="true">RAND()</f>
        <v>0.925264120987657</v>
      </c>
      <c r="AX30" s="161" t="n">
        <f aca="true">RAND()</f>
        <v>0.847578152262499</v>
      </c>
      <c r="AY30" s="161" t="n">
        <f aca="true">RAND()</f>
        <v>0.0699337560452011</v>
      </c>
      <c r="AZ30" s="161" t="n">
        <f aca="true">RAND()</f>
        <v>0.346572840277481</v>
      </c>
      <c r="BA30" s="161" t="n">
        <f aca="true">RAND()</f>
        <v>0.853032326957679</v>
      </c>
      <c r="BB30" s="161" t="n">
        <f aca="true">RAND()</f>
        <v>0.825244439522709</v>
      </c>
      <c r="BC30" s="161" t="n">
        <f aca="true">RAND()</f>
        <v>0.377832267963153</v>
      </c>
      <c r="BD30" s="161" t="n">
        <f aca="true">RAND()</f>
        <v>0.781484278726116</v>
      </c>
      <c r="BE30" s="161" t="n">
        <f aca="true">RAND()</f>
        <v>0.0517235179189879</v>
      </c>
      <c r="BF30" s="161" t="n">
        <f aca="true">RAND()</f>
        <v>0.38220652163175</v>
      </c>
      <c r="BG30" s="161" t="n">
        <f aca="true">RAND()</f>
        <v>0.0407555488968821</v>
      </c>
      <c r="BH30" s="161" t="n">
        <f aca="true">RAND()</f>
        <v>0.551782832887415</v>
      </c>
      <c r="BI30" s="161" t="n">
        <f aca="true">RAND()</f>
        <v>0.562534537669415</v>
      </c>
      <c r="BJ30" s="161" t="n">
        <f aca="true">RAND()</f>
        <v>0.888288432341216</v>
      </c>
      <c r="BK30" s="161" t="n">
        <f aca="true">RAND()</f>
        <v>0.883397914634178</v>
      </c>
      <c r="BL30" s="161" t="n">
        <f aca="true">RAND()</f>
        <v>0.748805007882548</v>
      </c>
      <c r="BM30" s="161" t="n">
        <f aca="true">RAND()</f>
        <v>0.465334463607439</v>
      </c>
      <c r="BN30" s="161" t="n">
        <f aca="true">RAND()</f>
        <v>0.163755740044473</v>
      </c>
      <c r="BO30" s="161" t="n">
        <f aca="true">RAND()</f>
        <v>0.702555519354268</v>
      </c>
      <c r="BP30" s="161" t="n">
        <f aca="true">RAND()</f>
        <v>0.135060136295309</v>
      </c>
      <c r="BQ30" s="161" t="n">
        <f aca="true">RAND()</f>
        <v>0.111897938167955</v>
      </c>
      <c r="BR30" s="161" t="n">
        <f aca="true">RAND()</f>
        <v>0.649072125102999</v>
      </c>
      <c r="BS30" s="161" t="n">
        <f aca="true">RAND()</f>
        <v>0.415577106181815</v>
      </c>
      <c r="BT30" s="161" t="n">
        <f aca="true">RAND()</f>
        <v>0.194732103923506</v>
      </c>
      <c r="BU30" s="161" t="n">
        <f aca="true">RAND()</f>
        <v>0.655819233364052</v>
      </c>
      <c r="BV30" s="161" t="n">
        <f aca="true">RAND()</f>
        <v>0.429200369739784</v>
      </c>
      <c r="BW30" s="161" t="n">
        <f aca="true">RAND()</f>
        <v>0.32166277464079</v>
      </c>
      <c r="BX30" s="161" t="n">
        <f aca="true">RAND()</f>
        <v>0.502450602997708</v>
      </c>
      <c r="BY30" s="161" t="n">
        <f aca="true">RAND()</f>
        <v>0.378314009542359</v>
      </c>
      <c r="BZ30" s="162" t="n">
        <f aca="false">Simulator!K33*Simulator!$D$5+Simulator!L33*Simulator!$D$6+Simulator!M33*Simulator!$D$7+Simulator!N33*Simulator!$D$8+Simulator!O33*Simulator!$D$9+Simulator!P33*Simulator!$D$10</f>
        <v>0.652193704950133</v>
      </c>
      <c r="CA30" s="162" t="n">
        <f aca="false">IF($BZ30=0,0.1667,(Simulator!K33*Simulator!$D$5)/$BZ30)</f>
        <v>0.317647343736579</v>
      </c>
      <c r="CB30" s="162" t="n">
        <f aca="false">IF($BZ30=0,0.3333,(Simulator!K33*Simulator!$D$5+Simulator!L33*Simulator!$D$6)/$BZ30)</f>
        <v>0.876168046536149</v>
      </c>
      <c r="CC30" s="162" t="n">
        <f aca="false">IF($BZ30=0,0.5,(Simulator!K33*Simulator!$D$5+Simulator!L33*Simulator!$D$6+Simulator!M33*Simulator!$D$7)/$BZ30)</f>
        <v>0.951101674980468</v>
      </c>
      <c r="CD30" s="162" t="n">
        <f aca="false">IF($BZ30=0,0.6667,(Simulator!K33*Simulator!$D$5+Simulator!L33*Simulator!$D$6+Simulator!M33*Simulator!$D$7+Simulator!N33*Simulator!$D$8)/$BZ30)</f>
        <v>0.994668355594403</v>
      </c>
      <c r="CE30" s="162" t="n">
        <f aca="false">IF($BZ30=0,0.8333,(Simulator!K33*Simulator!$D$5+Simulator!L33*Simulator!$D$6+Simulator!M33*Simulator!$D$7+Simulator!N33*Simulator!$D$8+Simulator!O33*Simulator!$D$9)/$BZ30)</f>
        <v>1</v>
      </c>
    </row>
    <row r="31" customFormat="false" ht="15" hidden="false" customHeight="false" outlineLevel="0" collapsed="false">
      <c r="A31" s="160" t="s">
        <v>77</v>
      </c>
      <c r="B31" s="161" t="n">
        <f aca="true">RAND()</f>
        <v>0.981607257942132</v>
      </c>
      <c r="C31" s="161" t="n">
        <f aca="true">RAND()</f>
        <v>0.777446676199724</v>
      </c>
      <c r="D31" s="161" t="n">
        <f aca="true">RAND()</f>
        <v>0.595594303622474</v>
      </c>
      <c r="E31" s="161" t="n">
        <f aca="true">RAND()</f>
        <v>0.769226059338057</v>
      </c>
      <c r="F31" s="161" t="n">
        <f aca="true">RAND()</f>
        <v>0.409725584201976</v>
      </c>
      <c r="G31" s="161" t="n">
        <f aca="true">RAND()</f>
        <v>0.393146514670388</v>
      </c>
      <c r="H31" s="161" t="n">
        <f aca="true">RAND()</f>
        <v>0.329207946827216</v>
      </c>
      <c r="I31" s="161" t="n">
        <f aca="true">RAND()</f>
        <v>0.694144326323045</v>
      </c>
      <c r="J31" s="161" t="n">
        <f aca="true">RAND()</f>
        <v>0.916774164155976</v>
      </c>
      <c r="K31" s="161" t="n">
        <f aca="true">RAND()</f>
        <v>0.122013918256571</v>
      </c>
      <c r="L31" s="161" t="n">
        <f aca="true">RAND()</f>
        <v>0.870397505241273</v>
      </c>
      <c r="M31" s="161" t="n">
        <f aca="true">RAND()</f>
        <v>0.717787065049368</v>
      </c>
      <c r="N31" s="161" t="n">
        <f aca="true">RAND()</f>
        <v>0.967695468721406</v>
      </c>
      <c r="O31" s="161" t="n">
        <f aca="true">RAND()</f>
        <v>0.675600691467839</v>
      </c>
      <c r="P31" s="161" t="n">
        <f aca="true">RAND()</f>
        <v>0.759053925338285</v>
      </c>
      <c r="Q31" s="161" t="n">
        <f aca="true">RAND()</f>
        <v>0.266276111594595</v>
      </c>
      <c r="R31" s="161" t="n">
        <f aca="true">RAND()</f>
        <v>0.0929557472042084</v>
      </c>
      <c r="S31" s="161" t="n">
        <f aca="true">RAND()</f>
        <v>0.0882008333343066</v>
      </c>
      <c r="T31" s="161" t="n">
        <f aca="true">RAND()</f>
        <v>0.611123896156054</v>
      </c>
      <c r="U31" s="161" t="n">
        <f aca="true">RAND()</f>
        <v>0.195854903731</v>
      </c>
      <c r="V31" s="161" t="n">
        <f aca="true">RAND()</f>
        <v>0.542583959343311</v>
      </c>
      <c r="W31" s="161" t="n">
        <f aca="true">RAND()</f>
        <v>0.962095054152512</v>
      </c>
      <c r="X31" s="161" t="n">
        <f aca="true">RAND()</f>
        <v>0.286924317665623</v>
      </c>
      <c r="Y31" s="161" t="n">
        <f aca="true">RAND()</f>
        <v>0.805808592858185</v>
      </c>
      <c r="Z31" s="161" t="n">
        <f aca="true">RAND()</f>
        <v>0.623769756360547</v>
      </c>
      <c r="AA31" s="161" t="n">
        <f aca="true">RAND()</f>
        <v>0.401577878590618</v>
      </c>
      <c r="AB31" s="161" t="n">
        <f aca="true">RAND()</f>
        <v>0.75990472820457</v>
      </c>
      <c r="AC31" s="161" t="n">
        <f aca="true">RAND()</f>
        <v>0.288727413736749</v>
      </c>
      <c r="AD31" s="161" t="n">
        <f aca="true">RAND()</f>
        <v>0.321294784984217</v>
      </c>
      <c r="AE31" s="161" t="n">
        <f aca="true">RAND()</f>
        <v>0.241281130631235</v>
      </c>
      <c r="AF31" s="161" t="n">
        <f aca="true">RAND()</f>
        <v>0.284402179969792</v>
      </c>
      <c r="AG31" s="161" t="n">
        <f aca="true">RAND()</f>
        <v>0.0860639043394883</v>
      </c>
      <c r="AH31" s="161" t="n">
        <f aca="true">RAND()</f>
        <v>0.464197090649941</v>
      </c>
      <c r="AI31" s="161" t="n">
        <f aca="true">RAND()</f>
        <v>0.297456562300812</v>
      </c>
      <c r="AJ31" s="161" t="n">
        <f aca="true">RAND()</f>
        <v>0.778863012554636</v>
      </c>
      <c r="AK31" s="161" t="n">
        <f aca="true">RAND()</f>
        <v>0.0343030499848055</v>
      </c>
      <c r="AL31" s="161" t="n">
        <f aca="true">RAND()</f>
        <v>0.77037370766772</v>
      </c>
      <c r="AM31" s="161" t="n">
        <f aca="true">RAND()</f>
        <v>0.500323801894388</v>
      </c>
      <c r="AN31" s="161" t="n">
        <f aca="true">RAND()</f>
        <v>0.607236291124556</v>
      </c>
      <c r="AO31" s="161" t="n">
        <f aca="true">RAND()</f>
        <v>0.563783500907148</v>
      </c>
      <c r="AP31" s="161" t="n">
        <f aca="true">RAND()</f>
        <v>0.512706034752222</v>
      </c>
      <c r="AQ31" s="161" t="n">
        <f aca="true">RAND()</f>
        <v>0.509735025572533</v>
      </c>
      <c r="AR31" s="161" t="n">
        <f aca="true">RAND()</f>
        <v>0.0978407571762724</v>
      </c>
      <c r="AS31" s="161" t="n">
        <f aca="true">RAND()</f>
        <v>0.753909332637043</v>
      </c>
      <c r="AT31" s="161" t="n">
        <f aca="true">RAND()</f>
        <v>0.753367532193078</v>
      </c>
      <c r="AU31" s="161" t="n">
        <f aca="true">RAND()</f>
        <v>0.868090350231934</v>
      </c>
      <c r="AV31" s="161" t="n">
        <f aca="true">RAND()</f>
        <v>0.351946489282809</v>
      </c>
      <c r="AW31" s="161" t="n">
        <f aca="true">RAND()</f>
        <v>0.198789711112267</v>
      </c>
      <c r="AX31" s="161" t="n">
        <f aca="true">RAND()</f>
        <v>0.410028314114645</v>
      </c>
      <c r="AY31" s="161" t="n">
        <f aca="true">RAND()</f>
        <v>0.555163734490311</v>
      </c>
      <c r="AZ31" s="161" t="n">
        <f aca="true">RAND()</f>
        <v>0.280476512150948</v>
      </c>
      <c r="BA31" s="161" t="n">
        <f aca="true">RAND()</f>
        <v>0.20183368928919</v>
      </c>
      <c r="BB31" s="161" t="n">
        <f aca="true">RAND()</f>
        <v>0.983434170905141</v>
      </c>
      <c r="BC31" s="161" t="n">
        <f aca="true">RAND()</f>
        <v>0.541257175627953</v>
      </c>
      <c r="BD31" s="161" t="n">
        <f aca="true">RAND()</f>
        <v>0.127321732991833</v>
      </c>
      <c r="BE31" s="161" t="n">
        <f aca="true">RAND()</f>
        <v>0.00552529884387675</v>
      </c>
      <c r="BF31" s="161" t="n">
        <f aca="true">RAND()</f>
        <v>0.319686872622576</v>
      </c>
      <c r="BG31" s="161" t="n">
        <f aca="true">RAND()</f>
        <v>0.627563211673551</v>
      </c>
      <c r="BH31" s="161" t="n">
        <f aca="true">RAND()</f>
        <v>0.832307528357725</v>
      </c>
      <c r="BI31" s="161" t="n">
        <f aca="true">RAND()</f>
        <v>0.846461975587027</v>
      </c>
      <c r="BJ31" s="161" t="n">
        <f aca="true">RAND()</f>
        <v>0.602492799232768</v>
      </c>
      <c r="BK31" s="161" t="n">
        <f aca="true">RAND()</f>
        <v>0.00712221633576483</v>
      </c>
      <c r="BL31" s="161" t="n">
        <f aca="true">RAND()</f>
        <v>0.462867759732721</v>
      </c>
      <c r="BM31" s="161" t="n">
        <f aca="true">RAND()</f>
        <v>0.665039744780428</v>
      </c>
      <c r="BN31" s="161" t="n">
        <f aca="true">RAND()</f>
        <v>0.0461325950950975</v>
      </c>
      <c r="BO31" s="161" t="n">
        <f aca="true">RAND()</f>
        <v>0.0141335782101512</v>
      </c>
      <c r="BP31" s="161" t="n">
        <f aca="true">RAND()</f>
        <v>0.44771075533348</v>
      </c>
      <c r="BQ31" s="161" t="n">
        <f aca="true">RAND()</f>
        <v>0.647001292467453</v>
      </c>
      <c r="BR31" s="161" t="n">
        <f aca="true">RAND()</f>
        <v>0.780965790630341</v>
      </c>
      <c r="BS31" s="161" t="n">
        <f aca="true">RAND()</f>
        <v>0.50121728361515</v>
      </c>
      <c r="BT31" s="161" t="n">
        <f aca="true">RAND()</f>
        <v>0.693002762029177</v>
      </c>
      <c r="BU31" s="161" t="n">
        <f aca="true">RAND()</f>
        <v>0.989578157863878</v>
      </c>
      <c r="BV31" s="161" t="n">
        <f aca="true">RAND()</f>
        <v>0.390824321416333</v>
      </c>
      <c r="BW31" s="161" t="n">
        <f aca="true">RAND()</f>
        <v>0.322862702598117</v>
      </c>
      <c r="BX31" s="161" t="n">
        <f aca="true">RAND()</f>
        <v>0.424321475247606</v>
      </c>
      <c r="BY31" s="161" t="n">
        <f aca="true">RAND()</f>
        <v>0.436172558277849</v>
      </c>
      <c r="BZ31" s="162" t="n">
        <f aca="false">Simulator!K34*Simulator!$D$5+Simulator!L34*Simulator!$D$6+Simulator!M34*Simulator!$D$7+Simulator!N34*Simulator!$D$8+Simulator!O34*Simulator!$D$9+Simulator!P34*Simulator!$D$10</f>
        <v>0.676396512118297</v>
      </c>
      <c r="CA31" s="162" t="n">
        <f aca="false">IF($BZ31=0,0.1667,(Simulator!K34*Simulator!$D$5)/$BZ31)</f>
        <v>0.44330112425813</v>
      </c>
      <c r="CB31" s="162" t="n">
        <f aca="false">IF($BZ31=0,0.3333,(Simulator!K34*Simulator!$D$5+Simulator!L34*Simulator!$D$6)/$BZ31)</f>
        <v>0.889277122315806</v>
      </c>
      <c r="CC31" s="162" t="n">
        <f aca="false">IF($BZ31=0,0.5,(Simulator!K34*Simulator!$D$5+Simulator!L34*Simulator!$D$6+Simulator!M34*Simulator!$D$7)/$BZ31)</f>
        <v>0.933928018539341</v>
      </c>
      <c r="CD31" s="162" t="n">
        <f aca="false">IF($BZ31=0,0.6667,(Simulator!K34*Simulator!$D$5+Simulator!L34*Simulator!$D$6+Simulator!M34*Simulator!$D$7+Simulator!N34*Simulator!$D$8)/$BZ31)</f>
        <v>0.995142786616216</v>
      </c>
      <c r="CE31" s="162" t="n">
        <f aca="false">IF($BZ31=0,0.8333,(Simulator!K34*Simulator!$D$5+Simulator!L34*Simulator!$D$6+Simulator!M34*Simulator!$D$7+Simulator!N34*Simulator!$D$8+Simulator!O34*Simulator!$D$9)/$BZ31)</f>
        <v>1</v>
      </c>
    </row>
    <row r="32" customFormat="false" ht="15" hidden="false" customHeight="false" outlineLevel="0" collapsed="false">
      <c r="A32" s="160" t="s">
        <v>79</v>
      </c>
      <c r="B32" s="161" t="n">
        <f aca="true">RAND()</f>
        <v>0.30696888630536</v>
      </c>
      <c r="C32" s="161" t="n">
        <f aca="true">RAND()</f>
        <v>0.700395843620262</v>
      </c>
      <c r="D32" s="161" t="n">
        <f aca="true">RAND()</f>
        <v>0.586002941706289</v>
      </c>
      <c r="E32" s="161" t="n">
        <f aca="true">RAND()</f>
        <v>0.973944005475861</v>
      </c>
      <c r="F32" s="161" t="n">
        <f aca="true">RAND()</f>
        <v>0.0128163732927159</v>
      </c>
      <c r="G32" s="161" t="n">
        <f aca="true">RAND()</f>
        <v>0.694555810408408</v>
      </c>
      <c r="H32" s="161" t="n">
        <f aca="true">RAND()</f>
        <v>0.0101827327513724</v>
      </c>
      <c r="I32" s="161" t="n">
        <f aca="true">RAND()</f>
        <v>0.195036257433053</v>
      </c>
      <c r="J32" s="161" t="n">
        <f aca="true">RAND()</f>
        <v>0.728834151689727</v>
      </c>
      <c r="K32" s="161" t="n">
        <f aca="true">RAND()</f>
        <v>0.0174431842001661</v>
      </c>
      <c r="L32" s="161" t="n">
        <f aca="true">RAND()</f>
        <v>0.845500446867659</v>
      </c>
      <c r="M32" s="161" t="n">
        <f aca="true">RAND()</f>
        <v>0.642490520754284</v>
      </c>
      <c r="N32" s="161" t="n">
        <f aca="true">RAND()</f>
        <v>0.473296339373855</v>
      </c>
      <c r="O32" s="161" t="n">
        <f aca="true">RAND()</f>
        <v>0.944835907419608</v>
      </c>
      <c r="P32" s="161" t="n">
        <f aca="true">RAND()</f>
        <v>0.883734678122979</v>
      </c>
      <c r="Q32" s="161" t="n">
        <f aca="true">RAND()</f>
        <v>0.910079069473586</v>
      </c>
      <c r="R32" s="161" t="n">
        <f aca="true">RAND()</f>
        <v>0.741333498653909</v>
      </c>
      <c r="S32" s="161" t="n">
        <f aca="true">RAND()</f>
        <v>0.30877562492548</v>
      </c>
      <c r="T32" s="161" t="n">
        <f aca="true">RAND()</f>
        <v>0.575829265870132</v>
      </c>
      <c r="U32" s="161" t="n">
        <f aca="true">RAND()</f>
        <v>0.602617201278185</v>
      </c>
      <c r="V32" s="161" t="n">
        <f aca="true">RAND()</f>
        <v>0.948688470863691</v>
      </c>
      <c r="W32" s="161" t="n">
        <f aca="true">RAND()</f>
        <v>0.617922198879029</v>
      </c>
      <c r="X32" s="161" t="n">
        <f aca="true">RAND()</f>
        <v>0.858779075053521</v>
      </c>
      <c r="Y32" s="161" t="n">
        <f aca="true">RAND()</f>
        <v>0.716126867210429</v>
      </c>
      <c r="Z32" s="161" t="n">
        <f aca="true">RAND()</f>
        <v>0.946386785764707</v>
      </c>
      <c r="AA32" s="161" t="n">
        <f aca="true">RAND()</f>
        <v>0.410573944999737</v>
      </c>
      <c r="AB32" s="161" t="n">
        <f aca="true">RAND()</f>
        <v>0.0915192189029951</v>
      </c>
      <c r="AC32" s="161" t="n">
        <f aca="true">RAND()</f>
        <v>0.597922349867637</v>
      </c>
      <c r="AD32" s="161" t="n">
        <f aca="true">RAND()</f>
        <v>0.290479230470875</v>
      </c>
      <c r="AE32" s="161" t="n">
        <f aca="true">RAND()</f>
        <v>0.393725085090237</v>
      </c>
      <c r="AF32" s="161" t="n">
        <f aca="true">RAND()</f>
        <v>0.368306014808246</v>
      </c>
      <c r="AG32" s="161" t="n">
        <f aca="true">RAND()</f>
        <v>0.367579613903086</v>
      </c>
      <c r="AH32" s="161" t="n">
        <f aca="true">RAND()</f>
        <v>0.0398230804744209</v>
      </c>
      <c r="AI32" s="161" t="n">
        <f aca="true">RAND()</f>
        <v>0.27357444811993</v>
      </c>
      <c r="AJ32" s="161" t="n">
        <f aca="true">RAND()</f>
        <v>0.693083196207621</v>
      </c>
      <c r="AK32" s="161" t="n">
        <f aca="true">RAND()</f>
        <v>0.347995315598513</v>
      </c>
      <c r="AL32" s="161" t="n">
        <f aca="true">RAND()</f>
        <v>0.798686189708062</v>
      </c>
      <c r="AM32" s="161" t="n">
        <f aca="true">RAND()</f>
        <v>0.330546428268479</v>
      </c>
      <c r="AN32" s="161" t="n">
        <f aca="true">RAND()</f>
        <v>0.308359503347818</v>
      </c>
      <c r="AO32" s="161" t="n">
        <f aca="true">RAND()</f>
        <v>0.300721052525695</v>
      </c>
      <c r="AP32" s="161" t="n">
        <f aca="true">RAND()</f>
        <v>0.732910667283299</v>
      </c>
      <c r="AQ32" s="161" t="n">
        <f aca="true">RAND()</f>
        <v>0.401314977044598</v>
      </c>
      <c r="AR32" s="161" t="n">
        <f aca="true">RAND()</f>
        <v>0.899940675716117</v>
      </c>
      <c r="AS32" s="161" t="n">
        <f aca="true">RAND()</f>
        <v>0.106345781434047</v>
      </c>
      <c r="AT32" s="161" t="n">
        <f aca="true">RAND()</f>
        <v>0.929545917896975</v>
      </c>
      <c r="AU32" s="161" t="n">
        <f aca="true">RAND()</f>
        <v>0.476300115334782</v>
      </c>
      <c r="AV32" s="161" t="n">
        <f aca="true">RAND()</f>
        <v>0.681144894347757</v>
      </c>
      <c r="AW32" s="161" t="n">
        <f aca="true">RAND()</f>
        <v>0.801281833454043</v>
      </c>
      <c r="AX32" s="161" t="n">
        <f aca="true">RAND()</f>
        <v>0.411626923863261</v>
      </c>
      <c r="AY32" s="161" t="n">
        <f aca="true">RAND()</f>
        <v>0.678790181307376</v>
      </c>
      <c r="AZ32" s="161" t="n">
        <f aca="true">RAND()</f>
        <v>0.130325036751018</v>
      </c>
      <c r="BA32" s="161" t="n">
        <f aca="true">RAND()</f>
        <v>0.233048349980003</v>
      </c>
      <c r="BB32" s="161" t="n">
        <f aca="true">RAND()</f>
        <v>0.119515833273013</v>
      </c>
      <c r="BC32" s="161" t="n">
        <f aca="true">RAND()</f>
        <v>0.535484197058242</v>
      </c>
      <c r="BD32" s="161" t="n">
        <f aca="true">RAND()</f>
        <v>0.00402570025696025</v>
      </c>
      <c r="BE32" s="161" t="n">
        <f aca="true">RAND()</f>
        <v>0.077821182871437</v>
      </c>
      <c r="BF32" s="161" t="n">
        <f aca="true">RAND()</f>
        <v>0.958145309968326</v>
      </c>
      <c r="BG32" s="161" t="n">
        <f aca="true">RAND()</f>
        <v>0.798299869733123</v>
      </c>
      <c r="BH32" s="161" t="n">
        <f aca="true">RAND()</f>
        <v>0.288567600207462</v>
      </c>
      <c r="BI32" s="161" t="n">
        <f aca="true">RAND()</f>
        <v>0.775524051337148</v>
      </c>
      <c r="BJ32" s="161" t="n">
        <f aca="true">RAND()</f>
        <v>0.939249438079362</v>
      </c>
      <c r="BK32" s="161" t="n">
        <f aca="true">RAND()</f>
        <v>0.25556232349919</v>
      </c>
      <c r="BL32" s="161" t="n">
        <f aca="true">RAND()</f>
        <v>0.271934114224756</v>
      </c>
      <c r="BM32" s="161" t="n">
        <f aca="true">RAND()</f>
        <v>0.418784099396749</v>
      </c>
      <c r="BN32" s="161" t="n">
        <f aca="true">RAND()</f>
        <v>0.709419551865879</v>
      </c>
      <c r="BO32" s="161" t="n">
        <f aca="true">RAND()</f>
        <v>0.504179781499928</v>
      </c>
      <c r="BP32" s="161" t="n">
        <f aca="true">RAND()</f>
        <v>0.683477891221166</v>
      </c>
      <c r="BQ32" s="161" t="n">
        <f aca="true">RAND()</f>
        <v>0.412906595144335</v>
      </c>
      <c r="BR32" s="161" t="n">
        <f aca="true">RAND()</f>
        <v>0.381592113416112</v>
      </c>
      <c r="BS32" s="161" t="n">
        <f aca="true">RAND()</f>
        <v>0.745855467153632</v>
      </c>
      <c r="BT32" s="161" t="n">
        <f aca="true">RAND()</f>
        <v>0.682715534351192</v>
      </c>
      <c r="BU32" s="161" t="n">
        <f aca="true">RAND()</f>
        <v>0.0210614949661148</v>
      </c>
      <c r="BV32" s="161" t="n">
        <f aca="true">RAND()</f>
        <v>0.614911732183115</v>
      </c>
      <c r="BW32" s="161" t="n">
        <f aca="true">RAND()</f>
        <v>0.84515656181613</v>
      </c>
      <c r="BX32" s="161" t="n">
        <f aca="true">RAND()</f>
        <v>0.726885317620286</v>
      </c>
      <c r="BY32" s="161" t="n">
        <f aca="true">RAND()</f>
        <v>0.0592552712887328</v>
      </c>
      <c r="BZ32" s="162" t="n">
        <f aca="false">Simulator!K35*Simulator!$D$5+Simulator!L35*Simulator!$D$6+Simulator!M35*Simulator!$D$7+Simulator!N35*Simulator!$D$8+Simulator!O35*Simulator!$D$9+Simulator!P35*Simulator!$D$10</f>
        <v>0.650364763000399</v>
      </c>
      <c r="CA32" s="162" t="n">
        <f aca="false">IF($BZ32=0,0.1667,(Simulator!K35*Simulator!$D$5)/$BZ32)</f>
        <v>0.325799197572995</v>
      </c>
      <c r="CB32" s="162" t="n">
        <f aca="false">IF($BZ32=0,0.3333,(Simulator!K35*Simulator!$D$5+Simulator!L35*Simulator!$D$6)/$BZ32)</f>
        <v>0.880741918711105</v>
      </c>
      <c r="CC32" s="162" t="n">
        <f aca="false">IF($BZ32=0,0.5,(Simulator!K35*Simulator!$D$5+Simulator!L35*Simulator!$D$6+Simulator!M35*Simulator!$D$7)/$BZ32)</f>
        <v>0.952764292494801</v>
      </c>
      <c r="CD32" s="162" t="n">
        <f aca="false">IF($BZ32=0,0.6667,(Simulator!K35*Simulator!$D$5+Simulator!L35*Simulator!$D$6+Simulator!M35*Simulator!$D$7+Simulator!N35*Simulator!$D$8)/$BZ32)</f>
        <v>0.993507038503459</v>
      </c>
      <c r="CE32" s="162" t="n">
        <f aca="false">IF($BZ32=0,0.8333,(Simulator!K35*Simulator!$D$5+Simulator!L35*Simulator!$D$6+Simulator!M35*Simulator!$D$7+Simulator!N35*Simulator!$D$8+Simulator!O35*Simulator!$D$9)/$BZ32)</f>
        <v>1</v>
      </c>
    </row>
    <row r="33" customFormat="false" ht="15" hidden="false" customHeight="false" outlineLevel="0" collapsed="false">
      <c r="A33" s="160" t="s">
        <v>81</v>
      </c>
      <c r="B33" s="161" t="n">
        <f aca="true">RAND()</f>
        <v>0.328103885115827</v>
      </c>
      <c r="C33" s="161" t="n">
        <f aca="true">RAND()</f>
        <v>0.0967857573657837</v>
      </c>
      <c r="D33" s="161" t="n">
        <f aca="true">RAND()</f>
        <v>0.594553536438525</v>
      </c>
      <c r="E33" s="161" t="n">
        <f aca="true">RAND()</f>
        <v>0.37503340589953</v>
      </c>
      <c r="F33" s="161" t="n">
        <f aca="true">RAND()</f>
        <v>0.535787020589726</v>
      </c>
      <c r="G33" s="161" t="n">
        <f aca="true">RAND()</f>
        <v>0.608518552999948</v>
      </c>
      <c r="H33" s="161" t="n">
        <f aca="true">RAND()</f>
        <v>0.988286719383001</v>
      </c>
      <c r="I33" s="161" t="n">
        <f aca="true">RAND()</f>
        <v>0.501316317997217</v>
      </c>
      <c r="J33" s="161" t="n">
        <f aca="true">RAND()</f>
        <v>0.953153954109188</v>
      </c>
      <c r="K33" s="161" t="n">
        <f aca="true">RAND()</f>
        <v>0.87924131920009</v>
      </c>
      <c r="L33" s="161" t="n">
        <f aca="true">RAND()</f>
        <v>0.674954988196651</v>
      </c>
      <c r="M33" s="161" t="n">
        <f aca="true">RAND()</f>
        <v>0.2768413420092</v>
      </c>
      <c r="N33" s="161" t="n">
        <f aca="true">RAND()</f>
        <v>0.534890279361394</v>
      </c>
      <c r="O33" s="161" t="n">
        <f aca="true">RAND()</f>
        <v>0.39899000280966</v>
      </c>
      <c r="P33" s="161" t="n">
        <f aca="true">RAND()</f>
        <v>0.208856693822284</v>
      </c>
      <c r="Q33" s="161" t="n">
        <f aca="true">RAND()</f>
        <v>0.0568671696098189</v>
      </c>
      <c r="R33" s="161" t="n">
        <f aca="true">RAND()</f>
        <v>0.916969362674615</v>
      </c>
      <c r="S33" s="161" t="n">
        <f aca="true">RAND()</f>
        <v>0.400444014547996</v>
      </c>
      <c r="T33" s="161" t="n">
        <f aca="true">RAND()</f>
        <v>0.336107469687157</v>
      </c>
      <c r="U33" s="161" t="n">
        <f aca="true">RAND()</f>
        <v>0.272691823583772</v>
      </c>
      <c r="V33" s="161" t="n">
        <f aca="true">RAND()</f>
        <v>0.00563339871321594</v>
      </c>
      <c r="W33" s="161" t="n">
        <f aca="true">RAND()</f>
        <v>0.506585684843026</v>
      </c>
      <c r="X33" s="161" t="n">
        <f aca="true">RAND()</f>
        <v>0.85870189424067</v>
      </c>
      <c r="Y33" s="161" t="n">
        <f aca="true">RAND()</f>
        <v>0.594191348619271</v>
      </c>
      <c r="Z33" s="161" t="n">
        <f aca="true">RAND()</f>
        <v>0.39081609015394</v>
      </c>
      <c r="AA33" s="161" t="n">
        <f aca="true">RAND()</f>
        <v>0.193371552014166</v>
      </c>
      <c r="AB33" s="161" t="n">
        <f aca="true">RAND()</f>
        <v>0.620338417024443</v>
      </c>
      <c r="AC33" s="161" t="n">
        <f aca="true">RAND()</f>
        <v>0.309174974419471</v>
      </c>
      <c r="AD33" s="161" t="n">
        <f aca="true">RAND()</f>
        <v>0.434655563856348</v>
      </c>
      <c r="AE33" s="161" t="n">
        <f aca="true">RAND()</f>
        <v>0.144783928475745</v>
      </c>
      <c r="AF33" s="161" t="n">
        <f aca="true">RAND()</f>
        <v>0.807813067844282</v>
      </c>
      <c r="AG33" s="161" t="n">
        <f aca="true">RAND()</f>
        <v>0.692997379031492</v>
      </c>
      <c r="AH33" s="161" t="n">
        <f aca="true">RAND()</f>
        <v>0.203668659840607</v>
      </c>
      <c r="AI33" s="161" t="n">
        <f aca="true">RAND()</f>
        <v>0.945654258099098</v>
      </c>
      <c r="AJ33" s="161" t="n">
        <f aca="true">RAND()</f>
        <v>0.817020964474508</v>
      </c>
      <c r="AK33" s="161" t="n">
        <f aca="true">RAND()</f>
        <v>0.31370691482728</v>
      </c>
      <c r="AL33" s="161" t="n">
        <f aca="true">RAND()</f>
        <v>0.0194553166075003</v>
      </c>
      <c r="AM33" s="161" t="n">
        <f aca="true">RAND()</f>
        <v>0.616425403571174</v>
      </c>
      <c r="AN33" s="161" t="n">
        <f aca="true">RAND()</f>
        <v>0.844913582170799</v>
      </c>
      <c r="AO33" s="161" t="n">
        <f aca="true">RAND()</f>
        <v>0.31770490573184</v>
      </c>
      <c r="AP33" s="161" t="n">
        <f aca="true">RAND()</f>
        <v>0.653034647123554</v>
      </c>
      <c r="AQ33" s="161" t="n">
        <f aca="true">RAND()</f>
        <v>0.319941478954372</v>
      </c>
      <c r="AR33" s="161" t="n">
        <f aca="true">RAND()</f>
        <v>0.31426974160474</v>
      </c>
      <c r="AS33" s="161" t="n">
        <f aca="true">RAND()</f>
        <v>0.57630632169704</v>
      </c>
      <c r="AT33" s="161" t="n">
        <f aca="true">RAND()</f>
        <v>0.0707870743215776</v>
      </c>
      <c r="AU33" s="161" t="n">
        <f aca="true">RAND()</f>
        <v>0.494042909463308</v>
      </c>
      <c r="AV33" s="161" t="n">
        <f aca="true">RAND()</f>
        <v>0.884594241064539</v>
      </c>
      <c r="AW33" s="161" t="n">
        <f aca="true">RAND()</f>
        <v>0.674940963774009</v>
      </c>
      <c r="AX33" s="161" t="n">
        <f aca="true">RAND()</f>
        <v>0.379711048263038</v>
      </c>
      <c r="AY33" s="161" t="n">
        <f aca="true">RAND()</f>
        <v>0.25532483133317</v>
      </c>
      <c r="AZ33" s="161" t="n">
        <f aca="true">RAND()</f>
        <v>0.481879517238527</v>
      </c>
      <c r="BA33" s="161" t="n">
        <f aca="true">RAND()</f>
        <v>0.987114201115221</v>
      </c>
      <c r="BB33" s="161" t="n">
        <f aca="true">RAND()</f>
        <v>0.221204677453454</v>
      </c>
      <c r="BC33" s="161" t="n">
        <f aca="true">RAND()</f>
        <v>0.0468032845256069</v>
      </c>
      <c r="BD33" s="161" t="n">
        <f aca="true">RAND()</f>
        <v>0.638634529471781</v>
      </c>
      <c r="BE33" s="161" t="n">
        <f aca="true">RAND()</f>
        <v>0.809401221599627</v>
      </c>
      <c r="BF33" s="161" t="n">
        <f aca="true">RAND()</f>
        <v>0.279296867504315</v>
      </c>
      <c r="BG33" s="161" t="n">
        <f aca="true">RAND()</f>
        <v>0.727803720383814</v>
      </c>
      <c r="BH33" s="161" t="n">
        <f aca="true">RAND()</f>
        <v>0.981755037815039</v>
      </c>
      <c r="BI33" s="161" t="n">
        <f aca="true">RAND()</f>
        <v>0.141265648174795</v>
      </c>
      <c r="BJ33" s="161" t="n">
        <f aca="true">RAND()</f>
        <v>0.980428734660533</v>
      </c>
      <c r="BK33" s="161" t="n">
        <f aca="true">RAND()</f>
        <v>0.729570345141125</v>
      </c>
      <c r="BL33" s="161" t="n">
        <f aca="true">RAND()</f>
        <v>0.405592653898</v>
      </c>
      <c r="BM33" s="161" t="n">
        <f aca="true">RAND()</f>
        <v>0.376861226184118</v>
      </c>
      <c r="BN33" s="161" t="n">
        <f aca="true">RAND()</f>
        <v>0.319823404673123</v>
      </c>
      <c r="BO33" s="161" t="n">
        <f aca="true">RAND()</f>
        <v>0.974988708542926</v>
      </c>
      <c r="BP33" s="161" t="n">
        <f aca="true">RAND()</f>
        <v>0.467186949633041</v>
      </c>
      <c r="BQ33" s="161" t="n">
        <f aca="true">RAND()</f>
        <v>0.119341556096071</v>
      </c>
      <c r="BR33" s="161" t="n">
        <f aca="true">RAND()</f>
        <v>0.00994773806363035</v>
      </c>
      <c r="BS33" s="161" t="n">
        <f aca="true">RAND()</f>
        <v>0.692614495917432</v>
      </c>
      <c r="BT33" s="161" t="n">
        <f aca="true">RAND()</f>
        <v>0.394138135295956</v>
      </c>
      <c r="BU33" s="161" t="n">
        <f aca="true">RAND()</f>
        <v>0.708928335730659</v>
      </c>
      <c r="BV33" s="161" t="n">
        <f aca="true">RAND()</f>
        <v>0.406183946903393</v>
      </c>
      <c r="BW33" s="161" t="n">
        <f aca="true">RAND()</f>
        <v>0.288249068189813</v>
      </c>
      <c r="BX33" s="161" t="n">
        <f aca="true">RAND()</f>
        <v>0.671294287261241</v>
      </c>
      <c r="BY33" s="161" t="n">
        <f aca="true">RAND()</f>
        <v>0.648793485703081</v>
      </c>
      <c r="BZ33" s="162" t="n">
        <f aca="false">Simulator!K36*Simulator!$D$5+Simulator!L36*Simulator!$D$6+Simulator!M36*Simulator!$D$7+Simulator!N36*Simulator!$D$8+Simulator!O36*Simulator!$D$9+Simulator!P36*Simulator!$D$10</f>
        <v>0.648703758750425</v>
      </c>
      <c r="CA33" s="162" t="n">
        <f aca="false">IF($BZ33=0,0.1667,(Simulator!K36*Simulator!$D$5)/$BZ33)</f>
        <v>0.449507107680587</v>
      </c>
      <c r="CB33" s="162" t="n">
        <f aca="false">IF($BZ33=0,0.3333,(Simulator!K36*Simulator!$D$5+Simulator!L36*Simulator!$D$6)/$BZ33)</f>
        <v>0.875458161892065</v>
      </c>
      <c r="CC33" s="162" t="n">
        <f aca="false">IF($BZ33=0,0.5,(Simulator!K36*Simulator!$D$5+Simulator!L36*Simulator!$D$6+Simulator!M36*Simulator!$D$7)/$BZ33)</f>
        <v>0.927393608516617</v>
      </c>
      <c r="CD33" s="162" t="n">
        <f aca="false">IF($BZ33=0,0.6667,(Simulator!K36*Simulator!$D$5+Simulator!L36*Simulator!$D$6+Simulator!M36*Simulator!$D$7+Simulator!N36*Simulator!$D$8)/$BZ33)</f>
        <v>0.994344086462282</v>
      </c>
      <c r="CE33" s="162" t="n">
        <f aca="false">IF($BZ33=0,0.8333,(Simulator!K36*Simulator!$D$5+Simulator!L36*Simulator!$D$6+Simulator!M36*Simulator!$D$7+Simulator!N36*Simulator!$D$8+Simulator!O36*Simulator!$D$9)/$BZ33)</f>
        <v>1</v>
      </c>
    </row>
    <row r="34" customFormat="false" ht="15" hidden="false" customHeight="false" outlineLevel="0" collapsed="false">
      <c r="A34" s="160" t="s">
        <v>83</v>
      </c>
      <c r="B34" s="161" t="n">
        <f aca="true">RAND()</f>
        <v>0.635042648481688</v>
      </c>
      <c r="C34" s="161" t="n">
        <f aca="true">RAND()</f>
        <v>0.0985206931878598</v>
      </c>
      <c r="D34" s="161" t="n">
        <f aca="true">RAND()</f>
        <v>0.444087956359473</v>
      </c>
      <c r="E34" s="161" t="n">
        <f aca="true">RAND()</f>
        <v>0.417781811415569</v>
      </c>
      <c r="F34" s="161" t="n">
        <f aca="true">RAND()</f>
        <v>0.492361888316565</v>
      </c>
      <c r="G34" s="161" t="n">
        <f aca="true">RAND()</f>
        <v>0.0221244103062518</v>
      </c>
      <c r="H34" s="161" t="n">
        <f aca="true">RAND()</f>
        <v>0.3920330684827</v>
      </c>
      <c r="I34" s="161" t="n">
        <f aca="true">RAND()</f>
        <v>0.163829947229175</v>
      </c>
      <c r="J34" s="161" t="n">
        <f aca="true">RAND()</f>
        <v>0.783704946808747</v>
      </c>
      <c r="K34" s="161" t="n">
        <f aca="true">RAND()</f>
        <v>0.761586315490899</v>
      </c>
      <c r="L34" s="161" t="n">
        <f aca="true">RAND()</f>
        <v>0.775734604549226</v>
      </c>
      <c r="M34" s="161" t="n">
        <f aca="true">RAND()</f>
        <v>0.6978530378592</v>
      </c>
      <c r="N34" s="161" t="n">
        <f aca="true">RAND()</f>
        <v>0.665126865697371</v>
      </c>
      <c r="O34" s="161" t="n">
        <f aca="true">RAND()</f>
        <v>0.0815788979976899</v>
      </c>
      <c r="P34" s="161" t="n">
        <f aca="true">RAND()</f>
        <v>0.899589307240061</v>
      </c>
      <c r="Q34" s="161" t="n">
        <f aca="true">RAND()</f>
        <v>0.607610491971947</v>
      </c>
      <c r="R34" s="161" t="n">
        <f aca="true">RAND()</f>
        <v>0.841738098468644</v>
      </c>
      <c r="S34" s="161" t="n">
        <f aca="true">RAND()</f>
        <v>0.216511472414646</v>
      </c>
      <c r="T34" s="161" t="n">
        <f aca="true">RAND()</f>
        <v>0.889862147825553</v>
      </c>
      <c r="U34" s="161" t="n">
        <f aca="true">RAND()</f>
        <v>0.0865793846164319</v>
      </c>
      <c r="V34" s="161" t="n">
        <f aca="true">RAND()</f>
        <v>0.124508330742238</v>
      </c>
      <c r="W34" s="161" t="n">
        <f aca="true">RAND()</f>
        <v>0.0818619588454237</v>
      </c>
      <c r="X34" s="161" t="n">
        <f aca="true">RAND()</f>
        <v>0.422631348755554</v>
      </c>
      <c r="Y34" s="161" t="n">
        <f aca="true">RAND()</f>
        <v>0.866137940097512</v>
      </c>
      <c r="Z34" s="161" t="n">
        <f aca="true">RAND()</f>
        <v>0.491429149516563</v>
      </c>
      <c r="AA34" s="161" t="n">
        <f aca="true">RAND()</f>
        <v>0.542611445288915</v>
      </c>
      <c r="AB34" s="161" t="n">
        <f aca="true">RAND()</f>
        <v>0.273707737541538</v>
      </c>
      <c r="AC34" s="161" t="n">
        <f aca="true">RAND()</f>
        <v>0.45293077015504</v>
      </c>
      <c r="AD34" s="161" t="n">
        <f aca="true">RAND()</f>
        <v>0.368845068021492</v>
      </c>
      <c r="AE34" s="161" t="n">
        <f aca="true">RAND()</f>
        <v>0.920565233231269</v>
      </c>
      <c r="AF34" s="161" t="n">
        <f aca="true">RAND()</f>
        <v>0.296674108213787</v>
      </c>
      <c r="AG34" s="161" t="n">
        <f aca="true">RAND()</f>
        <v>0.220669212533251</v>
      </c>
      <c r="AH34" s="161" t="n">
        <f aca="true">RAND()</f>
        <v>0.862745922059753</v>
      </c>
      <c r="AI34" s="161" t="n">
        <f aca="true">RAND()</f>
        <v>0.410522773094908</v>
      </c>
      <c r="AJ34" s="161" t="n">
        <f aca="true">RAND()</f>
        <v>0.834942277729486</v>
      </c>
      <c r="AK34" s="161" t="n">
        <f aca="true">RAND()</f>
        <v>0.9382358994834</v>
      </c>
      <c r="AL34" s="161" t="n">
        <f aca="true">RAND()</f>
        <v>0.426681765178977</v>
      </c>
      <c r="AM34" s="161" t="n">
        <f aca="true">RAND()</f>
        <v>0.524472371131416</v>
      </c>
      <c r="AN34" s="161" t="n">
        <f aca="true">RAND()</f>
        <v>0.788875227810578</v>
      </c>
      <c r="AO34" s="161" t="n">
        <f aca="true">RAND()</f>
        <v>0.866294927506029</v>
      </c>
      <c r="AP34" s="161" t="n">
        <f aca="true">RAND()</f>
        <v>0.132977052409778</v>
      </c>
      <c r="AQ34" s="161" t="n">
        <f aca="true">RAND()</f>
        <v>0.276433901315783</v>
      </c>
      <c r="AR34" s="161" t="n">
        <f aca="true">RAND()</f>
        <v>0.580589656037574</v>
      </c>
      <c r="AS34" s="161" t="n">
        <f aca="true">RAND()</f>
        <v>0.576191266612636</v>
      </c>
      <c r="AT34" s="161" t="n">
        <f aca="true">RAND()</f>
        <v>0.329755632119841</v>
      </c>
      <c r="AU34" s="161" t="n">
        <f aca="true">RAND()</f>
        <v>0.142826688411956</v>
      </c>
      <c r="AV34" s="161" t="n">
        <f aca="true">RAND()</f>
        <v>0.285810422108502</v>
      </c>
      <c r="AW34" s="161" t="n">
        <f aca="true">RAND()</f>
        <v>0.975948004788736</v>
      </c>
      <c r="AX34" s="161" t="n">
        <f aca="true">RAND()</f>
        <v>0.153923391058893</v>
      </c>
      <c r="AY34" s="161" t="n">
        <f aca="true">RAND()</f>
        <v>0.602569590510446</v>
      </c>
      <c r="AZ34" s="161" t="n">
        <f aca="true">RAND()</f>
        <v>0.294543272585884</v>
      </c>
      <c r="BA34" s="161" t="n">
        <f aca="true">RAND()</f>
        <v>0.00410383807328151</v>
      </c>
      <c r="BB34" s="161" t="n">
        <f aca="true">RAND()</f>
        <v>0.174629060597634</v>
      </c>
      <c r="BC34" s="161" t="n">
        <f aca="true">RAND()</f>
        <v>0.0216991525298671</v>
      </c>
      <c r="BD34" s="161" t="n">
        <f aca="true">RAND()</f>
        <v>0.690512846996788</v>
      </c>
      <c r="BE34" s="161" t="n">
        <f aca="true">RAND()</f>
        <v>0.300204405058911</v>
      </c>
      <c r="BF34" s="161" t="n">
        <f aca="true">RAND()</f>
        <v>0.268677703299598</v>
      </c>
      <c r="BG34" s="161" t="n">
        <f aca="true">RAND()</f>
        <v>0.033113800776185</v>
      </c>
      <c r="BH34" s="161" t="n">
        <f aca="true">RAND()</f>
        <v>0.490854492163986</v>
      </c>
      <c r="BI34" s="161" t="n">
        <f aca="true">RAND()</f>
        <v>0.0886010721963106</v>
      </c>
      <c r="BJ34" s="161" t="n">
        <f aca="true">RAND()</f>
        <v>0.416933947298625</v>
      </c>
      <c r="BK34" s="161" t="n">
        <f aca="true">RAND()</f>
        <v>0.0679981395254996</v>
      </c>
      <c r="BL34" s="161" t="n">
        <f aca="true">RAND()</f>
        <v>0.269560099331541</v>
      </c>
      <c r="BM34" s="161" t="n">
        <f aca="true">RAND()</f>
        <v>0.355236753420485</v>
      </c>
      <c r="BN34" s="161" t="n">
        <f aca="true">RAND()</f>
        <v>0.372047484344313</v>
      </c>
      <c r="BO34" s="161" t="n">
        <f aca="true">RAND()</f>
        <v>0.857372736463583</v>
      </c>
      <c r="BP34" s="161" t="n">
        <f aca="true">RAND()</f>
        <v>0.245860036133781</v>
      </c>
      <c r="BQ34" s="161" t="n">
        <f aca="true">RAND()</f>
        <v>0.762672766095205</v>
      </c>
      <c r="BR34" s="161" t="n">
        <f aca="true">RAND()</f>
        <v>0.212339848062021</v>
      </c>
      <c r="BS34" s="161" t="n">
        <f aca="true">RAND()</f>
        <v>0.258813642923161</v>
      </c>
      <c r="BT34" s="161" t="n">
        <f aca="true">RAND()</f>
        <v>0.619276592225197</v>
      </c>
      <c r="BU34" s="161" t="n">
        <f aca="true">RAND()</f>
        <v>0.796028678410923</v>
      </c>
      <c r="BV34" s="161" t="n">
        <f aca="true">RAND()</f>
        <v>0.594995296915025</v>
      </c>
      <c r="BW34" s="161" t="n">
        <f aca="true">RAND()</f>
        <v>0.608340195340193</v>
      </c>
      <c r="BX34" s="161" t="n">
        <f aca="true">RAND()</f>
        <v>0.415266830507526</v>
      </c>
      <c r="BY34" s="161" t="n">
        <f aca="true">RAND()</f>
        <v>0.822327248179123</v>
      </c>
      <c r="BZ34" s="162" t="n">
        <f aca="false">Simulator!K37*Simulator!$D$5+Simulator!L37*Simulator!$D$6+Simulator!M37*Simulator!$D$7+Simulator!N37*Simulator!$D$8+Simulator!O37*Simulator!$D$9+Simulator!P37*Simulator!$D$10</f>
        <v>0.669725980936849</v>
      </c>
      <c r="CA34" s="162" t="n">
        <f aca="false">IF($BZ34=0,0.1667,(Simulator!K37*Simulator!$D$5)/$BZ34)</f>
        <v>0.362967060237665</v>
      </c>
      <c r="CB34" s="162" t="n">
        <f aca="false">IF($BZ34=0,0.3333,(Simulator!K37*Simulator!$D$5+Simulator!L37*Simulator!$D$6)/$BZ34)</f>
        <v>0.887104013623304</v>
      </c>
      <c r="CC34" s="162" t="n">
        <f aca="false">IF($BZ34=0,0.5,(Simulator!K37*Simulator!$D$5+Simulator!L37*Simulator!$D$6+Simulator!M37*Simulator!$D$7)/$BZ34)</f>
        <v>0.940306281979532</v>
      </c>
      <c r="CD34" s="162" t="n">
        <f aca="false">IF($BZ34=0,0.6667,(Simulator!K37*Simulator!$D$5+Simulator!L37*Simulator!$D$6+Simulator!M37*Simulator!$D$7+Simulator!N37*Simulator!$D$8)/$BZ34)</f>
        <v>0.994745623169277</v>
      </c>
      <c r="CE34" s="162" t="n">
        <f aca="false">IF($BZ34=0,0.8333,(Simulator!K37*Simulator!$D$5+Simulator!L37*Simulator!$D$6+Simulator!M37*Simulator!$D$7+Simulator!N37*Simulator!$D$8+Simulator!O37*Simulator!$D$9)/$BZ34)</f>
        <v>1</v>
      </c>
    </row>
    <row r="35" customFormat="false" ht="15" hidden="false" customHeight="false" outlineLevel="0" collapsed="false">
      <c r="A35" s="160" t="s">
        <v>84</v>
      </c>
      <c r="B35" s="161" t="n">
        <f aca="true">RAND()</f>
        <v>0.773498849126775</v>
      </c>
      <c r="C35" s="161" t="n">
        <f aca="true">RAND()</f>
        <v>0.276799025669725</v>
      </c>
      <c r="D35" s="161" t="n">
        <f aca="true">RAND()</f>
        <v>0.785611831160733</v>
      </c>
      <c r="E35" s="161" t="n">
        <f aca="true">RAND()</f>
        <v>0.0799283302366004</v>
      </c>
      <c r="F35" s="161" t="n">
        <f aca="true">RAND()</f>
        <v>0.922848247659539</v>
      </c>
      <c r="G35" s="161" t="n">
        <f aca="true">RAND()</f>
        <v>0.727482363040903</v>
      </c>
      <c r="H35" s="161" t="n">
        <f aca="true">RAND()</f>
        <v>0.404717022462055</v>
      </c>
      <c r="I35" s="161" t="n">
        <f aca="true">RAND()</f>
        <v>0.701967273691634</v>
      </c>
      <c r="J35" s="161" t="n">
        <f aca="true">RAND()</f>
        <v>0.190960927763274</v>
      </c>
      <c r="K35" s="161" t="n">
        <f aca="true">RAND()</f>
        <v>0.836760573784081</v>
      </c>
      <c r="L35" s="161" t="n">
        <f aca="true">RAND()</f>
        <v>0.582054690820055</v>
      </c>
      <c r="M35" s="161" t="n">
        <f aca="true">RAND()</f>
        <v>0.923188808693398</v>
      </c>
      <c r="N35" s="161" t="n">
        <f aca="true">RAND()</f>
        <v>0.341564444969612</v>
      </c>
      <c r="O35" s="161" t="n">
        <f aca="true">RAND()</f>
        <v>0.0961258662864225</v>
      </c>
      <c r="P35" s="161" t="n">
        <f aca="true">RAND()</f>
        <v>0.463538796562812</v>
      </c>
      <c r="Q35" s="161" t="n">
        <f aca="true">RAND()</f>
        <v>0.457680130467073</v>
      </c>
      <c r="R35" s="161" t="n">
        <f aca="true">RAND()</f>
        <v>0.460808460877273</v>
      </c>
      <c r="S35" s="161" t="n">
        <f aca="true">RAND()</f>
        <v>0.494904814622673</v>
      </c>
      <c r="T35" s="161" t="n">
        <f aca="true">RAND()</f>
        <v>0.332203449423344</v>
      </c>
      <c r="U35" s="161" t="n">
        <f aca="true">RAND()</f>
        <v>0.786235769782344</v>
      </c>
      <c r="V35" s="161" t="n">
        <f aca="true">RAND()</f>
        <v>0.887953929864822</v>
      </c>
      <c r="W35" s="161" t="n">
        <f aca="true">RAND()</f>
        <v>0.192236898628357</v>
      </c>
      <c r="X35" s="161" t="n">
        <f aca="true">RAND()</f>
        <v>0.577308781558227</v>
      </c>
      <c r="Y35" s="161" t="n">
        <f aca="true">RAND()</f>
        <v>0.680934592708127</v>
      </c>
      <c r="Z35" s="161" t="n">
        <f aca="true">RAND()</f>
        <v>0.944139591021078</v>
      </c>
      <c r="AA35" s="161" t="n">
        <f aca="true">RAND()</f>
        <v>0.105848863459454</v>
      </c>
      <c r="AB35" s="161" t="n">
        <f aca="true">RAND()</f>
        <v>0.0191106685689287</v>
      </c>
      <c r="AC35" s="161" t="n">
        <f aca="true">RAND()</f>
        <v>0.10112217937806</v>
      </c>
      <c r="AD35" s="161" t="n">
        <f aca="true">RAND()</f>
        <v>0.336678222999045</v>
      </c>
      <c r="AE35" s="161" t="n">
        <f aca="true">RAND()</f>
        <v>0.247142430378048</v>
      </c>
      <c r="AF35" s="161" t="n">
        <f aca="true">RAND()</f>
        <v>0.340867450476156</v>
      </c>
      <c r="AG35" s="161" t="n">
        <f aca="true">RAND()</f>
        <v>0.825587718515474</v>
      </c>
      <c r="AH35" s="161" t="n">
        <f aca="true">RAND()</f>
        <v>0.223655252579409</v>
      </c>
      <c r="AI35" s="161" t="n">
        <f aca="true">RAND()</f>
        <v>0.277286702159055</v>
      </c>
      <c r="AJ35" s="161" t="n">
        <f aca="true">RAND()</f>
        <v>0.648059270829149</v>
      </c>
      <c r="AK35" s="161" t="n">
        <f aca="true">RAND()</f>
        <v>0.775148941038317</v>
      </c>
      <c r="AL35" s="161" t="n">
        <f aca="true">RAND()</f>
        <v>0.679482473983628</v>
      </c>
      <c r="AM35" s="161" t="n">
        <f aca="true">RAND()</f>
        <v>0.635915213452789</v>
      </c>
      <c r="AN35" s="161" t="n">
        <f aca="true">RAND()</f>
        <v>0.918891999710965</v>
      </c>
      <c r="AO35" s="161" t="n">
        <f aca="true">RAND()</f>
        <v>0.144841288317611</v>
      </c>
      <c r="AP35" s="161" t="n">
        <f aca="true">RAND()</f>
        <v>0.18873881155204</v>
      </c>
      <c r="AQ35" s="161" t="n">
        <f aca="true">RAND()</f>
        <v>0.356482002957427</v>
      </c>
      <c r="AR35" s="161" t="n">
        <f aca="true">RAND()</f>
        <v>0.822233586320685</v>
      </c>
      <c r="AS35" s="161" t="n">
        <f aca="true">RAND()</f>
        <v>0.634003329260627</v>
      </c>
      <c r="AT35" s="161" t="n">
        <f aca="true">RAND()</f>
        <v>0.18853881870589</v>
      </c>
      <c r="AU35" s="161" t="n">
        <f aca="true">RAND()</f>
        <v>0.0238610963356823</v>
      </c>
      <c r="AV35" s="161" t="n">
        <f aca="true">RAND()</f>
        <v>0.367504704758289</v>
      </c>
      <c r="AW35" s="161" t="n">
        <f aca="true">RAND()</f>
        <v>0.761948677777744</v>
      </c>
      <c r="AX35" s="161" t="n">
        <f aca="true">RAND()</f>
        <v>0.397326433198359</v>
      </c>
      <c r="AY35" s="161" t="n">
        <f aca="true">RAND()</f>
        <v>0.999711871492574</v>
      </c>
      <c r="AZ35" s="161" t="n">
        <f aca="true">RAND()</f>
        <v>0.870682098907818</v>
      </c>
      <c r="BA35" s="161" t="n">
        <f aca="true">RAND()</f>
        <v>0.338988927035776</v>
      </c>
      <c r="BB35" s="161" t="n">
        <f aca="true">RAND()</f>
        <v>0.613175079070391</v>
      </c>
      <c r="BC35" s="161" t="n">
        <f aca="true">RAND()</f>
        <v>0.123276838231149</v>
      </c>
      <c r="BD35" s="161" t="n">
        <f aca="true">RAND()</f>
        <v>0.29379167189738</v>
      </c>
      <c r="BE35" s="161" t="n">
        <f aca="true">RAND()</f>
        <v>0.787634043671024</v>
      </c>
      <c r="BF35" s="161" t="n">
        <f aca="true">RAND()</f>
        <v>0.325694701453033</v>
      </c>
      <c r="BG35" s="161" t="n">
        <f aca="true">RAND()</f>
        <v>0.837270810330455</v>
      </c>
      <c r="BH35" s="161" t="n">
        <f aca="true">RAND()</f>
        <v>0.0891572419877151</v>
      </c>
      <c r="BI35" s="161" t="n">
        <f aca="true">RAND()</f>
        <v>0.939906574451201</v>
      </c>
      <c r="BJ35" s="161" t="n">
        <f aca="true">RAND()</f>
        <v>0.181104734115791</v>
      </c>
      <c r="BK35" s="161" t="n">
        <f aca="true">RAND()</f>
        <v>0.164063180203026</v>
      </c>
      <c r="BL35" s="161" t="n">
        <f aca="true">RAND()</f>
        <v>0.0463058872922061</v>
      </c>
      <c r="BM35" s="161" t="n">
        <f aca="true">RAND()</f>
        <v>0.348316828869116</v>
      </c>
      <c r="BN35" s="161" t="n">
        <f aca="true">RAND()</f>
        <v>0.702071390412819</v>
      </c>
      <c r="BO35" s="161" t="n">
        <f aca="true">RAND()</f>
        <v>0.561712327236215</v>
      </c>
      <c r="BP35" s="161" t="n">
        <f aca="true">RAND()</f>
        <v>0.792432070343617</v>
      </c>
      <c r="BQ35" s="161" t="n">
        <f aca="true">RAND()</f>
        <v>0.984721388772868</v>
      </c>
      <c r="BR35" s="161" t="n">
        <f aca="true">RAND()</f>
        <v>0.180028063341135</v>
      </c>
      <c r="BS35" s="161" t="n">
        <f aca="true">RAND()</f>
        <v>0.264222699360462</v>
      </c>
      <c r="BT35" s="161" t="n">
        <f aca="true">RAND()</f>
        <v>0.601750737564947</v>
      </c>
      <c r="BU35" s="161" t="n">
        <f aca="true">RAND()</f>
        <v>0.92553196921512</v>
      </c>
      <c r="BV35" s="161" t="n">
        <f aca="true">RAND()</f>
        <v>0.847983906740164</v>
      </c>
      <c r="BW35" s="161" t="n">
        <f aca="true">RAND()</f>
        <v>0.497639888302606</v>
      </c>
      <c r="BX35" s="161" t="n">
        <f aca="true">RAND()</f>
        <v>0.00734607144505354</v>
      </c>
      <c r="BY35" s="161" t="n">
        <f aca="true">RAND()</f>
        <v>0.725195585687803</v>
      </c>
      <c r="BZ35" s="162" t="n">
        <f aca="false">Simulator!K38*Simulator!$D$5+Simulator!L38*Simulator!$D$6+Simulator!M38*Simulator!$D$7+Simulator!N38*Simulator!$D$8+Simulator!O38*Simulator!$D$9+Simulator!P38*Simulator!$D$10</f>
        <v>0.695676956783723</v>
      </c>
      <c r="CA35" s="162" t="n">
        <f aca="false">IF($BZ35=0,0.1667,(Simulator!K38*Simulator!$D$5)/$BZ35)</f>
        <v>0.400258997909593</v>
      </c>
      <c r="CB35" s="162" t="n">
        <f aca="false">IF($BZ35=0,0.3333,(Simulator!K38*Simulator!$D$5+Simulator!L38*Simulator!$D$6)/$BZ35)</f>
        <v>0.899756859239141</v>
      </c>
      <c r="CC35" s="162" t="n">
        <f aca="false">IF($BZ35=0,0.5,(Simulator!K38*Simulator!$D$5+Simulator!L38*Simulator!$D$6+Simulator!M38*Simulator!$D$7)/$BZ35)</f>
        <v>0.952815578025696</v>
      </c>
      <c r="CD35" s="162" t="n">
        <f aca="false">IF($BZ35=0,0.6667,(Simulator!K38*Simulator!$D$5+Simulator!L38*Simulator!$D$6+Simulator!M38*Simulator!$D$7+Simulator!N38*Simulator!$D$8)/$BZ35)</f>
        <v>0.995358806950204</v>
      </c>
      <c r="CE35" s="162" t="n">
        <f aca="false">IF($BZ35=0,0.8333,(Simulator!K38*Simulator!$D$5+Simulator!L38*Simulator!$D$6+Simulator!M38*Simulator!$D$7+Simulator!N38*Simulator!$D$8+Simulator!O38*Simulator!$D$9)/$BZ35)</f>
        <v>1</v>
      </c>
    </row>
    <row r="36" customFormat="false" ht="15" hidden="false" customHeight="false" outlineLevel="0" collapsed="false">
      <c r="A36" s="160" t="s">
        <v>86</v>
      </c>
      <c r="B36" s="161" t="n">
        <f aca="true">RAND()</f>
        <v>0.600739294381932</v>
      </c>
      <c r="C36" s="161" t="n">
        <f aca="true">RAND()</f>
        <v>0.0164679840737983</v>
      </c>
      <c r="D36" s="161" t="n">
        <f aca="true">RAND()</f>
        <v>0.888059337573132</v>
      </c>
      <c r="E36" s="161" t="n">
        <f aca="true">RAND()</f>
        <v>0.829642561345779</v>
      </c>
      <c r="F36" s="161" t="n">
        <f aca="true">RAND()</f>
        <v>0.86065777794101</v>
      </c>
      <c r="G36" s="161" t="n">
        <f aca="true">RAND()</f>
        <v>0.375556162574068</v>
      </c>
      <c r="H36" s="161" t="n">
        <f aca="true">RAND()</f>
        <v>0.576740972581891</v>
      </c>
      <c r="I36" s="161" t="n">
        <f aca="true">RAND()</f>
        <v>0.145376591889585</v>
      </c>
      <c r="J36" s="161" t="n">
        <f aca="true">RAND()</f>
        <v>0.802231034139924</v>
      </c>
      <c r="K36" s="161" t="n">
        <f aca="true">RAND()</f>
        <v>0.547833599220022</v>
      </c>
      <c r="L36" s="161" t="n">
        <f aca="true">RAND()</f>
        <v>0.483388627333725</v>
      </c>
      <c r="M36" s="161" t="n">
        <f aca="true">RAND()</f>
        <v>0.331925332076362</v>
      </c>
      <c r="N36" s="161" t="n">
        <f aca="true">RAND()</f>
        <v>0.261093021530807</v>
      </c>
      <c r="O36" s="161" t="n">
        <f aca="true">RAND()</f>
        <v>0.182703825423469</v>
      </c>
      <c r="P36" s="161" t="n">
        <f aca="true">RAND()</f>
        <v>0.225057178063739</v>
      </c>
      <c r="Q36" s="161" t="n">
        <f aca="true">RAND()</f>
        <v>0.646687236907727</v>
      </c>
      <c r="R36" s="161" t="n">
        <f aca="true">RAND()</f>
        <v>0.35537040280519</v>
      </c>
      <c r="S36" s="161" t="n">
        <f aca="true">RAND()</f>
        <v>0.32657381501593</v>
      </c>
      <c r="T36" s="161" t="n">
        <f aca="true">RAND()</f>
        <v>0.572460590768923</v>
      </c>
      <c r="U36" s="161" t="n">
        <f aca="true">RAND()</f>
        <v>0.112365017156044</v>
      </c>
      <c r="V36" s="161" t="n">
        <f aca="true">RAND()</f>
        <v>0.582733342519543</v>
      </c>
      <c r="W36" s="161" t="n">
        <f aca="true">RAND()</f>
        <v>0.10636315926678</v>
      </c>
      <c r="X36" s="161" t="n">
        <f aca="true">RAND()</f>
        <v>0.397841944157144</v>
      </c>
      <c r="Y36" s="161" t="n">
        <f aca="true">RAND()</f>
        <v>0.603459201408321</v>
      </c>
      <c r="Z36" s="161" t="n">
        <f aca="true">RAND()</f>
        <v>0.700695500694101</v>
      </c>
      <c r="AA36" s="161" t="n">
        <f aca="true">RAND()</f>
        <v>0.0741067286642618</v>
      </c>
      <c r="AB36" s="161" t="n">
        <f aca="true">RAND()</f>
        <v>0.844347484527263</v>
      </c>
      <c r="AC36" s="161" t="n">
        <f aca="true">RAND()</f>
        <v>0.187665483902631</v>
      </c>
      <c r="AD36" s="161" t="n">
        <f aca="true">RAND()</f>
        <v>0.00536357472086249</v>
      </c>
      <c r="AE36" s="161" t="n">
        <f aca="true">RAND()</f>
        <v>0.28330968153903</v>
      </c>
      <c r="AF36" s="161" t="n">
        <f aca="true">RAND()</f>
        <v>0.542138406582519</v>
      </c>
      <c r="AG36" s="161" t="n">
        <f aca="true">RAND()</f>
        <v>0.728450751830912</v>
      </c>
      <c r="AH36" s="161" t="n">
        <f aca="true">RAND()</f>
        <v>0.288944796020239</v>
      </c>
      <c r="AI36" s="161" t="n">
        <f aca="true">RAND()</f>
        <v>0.113278105221754</v>
      </c>
      <c r="AJ36" s="161" t="n">
        <f aca="true">RAND()</f>
        <v>0.968147849639875</v>
      </c>
      <c r="AK36" s="161" t="n">
        <f aca="true">RAND()</f>
        <v>0.884795922079478</v>
      </c>
      <c r="AL36" s="161" t="n">
        <f aca="true">RAND()</f>
        <v>0.602725412848757</v>
      </c>
      <c r="AM36" s="161" t="n">
        <f aca="true">RAND()</f>
        <v>0.569131797836095</v>
      </c>
      <c r="AN36" s="161" t="n">
        <f aca="true">RAND()</f>
        <v>0.821559768201452</v>
      </c>
      <c r="AO36" s="161" t="n">
        <f aca="true">RAND()</f>
        <v>0.332555498118761</v>
      </c>
      <c r="AP36" s="161" t="n">
        <f aca="true">RAND()</f>
        <v>0.422021931305217</v>
      </c>
      <c r="AQ36" s="161" t="n">
        <f aca="true">RAND()</f>
        <v>0.812216838196942</v>
      </c>
      <c r="AR36" s="161" t="n">
        <f aca="true">RAND()</f>
        <v>0.233235533603063</v>
      </c>
      <c r="AS36" s="161" t="n">
        <f aca="true">RAND()</f>
        <v>0.503542907850201</v>
      </c>
      <c r="AT36" s="161" t="n">
        <f aca="true">RAND()</f>
        <v>0.546136827691171</v>
      </c>
      <c r="AU36" s="161" t="n">
        <f aca="true">RAND()</f>
        <v>0.0934354169670114</v>
      </c>
      <c r="AV36" s="161" t="n">
        <f aca="true">RAND()</f>
        <v>0.729382829859513</v>
      </c>
      <c r="AW36" s="161" t="n">
        <f aca="true">RAND()</f>
        <v>0.805697282886607</v>
      </c>
      <c r="AX36" s="161" t="n">
        <f aca="true">RAND()</f>
        <v>0.0291589232667683</v>
      </c>
      <c r="AY36" s="161" t="n">
        <f aca="true">RAND()</f>
        <v>0.358981841278169</v>
      </c>
      <c r="AZ36" s="161" t="n">
        <f aca="true">RAND()</f>
        <v>0.958798386948527</v>
      </c>
      <c r="BA36" s="161" t="n">
        <f aca="true">RAND()</f>
        <v>0.0943783022856548</v>
      </c>
      <c r="BB36" s="161" t="n">
        <f aca="true">RAND()</f>
        <v>0.581372689481294</v>
      </c>
      <c r="BC36" s="161" t="n">
        <f aca="true">RAND()</f>
        <v>0.79184702571866</v>
      </c>
      <c r="BD36" s="161" t="n">
        <f aca="true">RAND()</f>
        <v>0.874585390564322</v>
      </c>
      <c r="BE36" s="161" t="n">
        <f aca="true">RAND()</f>
        <v>0.138546629573366</v>
      </c>
      <c r="BF36" s="161" t="n">
        <f aca="true">RAND()</f>
        <v>0.423259095421115</v>
      </c>
      <c r="BG36" s="161" t="n">
        <f aca="true">RAND()</f>
        <v>0.746049184555601</v>
      </c>
      <c r="BH36" s="161" t="n">
        <f aca="true">RAND()</f>
        <v>0.0756660660283718</v>
      </c>
      <c r="BI36" s="161" t="n">
        <f aca="true">RAND()</f>
        <v>0.686524895871385</v>
      </c>
      <c r="BJ36" s="161" t="n">
        <f aca="true">RAND()</f>
        <v>0.971634010895843</v>
      </c>
      <c r="BK36" s="161" t="n">
        <f aca="true">RAND()</f>
        <v>0.796166108585389</v>
      </c>
      <c r="BL36" s="161" t="n">
        <f aca="true">RAND()</f>
        <v>0.712013045045824</v>
      </c>
      <c r="BM36" s="161" t="n">
        <f aca="true">RAND()</f>
        <v>0.528965639941686</v>
      </c>
      <c r="BN36" s="161" t="n">
        <f aca="true">RAND()</f>
        <v>0.741449730379748</v>
      </c>
      <c r="BO36" s="161" t="n">
        <f aca="true">RAND()</f>
        <v>0.0814611716962913</v>
      </c>
      <c r="BP36" s="161" t="n">
        <f aca="true">RAND()</f>
        <v>0.49400335710182</v>
      </c>
      <c r="BQ36" s="161" t="n">
        <f aca="true">RAND()</f>
        <v>0.689623691288996</v>
      </c>
      <c r="BR36" s="161" t="n">
        <f aca="true">RAND()</f>
        <v>0.841533307943077</v>
      </c>
      <c r="BS36" s="161" t="n">
        <f aca="true">RAND()</f>
        <v>0.414509598148345</v>
      </c>
      <c r="BT36" s="161" t="n">
        <f aca="true">RAND()</f>
        <v>0.860047888586942</v>
      </c>
      <c r="BU36" s="161" t="n">
        <f aca="true">RAND()</f>
        <v>0.30127033080423</v>
      </c>
      <c r="BV36" s="161" t="n">
        <f aca="true">RAND()</f>
        <v>0.395643628237444</v>
      </c>
      <c r="BW36" s="161" t="n">
        <f aca="true">RAND()</f>
        <v>0.750897441724367</v>
      </c>
      <c r="BX36" s="161" t="n">
        <f aca="true">RAND()</f>
        <v>0.780767118821709</v>
      </c>
      <c r="BY36" s="161" t="n">
        <f aca="true">RAND()</f>
        <v>0.665130520937763</v>
      </c>
      <c r="BZ36" s="162" t="n">
        <f aca="false">Simulator!K39*Simulator!$D$5+Simulator!L39*Simulator!$D$6+Simulator!M39*Simulator!$D$7+Simulator!N39*Simulator!$D$8+Simulator!O39*Simulator!$D$9+Simulator!P39*Simulator!$D$10</f>
        <v>0.667427133999678</v>
      </c>
      <c r="CA36" s="162" t="n">
        <f aca="false">IF($BZ36=0,0.1667,(Simulator!K39*Simulator!$D$5)/$BZ36)</f>
        <v>0.531337141094221</v>
      </c>
      <c r="CB36" s="162" t="n">
        <f aca="false">IF($BZ36=0,0.3333,(Simulator!K39*Simulator!$D$5+Simulator!L39*Simulator!$D$6)/$BZ36)</f>
        <v>0.888674136077336</v>
      </c>
      <c r="CC36" s="162" t="n">
        <f aca="false">IF($BZ36=0,0.5,(Simulator!K39*Simulator!$D$5+Simulator!L39*Simulator!$D$6+Simulator!M39*Simulator!$D$7)/$BZ36)</f>
        <v>0.960654793584</v>
      </c>
      <c r="CD36" s="162" t="n">
        <f aca="false">IF($BZ36=0,0.6667,(Simulator!K39*Simulator!$D$5+Simulator!L39*Simulator!$D$6+Simulator!M39*Simulator!$D$7+Simulator!N39*Simulator!$D$8)/$BZ36)</f>
        <v>0.994139759615674</v>
      </c>
      <c r="CE36" s="162" t="n">
        <f aca="false">IF($BZ36=0,0.8333,(Simulator!K39*Simulator!$D$5+Simulator!L39*Simulator!$D$6+Simulator!M39*Simulator!$D$7+Simulator!N39*Simulator!$D$8+Simulator!O39*Simulator!$D$9)/$BZ36)</f>
        <v>1</v>
      </c>
    </row>
    <row r="37" customFormat="false" ht="15" hidden="false" customHeight="false" outlineLevel="0" collapsed="false">
      <c r="A37" s="160" t="s">
        <v>88</v>
      </c>
      <c r="B37" s="161" t="n">
        <f aca="true">RAND()</f>
        <v>0.709623200896172</v>
      </c>
      <c r="C37" s="161" t="n">
        <f aca="true">RAND()</f>
        <v>0.818498453472761</v>
      </c>
      <c r="D37" s="161" t="n">
        <f aca="true">RAND()</f>
        <v>0.293751352660632</v>
      </c>
      <c r="E37" s="161" t="n">
        <f aca="true">RAND()</f>
        <v>0.377991256147668</v>
      </c>
      <c r="F37" s="161" t="n">
        <f aca="true">RAND()</f>
        <v>0.330012174689844</v>
      </c>
      <c r="G37" s="161" t="n">
        <f aca="true">RAND()</f>
        <v>0.541389143208771</v>
      </c>
      <c r="H37" s="161" t="n">
        <f aca="true">RAND()</f>
        <v>0.996784445940468</v>
      </c>
      <c r="I37" s="161" t="n">
        <f aca="true">RAND()</f>
        <v>0.927711288194284</v>
      </c>
      <c r="J37" s="161" t="n">
        <f aca="true">RAND()</f>
        <v>0.133627235496025</v>
      </c>
      <c r="K37" s="161" t="n">
        <f aca="true">RAND()</f>
        <v>0.267967199336712</v>
      </c>
      <c r="L37" s="161" t="n">
        <f aca="true">RAND()</f>
        <v>0.533849292508849</v>
      </c>
      <c r="M37" s="161" t="n">
        <f aca="true">RAND()</f>
        <v>0.321354975269831</v>
      </c>
      <c r="N37" s="161" t="n">
        <f aca="true">RAND()</f>
        <v>0.872267397862079</v>
      </c>
      <c r="O37" s="161" t="n">
        <f aca="true">RAND()</f>
        <v>0.505894734052569</v>
      </c>
      <c r="P37" s="161" t="n">
        <f aca="true">RAND()</f>
        <v>0.529722505446701</v>
      </c>
      <c r="Q37" s="161" t="n">
        <f aca="true">RAND()</f>
        <v>0.194466930886566</v>
      </c>
      <c r="R37" s="161" t="n">
        <f aca="true">RAND()</f>
        <v>0.695799994624801</v>
      </c>
      <c r="S37" s="161" t="n">
        <f aca="true">RAND()</f>
        <v>0.136828123606819</v>
      </c>
      <c r="T37" s="161" t="n">
        <f aca="true">RAND()</f>
        <v>0.148657009119482</v>
      </c>
      <c r="U37" s="161" t="n">
        <f aca="true">RAND()</f>
        <v>0.705960758645397</v>
      </c>
      <c r="V37" s="161" t="n">
        <f aca="true">RAND()</f>
        <v>0.622521540288541</v>
      </c>
      <c r="W37" s="161" t="n">
        <f aca="true">RAND()</f>
        <v>0.900944909164607</v>
      </c>
      <c r="X37" s="161" t="n">
        <f aca="true">RAND()</f>
        <v>0.976576385196702</v>
      </c>
      <c r="Y37" s="161" t="n">
        <f aca="true">RAND()</f>
        <v>0.598491924898559</v>
      </c>
      <c r="Z37" s="161" t="n">
        <f aca="true">RAND()</f>
        <v>0.927101858406281</v>
      </c>
      <c r="AA37" s="161" t="n">
        <f aca="true">RAND()</f>
        <v>0.375577970500167</v>
      </c>
      <c r="AB37" s="161" t="n">
        <f aca="true">RAND()</f>
        <v>0.724178126065443</v>
      </c>
      <c r="AC37" s="161" t="n">
        <f aca="true">RAND()</f>
        <v>0.693284457617348</v>
      </c>
      <c r="AD37" s="161" t="n">
        <f aca="true">RAND()</f>
        <v>0.227025908928089</v>
      </c>
      <c r="AE37" s="161" t="n">
        <f aca="true">RAND()</f>
        <v>0.947848104406282</v>
      </c>
      <c r="AF37" s="161" t="n">
        <f aca="true">RAND()</f>
        <v>0.17117211004298</v>
      </c>
      <c r="AG37" s="161" t="n">
        <f aca="true">RAND()</f>
        <v>0.854414094133293</v>
      </c>
      <c r="AH37" s="161" t="n">
        <f aca="true">RAND()</f>
        <v>0.412521442443955</v>
      </c>
      <c r="AI37" s="161" t="n">
        <f aca="true">RAND()</f>
        <v>0.425684947488164</v>
      </c>
      <c r="AJ37" s="161" t="n">
        <f aca="true">RAND()</f>
        <v>0.351221324073188</v>
      </c>
      <c r="AK37" s="161" t="n">
        <f aca="true">RAND()</f>
        <v>0.71341355744628</v>
      </c>
      <c r="AL37" s="161" t="n">
        <f aca="true">RAND()</f>
        <v>0.161850181187786</v>
      </c>
      <c r="AM37" s="161" t="n">
        <f aca="true">RAND()</f>
        <v>0.899565302068275</v>
      </c>
      <c r="AN37" s="161" t="n">
        <f aca="true">RAND()</f>
        <v>0.586244441182182</v>
      </c>
      <c r="AO37" s="161" t="n">
        <f aca="true">RAND()</f>
        <v>0.922015874127431</v>
      </c>
      <c r="AP37" s="161" t="n">
        <f aca="true">RAND()</f>
        <v>0.052551650268828</v>
      </c>
      <c r="AQ37" s="161" t="n">
        <f aca="true">RAND()</f>
        <v>0.128402191162245</v>
      </c>
      <c r="AR37" s="161" t="n">
        <f aca="true">RAND()</f>
        <v>0.170002138310598</v>
      </c>
      <c r="AS37" s="161" t="n">
        <f aca="true">RAND()</f>
        <v>0.420071438288187</v>
      </c>
      <c r="AT37" s="161" t="n">
        <f aca="true">RAND()</f>
        <v>0.900408723785406</v>
      </c>
      <c r="AU37" s="161" t="n">
        <f aca="true">RAND()</f>
        <v>0.521585960158776</v>
      </c>
      <c r="AV37" s="161" t="n">
        <f aca="true">RAND()</f>
        <v>0.988835753791644</v>
      </c>
      <c r="AW37" s="161" t="n">
        <f aca="true">RAND()</f>
        <v>0.905218627577413</v>
      </c>
      <c r="AX37" s="161" t="n">
        <f aca="true">RAND()</f>
        <v>0.268857431503318</v>
      </c>
      <c r="AY37" s="161" t="n">
        <f aca="true">RAND()</f>
        <v>0.682274361567244</v>
      </c>
      <c r="AZ37" s="161" t="n">
        <f aca="true">RAND()</f>
        <v>0.857672532249214</v>
      </c>
      <c r="BA37" s="161" t="n">
        <f aca="true">RAND()</f>
        <v>0.87346544346423</v>
      </c>
      <c r="BB37" s="161" t="n">
        <f aca="true">RAND()</f>
        <v>0.836897553323114</v>
      </c>
      <c r="BC37" s="161" t="n">
        <f aca="true">RAND()</f>
        <v>0.900488186209922</v>
      </c>
      <c r="BD37" s="161" t="n">
        <f aca="true">RAND()</f>
        <v>0.908266174746343</v>
      </c>
      <c r="BE37" s="161" t="n">
        <f aca="true">RAND()</f>
        <v>0.510271059770991</v>
      </c>
      <c r="BF37" s="161" t="n">
        <f aca="true">RAND()</f>
        <v>0.358457264499332</v>
      </c>
      <c r="BG37" s="161" t="n">
        <f aca="true">RAND()</f>
        <v>0.358071556629383</v>
      </c>
      <c r="BH37" s="161" t="n">
        <f aca="true">RAND()</f>
        <v>0.219715198385239</v>
      </c>
      <c r="BI37" s="161" t="n">
        <f aca="true">RAND()</f>
        <v>0.864872181309377</v>
      </c>
      <c r="BJ37" s="161" t="n">
        <f aca="true">RAND()</f>
        <v>0.0901870083692092</v>
      </c>
      <c r="BK37" s="161" t="n">
        <f aca="true">RAND()</f>
        <v>0.634208112389618</v>
      </c>
      <c r="BL37" s="161" t="n">
        <f aca="true">RAND()</f>
        <v>0.255231227124543</v>
      </c>
      <c r="BM37" s="161" t="n">
        <f aca="true">RAND()</f>
        <v>0.711746665386719</v>
      </c>
      <c r="BN37" s="161" t="n">
        <f aca="true">RAND()</f>
        <v>0.00824905359685504</v>
      </c>
      <c r="BO37" s="161" t="n">
        <f aca="true">RAND()</f>
        <v>0.985639813581381</v>
      </c>
      <c r="BP37" s="161" t="n">
        <f aca="true">RAND()</f>
        <v>0.475683751982968</v>
      </c>
      <c r="BQ37" s="161" t="n">
        <f aca="true">RAND()</f>
        <v>0.804687278979673</v>
      </c>
      <c r="BR37" s="161" t="n">
        <f aca="true">RAND()</f>
        <v>0.322516992114206</v>
      </c>
      <c r="BS37" s="161" t="n">
        <f aca="true">RAND()</f>
        <v>0.414409832184827</v>
      </c>
      <c r="BT37" s="161" t="n">
        <f aca="true">RAND()</f>
        <v>0.353121298712766</v>
      </c>
      <c r="BU37" s="161" t="n">
        <f aca="true">RAND()</f>
        <v>0.176506910931844</v>
      </c>
      <c r="BV37" s="161" t="n">
        <f aca="true">RAND()</f>
        <v>0.396034897659268</v>
      </c>
      <c r="BW37" s="161" t="n">
        <f aca="true">RAND()</f>
        <v>0.518961727696054</v>
      </c>
      <c r="BX37" s="161" t="n">
        <f aca="true">RAND()</f>
        <v>0.703358344521824</v>
      </c>
      <c r="BY37" s="161" t="n">
        <f aca="true">RAND()</f>
        <v>0.843437872518913</v>
      </c>
      <c r="BZ37" s="162" t="n">
        <f aca="false">Simulator!K40*Simulator!$D$5+Simulator!L40*Simulator!$D$6+Simulator!M40*Simulator!$D$7+Simulator!N40*Simulator!$D$8+Simulator!O40*Simulator!$D$9+Simulator!P40*Simulator!$D$10</f>
        <v>0.768961469446857</v>
      </c>
      <c r="CA37" s="162" t="n">
        <f aca="false">IF($BZ37=0,0.1667,(Simulator!K40*Simulator!$D$5)/$BZ37)</f>
        <v>0.166897009871772</v>
      </c>
      <c r="CB37" s="162" t="n">
        <f aca="false">IF($BZ37=0,0.3333,(Simulator!K40*Simulator!$D$5+Simulator!L40*Simulator!$D$6)/$BZ37)</f>
        <v>0.466169574038342</v>
      </c>
      <c r="CC37" s="162" t="n">
        <f aca="false">IF($BZ37=0,0.5,(Simulator!K40*Simulator!$D$5+Simulator!L40*Simulator!$D$6+Simulator!M40*Simulator!$D$7)/$BZ37)</f>
        <v>0.489924249945535</v>
      </c>
      <c r="CD37" s="162" t="n">
        <f aca="false">IF($BZ37=0,0.6667,(Simulator!K40*Simulator!$D$5+Simulator!L40*Simulator!$D$6+Simulator!M40*Simulator!$D$7+Simulator!N40*Simulator!$D$8)/$BZ37)</f>
        <v>0.526934795564081</v>
      </c>
      <c r="CE37" s="162" t="n">
        <f aca="false">IF($BZ37=0,0.8333,(Simulator!K40*Simulator!$D$5+Simulator!L40*Simulator!$D$6+Simulator!M40*Simulator!$D$7+Simulator!N40*Simulator!$D$8+Simulator!O40*Simulator!$D$9)/$BZ37)</f>
        <v>0.530940735388294</v>
      </c>
    </row>
    <row r="40" customFormat="false" ht="15" hidden="false" customHeight="false" outlineLevel="0" collapsed="false">
      <c r="A40" s="74" t="s">
        <v>202</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G16"/>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5" zeroHeight="false" outlineLevelRow="0" outlineLevelCol="0"/>
  <cols>
    <col collapsed="false" customWidth="true" hidden="false" outlineLevel="0" max="1" min="1" style="0" width="2"/>
    <col collapsed="false" customWidth="true" hidden="false" outlineLevel="0" max="2" min="2" style="0" width="22"/>
    <col collapsed="false" customWidth="true" hidden="false" outlineLevel="0" max="3" min="3" style="0" width="13"/>
    <col collapsed="false" customWidth="true" hidden="false" outlineLevel="0" max="4" min="4" style="0" width="10"/>
    <col collapsed="false" customWidth="true" hidden="false" outlineLevel="0" max="5" min="5" style="0" width="11"/>
    <col collapsed="false" customWidth="true" hidden="false" outlineLevel="0" max="6" min="6" style="0" width="13"/>
    <col collapsed="false" customWidth="true" hidden="false" outlineLevel="0" max="7" min="7" style="0" width="11"/>
  </cols>
  <sheetData>
    <row r="1" customFormat="false" ht="30" hidden="false" customHeight="true" outlineLevel="0" collapsed="false">
      <c r="B1" s="62" t="s">
        <v>203</v>
      </c>
      <c r="C1" s="62"/>
      <c r="D1" s="62"/>
      <c r="E1" s="62"/>
      <c r="F1" s="62"/>
      <c r="G1" s="62"/>
    </row>
    <row r="2" customFormat="false" ht="15" hidden="false" customHeight="false" outlineLevel="0" collapsed="false">
      <c r="B2" s="2" t="s">
        <v>204</v>
      </c>
      <c r="C2" s="2"/>
      <c r="D2" s="2"/>
      <c r="E2" s="2"/>
      <c r="F2" s="2"/>
      <c r="G2" s="2"/>
    </row>
    <row r="4" customFormat="false" ht="15" hidden="false" customHeight="true" outlineLevel="0" collapsed="false">
      <c r="B4" s="6" t="s">
        <v>205</v>
      </c>
      <c r="C4" s="163" t="n">
        <v>1000</v>
      </c>
      <c r="E4" s="61" t="s">
        <v>206</v>
      </c>
      <c r="F4" s="61"/>
      <c r="G4" s="61"/>
    </row>
    <row r="5" customFormat="false" ht="15" hidden="false" customHeight="false" outlineLevel="0" collapsed="false">
      <c r="E5" s="61"/>
      <c r="F5" s="61"/>
      <c r="G5" s="61"/>
    </row>
    <row r="6" customFormat="false" ht="15" hidden="false" customHeight="false" outlineLevel="0" collapsed="false">
      <c r="B6" s="6" t="s">
        <v>207</v>
      </c>
      <c r="C6" s="13"/>
    </row>
    <row r="8" customFormat="false" ht="25.5" hidden="false" customHeight="true" outlineLevel="0" collapsed="false">
      <c r="B8" s="5" t="s">
        <v>173</v>
      </c>
      <c r="C8" s="5" t="s">
        <v>208</v>
      </c>
      <c r="D8" s="5" t="s">
        <v>209</v>
      </c>
      <c r="E8" s="5" t="s">
        <v>210</v>
      </c>
      <c r="F8" s="5" t="s">
        <v>211</v>
      </c>
      <c r="G8" s="5" t="s">
        <v>212</v>
      </c>
    </row>
    <row r="9" customFormat="false" ht="15" hidden="false" customHeight="false" outlineLevel="0" collapsed="false">
      <c r="B9" s="164"/>
      <c r="C9" s="13"/>
      <c r="D9" s="55"/>
      <c r="E9" s="133"/>
      <c r="F9" s="13"/>
      <c r="G9" s="55"/>
    </row>
    <row r="10" customFormat="false" ht="15" hidden="false" customHeight="false" outlineLevel="0" collapsed="false">
      <c r="B10" s="165"/>
      <c r="C10" s="13"/>
      <c r="D10" s="55"/>
      <c r="E10" s="133"/>
      <c r="F10" s="13"/>
      <c r="G10" s="55"/>
    </row>
    <row r="11" customFormat="false" ht="15" hidden="false" customHeight="false" outlineLevel="0" collapsed="false">
      <c r="B11" s="166"/>
      <c r="C11" s="13"/>
      <c r="D11" s="55"/>
      <c r="E11" s="133"/>
      <c r="F11" s="13"/>
      <c r="G11" s="55"/>
    </row>
    <row r="12" customFormat="false" ht="15" hidden="false" customHeight="false" outlineLevel="0" collapsed="false">
      <c r="B12" s="167"/>
      <c r="C12" s="13"/>
      <c r="D12" s="55"/>
      <c r="E12" s="133"/>
      <c r="F12" s="13"/>
      <c r="G12" s="55"/>
    </row>
    <row r="13" customFormat="false" ht="15" hidden="false" customHeight="false" outlineLevel="0" collapsed="false">
      <c r="B13" s="168"/>
      <c r="C13" s="13"/>
      <c r="D13" s="55"/>
      <c r="E13" s="133"/>
      <c r="F13" s="13"/>
      <c r="G13" s="55"/>
    </row>
    <row r="14" customFormat="false" ht="15" hidden="false" customHeight="false" outlineLevel="0" collapsed="false">
      <c r="B14" s="169"/>
      <c r="C14" s="13"/>
      <c r="D14" s="55"/>
      <c r="E14" s="133"/>
      <c r="F14" s="13"/>
      <c r="G14" s="55"/>
    </row>
    <row r="15" customFormat="false" ht="15" hidden="false" customHeight="false" outlineLevel="0" collapsed="false">
      <c r="B15" s="125" t="s">
        <v>213</v>
      </c>
      <c r="C15" s="13"/>
      <c r="D15" s="55"/>
    </row>
    <row r="16" customFormat="false" ht="15" hidden="false" customHeight="false" outlineLevel="0" collapsed="false">
      <c r="B16" s="170" t="s">
        <v>214</v>
      </c>
      <c r="C16" s="13"/>
      <c r="D16" s="55"/>
    </row>
  </sheetData>
  <mergeCells count="3">
    <mergeCell ref="B1:G1"/>
    <mergeCell ref="B2:G2"/>
    <mergeCell ref="E4:G5"/>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B19"/>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5" zeroHeight="false" outlineLevelRow="0" outlineLevelCol="0"/>
  <cols>
    <col collapsed="false" customWidth="true" hidden="false" outlineLevel="0" max="1" min="1" style="0" width="2"/>
    <col collapsed="false" customWidth="true" hidden="false" outlineLevel="0" max="2" min="2" style="0" width="115"/>
  </cols>
  <sheetData>
    <row r="1" customFormat="false" ht="24" hidden="false" customHeight="true" outlineLevel="0" collapsed="false">
      <c r="B1" s="171" t="s">
        <v>215</v>
      </c>
    </row>
    <row r="2" customFormat="false" ht="15" hidden="false" customHeight="false" outlineLevel="0" collapsed="false">
      <c r="B2" s="172" t="s">
        <v>216</v>
      </c>
    </row>
    <row r="3" customFormat="false" ht="48" hidden="false" customHeight="true" outlineLevel="0" collapsed="false">
      <c r="B3" s="173" t="s">
        <v>217</v>
      </c>
    </row>
    <row r="4" customFormat="false" ht="15" hidden="false" customHeight="false" outlineLevel="0" collapsed="false">
      <c r="B4" s="172" t="s">
        <v>218</v>
      </c>
    </row>
    <row r="5" customFormat="false" ht="48" hidden="false" customHeight="true" outlineLevel="0" collapsed="false">
      <c r="B5" s="173" t="s">
        <v>219</v>
      </c>
    </row>
    <row r="6" customFormat="false" ht="15" hidden="false" customHeight="false" outlineLevel="0" collapsed="false">
      <c r="B6" s="172" t="s">
        <v>220</v>
      </c>
    </row>
    <row r="7" customFormat="false" ht="48" hidden="false" customHeight="true" outlineLevel="0" collapsed="false">
      <c r="B7" s="173" t="s">
        <v>221</v>
      </c>
    </row>
    <row r="8" customFormat="false" ht="15" hidden="false" customHeight="false" outlineLevel="0" collapsed="false">
      <c r="B8" s="172" t="s">
        <v>222</v>
      </c>
    </row>
    <row r="9" customFormat="false" ht="48" hidden="false" customHeight="true" outlineLevel="0" collapsed="false">
      <c r="B9" s="173" t="s">
        <v>223</v>
      </c>
    </row>
    <row r="10" customFormat="false" ht="15" hidden="false" customHeight="false" outlineLevel="0" collapsed="false">
      <c r="B10" s="172" t="s">
        <v>224</v>
      </c>
    </row>
    <row r="11" customFormat="false" ht="48" hidden="false" customHeight="true" outlineLevel="0" collapsed="false">
      <c r="B11" s="173" t="s">
        <v>225</v>
      </c>
    </row>
    <row r="12" customFormat="false" ht="15" hidden="false" customHeight="false" outlineLevel="0" collapsed="false">
      <c r="B12" s="172" t="s">
        <v>226</v>
      </c>
    </row>
    <row r="13" customFormat="false" ht="48" hidden="false" customHeight="true" outlineLevel="0" collapsed="false">
      <c r="B13" s="173" t="s">
        <v>227</v>
      </c>
    </row>
    <row r="14" customFormat="false" ht="15" hidden="false" customHeight="false" outlineLevel="0" collapsed="false">
      <c r="B14" s="172" t="s">
        <v>228</v>
      </c>
    </row>
    <row r="15" customFormat="false" ht="48" hidden="false" customHeight="true" outlineLevel="0" collapsed="false">
      <c r="B15" s="173" t="s">
        <v>229</v>
      </c>
    </row>
    <row r="16" customFormat="false" ht="15" hidden="false" customHeight="false" outlineLevel="0" collapsed="false">
      <c r="B16" s="172" t="s">
        <v>230</v>
      </c>
    </row>
    <row r="17" customFormat="false" ht="48" hidden="false" customHeight="true" outlineLevel="0" collapsed="false">
      <c r="B17" s="173" t="s">
        <v>231</v>
      </c>
    </row>
    <row r="18" customFormat="false" ht="15" hidden="false" customHeight="false" outlineLevel="0" collapsed="false">
      <c r="B18" s="172" t="s">
        <v>232</v>
      </c>
    </row>
    <row r="19" customFormat="false" ht="48" hidden="false" customHeight="true" outlineLevel="0" collapsed="false">
      <c r="B19" s="173" t="s">
        <v>233</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B137"/>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5" zeroHeight="false" outlineLevelRow="0" outlineLevelCol="0"/>
  <cols>
    <col collapsed="false" customWidth="true" hidden="false" outlineLevel="0" max="1" min="1" style="0" width="2"/>
    <col collapsed="false" customWidth="true" hidden="false" outlineLevel="0" max="2" min="2" style="0" width="112"/>
  </cols>
  <sheetData>
    <row r="1" customFormat="false" ht="25.5" hidden="false" customHeight="true" outlineLevel="0" collapsed="false">
      <c r="B1" s="171" t="s">
        <v>234</v>
      </c>
    </row>
    <row r="2" customFormat="false" ht="15" hidden="false" customHeight="false" outlineLevel="0" collapsed="false">
      <c r="B2" s="173"/>
    </row>
    <row r="3" customFormat="false" ht="15" hidden="false" customHeight="false" outlineLevel="0" collapsed="false">
      <c r="B3" s="172" t="s">
        <v>235</v>
      </c>
    </row>
    <row r="4" customFormat="false" ht="15" hidden="false" customHeight="false" outlineLevel="0" collapsed="false">
      <c r="B4" s="173" t="s">
        <v>236</v>
      </c>
    </row>
    <row r="5" customFormat="false" ht="15" hidden="false" customHeight="false" outlineLevel="0" collapsed="false">
      <c r="B5" s="173" t="s">
        <v>237</v>
      </c>
    </row>
    <row r="6" customFormat="false" ht="15" hidden="false" customHeight="false" outlineLevel="0" collapsed="false">
      <c r="B6" s="173" t="s">
        <v>238</v>
      </c>
    </row>
    <row r="7" customFormat="false" ht="15" hidden="false" customHeight="false" outlineLevel="0" collapsed="false">
      <c r="B7" s="173" t="s">
        <v>239</v>
      </c>
    </row>
    <row r="8" customFormat="false" ht="15" hidden="false" customHeight="false" outlineLevel="0" collapsed="false">
      <c r="B8" s="173" t="s">
        <v>240</v>
      </c>
    </row>
    <row r="9" customFormat="false" ht="15" hidden="false" customHeight="false" outlineLevel="0" collapsed="false">
      <c r="B9" s="173" t="s">
        <v>241</v>
      </c>
    </row>
    <row r="10" customFormat="false" ht="15" hidden="false" customHeight="false" outlineLevel="0" collapsed="false">
      <c r="B10" s="173" t="s">
        <v>242</v>
      </c>
    </row>
    <row r="11" customFormat="false" ht="15" hidden="false" customHeight="false" outlineLevel="0" collapsed="false">
      <c r="B11" s="173" t="s">
        <v>243</v>
      </c>
    </row>
    <row r="12" customFormat="false" ht="15" hidden="false" customHeight="false" outlineLevel="0" collapsed="false">
      <c r="B12" s="173" t="s">
        <v>244</v>
      </c>
    </row>
    <row r="13" customFormat="false" ht="15" hidden="false" customHeight="false" outlineLevel="0" collapsed="false">
      <c r="B13" s="173"/>
    </row>
    <row r="14" customFormat="false" ht="15" hidden="false" customHeight="false" outlineLevel="0" collapsed="false">
      <c r="B14" s="172" t="s">
        <v>245</v>
      </c>
    </row>
    <row r="15" customFormat="false" ht="15" hidden="false" customHeight="false" outlineLevel="0" collapsed="false">
      <c r="B15" s="173" t="s">
        <v>246</v>
      </c>
    </row>
    <row r="16" customFormat="false" ht="26.85" hidden="false" customHeight="false" outlineLevel="0" collapsed="false">
      <c r="B16" s="173" t="s">
        <v>247</v>
      </c>
    </row>
    <row r="17" customFormat="false" ht="15" hidden="false" customHeight="false" outlineLevel="0" collapsed="false">
      <c r="B17" s="173" t="s">
        <v>248</v>
      </c>
    </row>
    <row r="18" customFormat="false" ht="15" hidden="false" customHeight="false" outlineLevel="0" collapsed="false">
      <c r="B18" s="173"/>
    </row>
    <row r="19" customFormat="false" ht="15" hidden="false" customHeight="false" outlineLevel="0" collapsed="false">
      <c r="B19" s="172" t="s">
        <v>249</v>
      </c>
    </row>
    <row r="20" customFormat="false" ht="15" hidden="false" customHeight="false" outlineLevel="0" collapsed="false">
      <c r="B20" s="174" t="s">
        <v>250</v>
      </c>
    </row>
    <row r="21" customFormat="false" ht="15" hidden="false" customHeight="false" outlineLevel="0" collapsed="false">
      <c r="B21" s="174" t="s">
        <v>251</v>
      </c>
    </row>
    <row r="22" customFormat="false" ht="15" hidden="false" customHeight="false" outlineLevel="0" collapsed="false">
      <c r="B22" s="174" t="s">
        <v>252</v>
      </c>
    </row>
    <row r="23" customFormat="false" ht="15" hidden="false" customHeight="false" outlineLevel="0" collapsed="false">
      <c r="B23" s="174" t="s">
        <v>253</v>
      </c>
    </row>
    <row r="24" customFormat="false" ht="15" hidden="false" customHeight="false" outlineLevel="0" collapsed="false">
      <c r="B24" s="174" t="s">
        <v>254</v>
      </c>
    </row>
    <row r="25" customFormat="false" ht="15" hidden="false" customHeight="false" outlineLevel="0" collapsed="false">
      <c r="B25" s="174" t="s">
        <v>255</v>
      </c>
    </row>
    <row r="26" customFormat="false" ht="15" hidden="false" customHeight="false" outlineLevel="0" collapsed="false">
      <c r="B26" s="174" t="s">
        <v>256</v>
      </c>
    </row>
    <row r="27" customFormat="false" ht="15" hidden="false" customHeight="false" outlineLevel="0" collapsed="false">
      <c r="B27" s="174" t="s">
        <v>257</v>
      </c>
    </row>
    <row r="28" customFormat="false" ht="15" hidden="false" customHeight="false" outlineLevel="0" collapsed="false">
      <c r="B28" s="174" t="s">
        <v>258</v>
      </c>
    </row>
    <row r="29" customFormat="false" ht="15" hidden="false" customHeight="false" outlineLevel="0" collapsed="false">
      <c r="B29" s="174" t="s">
        <v>259</v>
      </c>
    </row>
    <row r="30" customFormat="false" ht="15" hidden="false" customHeight="false" outlineLevel="0" collapsed="false">
      <c r="B30" s="174" t="s">
        <v>252</v>
      </c>
    </row>
    <row r="31" customFormat="false" ht="15" hidden="false" customHeight="false" outlineLevel="0" collapsed="false">
      <c r="B31" s="174" t="s">
        <v>251</v>
      </c>
    </row>
    <row r="32" customFormat="false" ht="15" hidden="false" customHeight="false" outlineLevel="0" collapsed="false">
      <c r="B32" s="174" t="s">
        <v>260</v>
      </c>
    </row>
    <row r="33" customFormat="false" ht="15" hidden="false" customHeight="false" outlineLevel="0" collapsed="false">
      <c r="B33" s="174" t="s">
        <v>261</v>
      </c>
    </row>
    <row r="34" customFormat="false" ht="15" hidden="false" customHeight="false" outlineLevel="0" collapsed="false">
      <c r="B34" s="174" t="s">
        <v>262</v>
      </c>
    </row>
    <row r="35" customFormat="false" ht="15" hidden="false" customHeight="false" outlineLevel="0" collapsed="false">
      <c r="B35" s="174" t="s">
        <v>263</v>
      </c>
    </row>
    <row r="36" customFormat="false" ht="15" hidden="false" customHeight="false" outlineLevel="0" collapsed="false">
      <c r="B36" s="174" t="s">
        <v>264</v>
      </c>
    </row>
    <row r="37" customFormat="false" ht="15" hidden="false" customHeight="false" outlineLevel="0" collapsed="false">
      <c r="B37" s="174" t="s">
        <v>265</v>
      </c>
    </row>
    <row r="38" customFormat="false" ht="15" hidden="false" customHeight="false" outlineLevel="0" collapsed="false">
      <c r="B38" s="174" t="s">
        <v>266</v>
      </c>
    </row>
    <row r="39" customFormat="false" ht="15" hidden="false" customHeight="false" outlineLevel="0" collapsed="false">
      <c r="B39" s="174" t="s">
        <v>267</v>
      </c>
    </row>
    <row r="40" customFormat="false" ht="15" hidden="false" customHeight="false" outlineLevel="0" collapsed="false">
      <c r="B40" s="174" t="s">
        <v>268</v>
      </c>
    </row>
    <row r="41" customFormat="false" ht="15" hidden="false" customHeight="false" outlineLevel="0" collapsed="false">
      <c r="B41" s="174" t="s">
        <v>269</v>
      </c>
    </row>
    <row r="42" customFormat="false" ht="15" hidden="false" customHeight="false" outlineLevel="0" collapsed="false">
      <c r="B42" s="174" t="s">
        <v>270</v>
      </c>
    </row>
    <row r="43" customFormat="false" ht="15" hidden="false" customHeight="false" outlineLevel="0" collapsed="false">
      <c r="B43" s="174" t="s">
        <v>271</v>
      </c>
    </row>
    <row r="44" customFormat="false" ht="15" hidden="false" customHeight="false" outlineLevel="0" collapsed="false">
      <c r="B44" s="174" t="s">
        <v>272</v>
      </c>
    </row>
    <row r="45" customFormat="false" ht="15" hidden="false" customHeight="false" outlineLevel="0" collapsed="false">
      <c r="B45" s="174" t="s">
        <v>273</v>
      </c>
    </row>
    <row r="46" customFormat="false" ht="15" hidden="false" customHeight="false" outlineLevel="0" collapsed="false">
      <c r="B46" s="174" t="s">
        <v>251</v>
      </c>
    </row>
    <row r="47" customFormat="false" ht="15" hidden="false" customHeight="false" outlineLevel="0" collapsed="false">
      <c r="B47" s="174" t="s">
        <v>274</v>
      </c>
    </row>
    <row r="48" customFormat="false" ht="15" hidden="false" customHeight="false" outlineLevel="0" collapsed="false">
      <c r="B48" s="174" t="s">
        <v>275</v>
      </c>
    </row>
    <row r="49" customFormat="false" ht="15" hidden="false" customHeight="false" outlineLevel="0" collapsed="false">
      <c r="B49" s="174" t="s">
        <v>276</v>
      </c>
    </row>
    <row r="50" customFormat="false" ht="15" hidden="false" customHeight="false" outlineLevel="0" collapsed="false">
      <c r="B50" s="174" t="s">
        <v>277</v>
      </c>
    </row>
    <row r="51" customFormat="false" ht="15" hidden="false" customHeight="false" outlineLevel="0" collapsed="false">
      <c r="B51" s="174" t="s">
        <v>251</v>
      </c>
    </row>
    <row r="52" customFormat="false" ht="15" hidden="false" customHeight="false" outlineLevel="0" collapsed="false">
      <c r="B52" s="174" t="s">
        <v>278</v>
      </c>
    </row>
    <row r="53" customFormat="false" ht="15" hidden="false" customHeight="false" outlineLevel="0" collapsed="false">
      <c r="B53" s="174" t="s">
        <v>279</v>
      </c>
    </row>
    <row r="54" customFormat="false" ht="15" hidden="false" customHeight="false" outlineLevel="0" collapsed="false">
      <c r="B54" s="174" t="s">
        <v>251</v>
      </c>
    </row>
    <row r="55" customFormat="false" ht="15" hidden="false" customHeight="false" outlineLevel="0" collapsed="false">
      <c r="B55" s="174" t="s">
        <v>280</v>
      </c>
    </row>
    <row r="56" customFormat="false" ht="15" hidden="false" customHeight="false" outlineLevel="0" collapsed="false">
      <c r="B56" s="174" t="s">
        <v>281</v>
      </c>
    </row>
    <row r="57" customFormat="false" ht="15" hidden="false" customHeight="false" outlineLevel="0" collapsed="false">
      <c r="B57" s="174" t="s">
        <v>282</v>
      </c>
    </row>
    <row r="58" customFormat="false" ht="15" hidden="false" customHeight="false" outlineLevel="0" collapsed="false">
      <c r="B58" s="174" t="s">
        <v>283</v>
      </c>
    </row>
    <row r="59" customFormat="false" ht="15" hidden="false" customHeight="false" outlineLevel="0" collapsed="false">
      <c r="B59" s="174" t="s">
        <v>251</v>
      </c>
    </row>
    <row r="60" customFormat="false" ht="15" hidden="false" customHeight="false" outlineLevel="0" collapsed="false">
      <c r="B60" s="174" t="s">
        <v>284</v>
      </c>
    </row>
    <row r="61" customFormat="false" ht="15" hidden="false" customHeight="false" outlineLevel="0" collapsed="false">
      <c r="B61" s="174" t="s">
        <v>285</v>
      </c>
    </row>
    <row r="62" customFormat="false" ht="15" hidden="false" customHeight="false" outlineLevel="0" collapsed="false">
      <c r="B62" s="174" t="s">
        <v>286</v>
      </c>
    </row>
    <row r="63" customFormat="false" ht="15" hidden="false" customHeight="false" outlineLevel="0" collapsed="false">
      <c r="B63" s="174" t="s">
        <v>287</v>
      </c>
    </row>
    <row r="64" customFormat="false" ht="15" hidden="false" customHeight="false" outlineLevel="0" collapsed="false">
      <c r="B64" s="174" t="s">
        <v>288</v>
      </c>
    </row>
    <row r="65" customFormat="false" ht="15" hidden="false" customHeight="false" outlineLevel="0" collapsed="false">
      <c r="B65" s="174" t="s">
        <v>289</v>
      </c>
    </row>
    <row r="66" customFormat="false" ht="15" hidden="false" customHeight="false" outlineLevel="0" collapsed="false">
      <c r="B66" s="174" t="s">
        <v>290</v>
      </c>
    </row>
    <row r="67" customFormat="false" ht="15" hidden="false" customHeight="false" outlineLevel="0" collapsed="false">
      <c r="B67" s="174" t="s">
        <v>291</v>
      </c>
    </row>
    <row r="68" customFormat="false" ht="15" hidden="false" customHeight="false" outlineLevel="0" collapsed="false">
      <c r="B68" s="174" t="s">
        <v>292</v>
      </c>
    </row>
    <row r="69" customFormat="false" ht="15" hidden="false" customHeight="false" outlineLevel="0" collapsed="false">
      <c r="B69" s="174" t="s">
        <v>293</v>
      </c>
    </row>
    <row r="70" customFormat="false" ht="15" hidden="false" customHeight="false" outlineLevel="0" collapsed="false">
      <c r="B70" s="174" t="s">
        <v>268</v>
      </c>
    </row>
    <row r="71" customFormat="false" ht="15" hidden="false" customHeight="false" outlineLevel="0" collapsed="false">
      <c r="B71" s="174" t="s">
        <v>294</v>
      </c>
    </row>
    <row r="72" customFormat="false" ht="15" hidden="false" customHeight="false" outlineLevel="0" collapsed="false">
      <c r="B72" s="174" t="s">
        <v>295</v>
      </c>
    </row>
    <row r="73" customFormat="false" ht="15" hidden="false" customHeight="false" outlineLevel="0" collapsed="false">
      <c r="B73" s="174" t="s">
        <v>296</v>
      </c>
    </row>
    <row r="74" customFormat="false" ht="15" hidden="false" customHeight="false" outlineLevel="0" collapsed="false">
      <c r="B74" s="174" t="s">
        <v>297</v>
      </c>
    </row>
    <row r="75" customFormat="false" ht="15" hidden="false" customHeight="false" outlineLevel="0" collapsed="false">
      <c r="B75" s="174" t="s">
        <v>298</v>
      </c>
    </row>
    <row r="76" customFormat="false" ht="15" hidden="false" customHeight="false" outlineLevel="0" collapsed="false">
      <c r="B76" s="174" t="s">
        <v>299</v>
      </c>
    </row>
    <row r="77" customFormat="false" ht="15" hidden="false" customHeight="false" outlineLevel="0" collapsed="false">
      <c r="B77" s="174" t="s">
        <v>300</v>
      </c>
    </row>
    <row r="78" customFormat="false" ht="15" hidden="false" customHeight="false" outlineLevel="0" collapsed="false">
      <c r="B78" s="174" t="s">
        <v>301</v>
      </c>
    </row>
    <row r="79" customFormat="false" ht="15" hidden="false" customHeight="false" outlineLevel="0" collapsed="false">
      <c r="B79" s="174" t="s">
        <v>302</v>
      </c>
    </row>
    <row r="80" customFormat="false" ht="15" hidden="false" customHeight="false" outlineLevel="0" collapsed="false">
      <c r="B80" s="174" t="s">
        <v>303</v>
      </c>
    </row>
    <row r="81" customFormat="false" ht="15" hidden="false" customHeight="false" outlineLevel="0" collapsed="false">
      <c r="B81" s="174" t="s">
        <v>251</v>
      </c>
    </row>
    <row r="82" customFormat="false" ht="15" hidden="false" customHeight="false" outlineLevel="0" collapsed="false">
      <c r="B82" s="174" t="s">
        <v>304</v>
      </c>
    </row>
    <row r="83" customFormat="false" ht="15" hidden="false" customHeight="false" outlineLevel="0" collapsed="false">
      <c r="B83" s="174" t="s">
        <v>305</v>
      </c>
    </row>
    <row r="84" customFormat="false" ht="15" hidden="false" customHeight="false" outlineLevel="0" collapsed="false">
      <c r="B84" s="174" t="s">
        <v>306</v>
      </c>
    </row>
    <row r="85" customFormat="false" ht="15" hidden="false" customHeight="false" outlineLevel="0" collapsed="false">
      <c r="B85" s="174" t="s">
        <v>251</v>
      </c>
    </row>
    <row r="86" customFormat="false" ht="15" hidden="false" customHeight="false" outlineLevel="0" collapsed="false">
      <c r="B86" s="174" t="s">
        <v>307</v>
      </c>
    </row>
    <row r="87" customFormat="false" ht="15" hidden="false" customHeight="false" outlineLevel="0" collapsed="false">
      <c r="B87" s="174" t="s">
        <v>308</v>
      </c>
    </row>
    <row r="88" customFormat="false" ht="15" hidden="false" customHeight="false" outlineLevel="0" collapsed="false">
      <c r="B88" s="174" t="s">
        <v>309</v>
      </c>
    </row>
    <row r="89" customFormat="false" ht="15" hidden="false" customHeight="false" outlineLevel="0" collapsed="false">
      <c r="B89" s="174" t="s">
        <v>251</v>
      </c>
    </row>
    <row r="90" customFormat="false" ht="15" hidden="false" customHeight="false" outlineLevel="0" collapsed="false">
      <c r="B90" s="174" t="s">
        <v>310</v>
      </c>
    </row>
    <row r="91" customFormat="false" ht="15" hidden="false" customHeight="false" outlineLevel="0" collapsed="false">
      <c r="B91" s="174" t="s">
        <v>311</v>
      </c>
    </row>
    <row r="92" customFormat="false" ht="15" hidden="false" customHeight="false" outlineLevel="0" collapsed="false">
      <c r="B92" s="174" t="s">
        <v>312</v>
      </c>
    </row>
    <row r="93" customFormat="false" ht="15" hidden="false" customHeight="false" outlineLevel="0" collapsed="false">
      <c r="B93" s="174" t="s">
        <v>313</v>
      </c>
    </row>
    <row r="94" customFormat="false" ht="15" hidden="false" customHeight="false" outlineLevel="0" collapsed="false">
      <c r="B94" s="174" t="s">
        <v>314</v>
      </c>
    </row>
    <row r="95" customFormat="false" ht="15" hidden="false" customHeight="false" outlineLevel="0" collapsed="false">
      <c r="B95" s="174" t="s">
        <v>315</v>
      </c>
    </row>
    <row r="96" customFormat="false" ht="15" hidden="false" customHeight="false" outlineLevel="0" collapsed="false">
      <c r="B96" s="174" t="s">
        <v>316</v>
      </c>
    </row>
    <row r="97" customFormat="false" ht="15" hidden="false" customHeight="false" outlineLevel="0" collapsed="false">
      <c r="B97" s="174" t="s">
        <v>317</v>
      </c>
    </row>
    <row r="98" customFormat="false" ht="15" hidden="false" customHeight="false" outlineLevel="0" collapsed="false">
      <c r="B98" s="174" t="s">
        <v>318</v>
      </c>
    </row>
    <row r="99" customFormat="false" ht="15" hidden="false" customHeight="false" outlineLevel="0" collapsed="false">
      <c r="B99" s="174" t="s">
        <v>319</v>
      </c>
    </row>
    <row r="100" customFormat="false" ht="15" hidden="false" customHeight="false" outlineLevel="0" collapsed="false">
      <c r="B100" s="174" t="s">
        <v>320</v>
      </c>
    </row>
    <row r="101" customFormat="false" ht="15" hidden="false" customHeight="false" outlineLevel="0" collapsed="false">
      <c r="B101" s="174" t="s">
        <v>321</v>
      </c>
    </row>
    <row r="102" customFormat="false" ht="15" hidden="false" customHeight="false" outlineLevel="0" collapsed="false">
      <c r="B102" s="174" t="s">
        <v>322</v>
      </c>
    </row>
    <row r="103" customFormat="false" ht="15" hidden="false" customHeight="false" outlineLevel="0" collapsed="false">
      <c r="B103" s="174" t="s">
        <v>323</v>
      </c>
    </row>
    <row r="104" customFormat="false" ht="15" hidden="false" customHeight="false" outlineLevel="0" collapsed="false">
      <c r="B104" s="174" t="s">
        <v>291</v>
      </c>
    </row>
    <row r="105" customFormat="false" ht="15" hidden="false" customHeight="false" outlineLevel="0" collapsed="false">
      <c r="B105" s="174" t="s">
        <v>324</v>
      </c>
    </row>
    <row r="106" customFormat="false" ht="15" hidden="false" customHeight="false" outlineLevel="0" collapsed="false">
      <c r="B106" s="174" t="s">
        <v>325</v>
      </c>
    </row>
    <row r="107" customFormat="false" ht="15" hidden="false" customHeight="false" outlineLevel="0" collapsed="false">
      <c r="B107" s="174" t="s">
        <v>326</v>
      </c>
    </row>
    <row r="108" customFormat="false" ht="15" hidden="false" customHeight="false" outlineLevel="0" collapsed="false">
      <c r="B108" s="174" t="s">
        <v>327</v>
      </c>
    </row>
    <row r="109" customFormat="false" ht="15" hidden="false" customHeight="false" outlineLevel="0" collapsed="false">
      <c r="B109" s="174" t="s">
        <v>328</v>
      </c>
    </row>
    <row r="110" customFormat="false" ht="15" hidden="false" customHeight="false" outlineLevel="0" collapsed="false">
      <c r="B110" s="174" t="s">
        <v>329</v>
      </c>
    </row>
    <row r="111" customFormat="false" ht="15" hidden="false" customHeight="false" outlineLevel="0" collapsed="false">
      <c r="B111" s="174" t="s">
        <v>330</v>
      </c>
    </row>
    <row r="112" customFormat="false" ht="15" hidden="false" customHeight="false" outlineLevel="0" collapsed="false">
      <c r="B112" s="174" t="s">
        <v>268</v>
      </c>
    </row>
    <row r="113" customFormat="false" ht="15" hidden="false" customHeight="false" outlineLevel="0" collapsed="false">
      <c r="B113" s="174" t="s">
        <v>331</v>
      </c>
    </row>
    <row r="114" customFormat="false" ht="15" hidden="false" customHeight="false" outlineLevel="0" collapsed="false">
      <c r="B114" s="174" t="s">
        <v>332</v>
      </c>
    </row>
    <row r="115" customFormat="false" ht="15" hidden="false" customHeight="false" outlineLevel="0" collapsed="false">
      <c r="B115" s="174" t="s">
        <v>333</v>
      </c>
    </row>
    <row r="116" customFormat="false" ht="15" hidden="false" customHeight="false" outlineLevel="0" collapsed="false">
      <c r="B116" s="174" t="s">
        <v>251</v>
      </c>
    </row>
    <row r="117" customFormat="false" ht="15" hidden="false" customHeight="false" outlineLevel="0" collapsed="false">
      <c r="B117" s="174" t="s">
        <v>334</v>
      </c>
    </row>
    <row r="118" customFormat="false" ht="15" hidden="false" customHeight="false" outlineLevel="0" collapsed="false">
      <c r="B118" s="174" t="s">
        <v>335</v>
      </c>
    </row>
    <row r="119" customFormat="false" ht="15" hidden="false" customHeight="false" outlineLevel="0" collapsed="false">
      <c r="B119" s="174" t="s">
        <v>336</v>
      </c>
    </row>
    <row r="120" customFormat="false" ht="15" hidden="false" customHeight="false" outlineLevel="0" collapsed="false">
      <c r="B120" s="174" t="s">
        <v>337</v>
      </c>
    </row>
    <row r="121" customFormat="false" ht="15" hidden="false" customHeight="false" outlineLevel="0" collapsed="false">
      <c r="B121" s="174" t="s">
        <v>338</v>
      </c>
    </row>
    <row r="122" customFormat="false" ht="15" hidden="false" customHeight="false" outlineLevel="0" collapsed="false">
      <c r="B122" s="174" t="s">
        <v>339</v>
      </c>
    </row>
    <row r="123" customFormat="false" ht="15" hidden="false" customHeight="false" outlineLevel="0" collapsed="false">
      <c r="B123" s="174" t="s">
        <v>340</v>
      </c>
    </row>
    <row r="124" customFormat="false" ht="15" hidden="false" customHeight="false" outlineLevel="0" collapsed="false">
      <c r="B124" s="174" t="s">
        <v>341</v>
      </c>
    </row>
    <row r="125" customFormat="false" ht="15" hidden="false" customHeight="false" outlineLevel="0" collapsed="false">
      <c r="B125" s="174" t="s">
        <v>342</v>
      </c>
    </row>
    <row r="126" customFormat="false" ht="15" hidden="false" customHeight="false" outlineLevel="0" collapsed="false">
      <c r="B126" s="174" t="s">
        <v>343</v>
      </c>
    </row>
    <row r="127" customFormat="false" ht="15" hidden="false" customHeight="false" outlineLevel="0" collapsed="false">
      <c r="B127" s="174" t="s">
        <v>344</v>
      </c>
    </row>
    <row r="128" customFormat="false" ht="15" hidden="false" customHeight="false" outlineLevel="0" collapsed="false">
      <c r="B128" s="174" t="s">
        <v>345</v>
      </c>
    </row>
    <row r="129" customFormat="false" ht="15" hidden="false" customHeight="false" outlineLevel="0" collapsed="false">
      <c r="B129" s="174" t="s">
        <v>346</v>
      </c>
    </row>
    <row r="130" customFormat="false" ht="15" hidden="false" customHeight="false" outlineLevel="0" collapsed="false">
      <c r="B130" s="174" t="s">
        <v>347</v>
      </c>
    </row>
    <row r="131" customFormat="false" ht="15" hidden="false" customHeight="false" outlineLevel="0" collapsed="false">
      <c r="B131" s="174" t="s">
        <v>348</v>
      </c>
    </row>
    <row r="132" customFormat="false" ht="15" hidden="false" customHeight="false" outlineLevel="0" collapsed="false">
      <c r="B132" s="174" t="s">
        <v>251</v>
      </c>
    </row>
    <row r="133" customFormat="false" ht="15" hidden="false" customHeight="false" outlineLevel="0" collapsed="false">
      <c r="B133" s="174" t="s">
        <v>349</v>
      </c>
    </row>
    <row r="134" customFormat="false" ht="15" hidden="false" customHeight="false" outlineLevel="0" collapsed="false">
      <c r="B134" s="174" t="s">
        <v>350</v>
      </c>
    </row>
    <row r="135" customFormat="false" ht="15" hidden="false" customHeight="false" outlineLevel="0" collapsed="false">
      <c r="B135" s="174" t="s">
        <v>351</v>
      </c>
    </row>
    <row r="136" customFormat="false" ht="15" hidden="false" customHeight="false" outlineLevel="0" collapsed="false">
      <c r="B136" s="174" t="s">
        <v>352</v>
      </c>
    </row>
    <row r="137" customFormat="false" ht="15" hidden="false" customHeight="false" outlineLevel="0" collapsed="false">
      <c r="B137" s="174" t="s">
        <v>273</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2026-06-26T14:46:14Z</dcterms:created>
  <dc:creator>openpyxl</dc:creator>
  <dc:description/>
  <dc:language>en-US</dc:language>
  <cp:lastModifiedBy/>
  <dcterms:modified xsi:type="dcterms:W3CDTF">2026-06-26T14:46:14Z</dcterms:modified>
  <cp:revision>0</cp:revision>
  <dc:subject/>
  <dc:title/>
</cp:coreProperties>
</file>

<file path=docProps/custom.xml><?xml version="1.0" encoding="utf-8"?>
<Properties xmlns="http://schemas.openxmlformats.org/officeDocument/2006/custom-properties" xmlns:vt="http://schemas.openxmlformats.org/officeDocument/2006/docPropsVTypes"/>
</file>