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imulator" sheetId="1" state="visible" r:id="rId3"/>
    <sheet name="Demographics" sheetId="2" state="visible" r:id="rId4"/>
    <sheet name="Voting History" sheetId="3" state="visible" r:id="rId5"/>
    <sheet name="Polling" sheetId="4" state="visible" r:id="rId6"/>
    <sheet name="Incumbency" sheetId="5" state="visible" r:id="rId7"/>
    <sheet name="Tactical &amp; Candidate" sheetId="6" state="visible" r:id="rId8"/>
    <sheet name="Coalition" sheetId="7" state="visible" r:id="rId9"/>
    <sheet name="Model" sheetId="8" state="visible" r:id="rId10"/>
    <sheet name="Engine" sheetId="9" state="hidden" r:id="rId11"/>
    <sheet name="Monte Carlo" sheetId="10" state="visible" r:id="rId12"/>
    <sheet name="Methodology" sheetId="11" state="visible" r:id="rId13"/>
    <sheet name="Macros &amp; Setup" sheetId="12" state="visible" r:id="rId14"/>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<sst xmlns="http://schemas.openxmlformats.org/spreadsheetml/2006/main" count="634" uniqueCount="352">
  <si>
    <t xml:space="preserve">ELECTION SIMULATOR</t>
  </si>
  <si>
    <t xml:space="preserve">Demographically modelled  -  6 parties  -  per-seat contests with FPTP seat efficiency  -  adjustable turnout  -  602 seats  -  302 for a majority</t>
  </si>
  <si>
    <t xml:space="preserve">  PARTIES (edit names)</t>
  </si>
  <si>
    <t xml:space="preserve">Seat
eff%</t>
  </si>
  <si>
    <t xml:space="preserve">State</t>
  </si>
  <si>
    <t xml:space="preserve">Population</t>
  </si>
  <si>
    <t xml:space="preserve">Turnout
%</t>
  </si>
  <si>
    <t xml:space="preserve">Votes
cast</t>
  </si>
  <si>
    <t xml:space="preserve">Seats</t>
  </si>
  <si>
    <t xml:space="preserve">Con
win%</t>
  </si>
  <si>
    <t xml:space="preserve">SD
win%</t>
  </si>
  <si>
    <t xml:space="preserve">Lib
win%</t>
  </si>
  <si>
    <t xml:space="preserve">Nat
win%</t>
  </si>
  <si>
    <t xml:space="preserve">Ind
win%</t>
  </si>
  <si>
    <t xml:space="preserve">BPF
win%</t>
  </si>
  <si>
    <t xml:space="preserve">Con
seats</t>
  </si>
  <si>
    <t xml:space="preserve">SD
seats</t>
  </si>
  <si>
    <t xml:space="preserve">Lib
seats</t>
  </si>
  <si>
    <t xml:space="preserve">Nat
seats</t>
  </si>
  <si>
    <t xml:space="preserve">Ind
seats</t>
  </si>
  <si>
    <t xml:space="preserve">BPF
seats</t>
  </si>
  <si>
    <t xml:space="preserve">State winner</t>
  </si>
  <si>
    <t xml:space="preserve">Con
votes</t>
  </si>
  <si>
    <t xml:space="preserve">SD
votes</t>
  </si>
  <si>
    <t xml:space="preserve">Lib
votes</t>
  </si>
  <si>
    <t xml:space="preserve">Nat
votes</t>
  </si>
  <si>
    <t xml:space="preserve">Ind
votes</t>
  </si>
  <si>
    <t xml:space="preserve">BPF
votes</t>
  </si>
  <si>
    <t xml:space="preserve">Party A</t>
  </si>
  <si>
    <t xml:space="preserve">Conservatives</t>
  </si>
  <si>
    <t xml:space="preserve">Cambria</t>
  </si>
  <si>
    <t xml:space="preserve">Party B</t>
  </si>
  <si>
    <t xml:space="preserve">Social-Democrats</t>
  </si>
  <si>
    <t xml:space="preserve">Medina</t>
  </si>
  <si>
    <t xml:space="preserve">Party C</t>
  </si>
  <si>
    <t xml:space="preserve">Liberals</t>
  </si>
  <si>
    <t xml:space="preserve">Irving</t>
  </si>
  <si>
    <t xml:space="preserve">Party D</t>
  </si>
  <si>
    <t xml:space="preserve">Nationalist</t>
  </si>
  <si>
    <t xml:space="preserve">Claymont</t>
  </si>
  <si>
    <t xml:space="preserve">Party E</t>
  </si>
  <si>
    <t xml:space="preserve">Independent</t>
  </si>
  <si>
    <t xml:space="preserve">Witmiota</t>
  </si>
  <si>
    <t xml:space="preserve">Party F</t>
  </si>
  <si>
    <t xml:space="preserve">BP First</t>
  </si>
  <si>
    <t xml:space="preserve">Qassines</t>
  </si>
  <si>
    <t xml:space="preserve">Rockwell</t>
  </si>
  <si>
    <t xml:space="preserve">  RESULT  -  SEATS</t>
  </si>
  <si>
    <t xml:space="preserve">Dunham</t>
  </si>
  <si>
    <t xml:space="preserve">Total electoral seats</t>
  </si>
  <si>
    <t xml:space="preserve">Runswick</t>
  </si>
  <si>
    <t xml:space="preserve">Seats to win (majority)</t>
  </si>
  <si>
    <t xml:space="preserve">Antiheller</t>
  </si>
  <si>
    <t xml:space="preserve">Brackley</t>
  </si>
  <si>
    <t xml:space="preserve">Wynhurst</t>
  </si>
  <si>
    <t xml:space="preserve">North Deltana</t>
  </si>
  <si>
    <t xml:space="preserve">Wentworth</t>
  </si>
  <si>
    <t xml:space="preserve">Fairdover</t>
  </si>
  <si>
    <t xml:space="preserve">Vanleer</t>
  </si>
  <si>
    <t xml:space="preserve">Stretton</t>
  </si>
  <si>
    <t xml:space="preserve">Almorange</t>
  </si>
  <si>
    <t xml:space="preserve">Largest party</t>
  </si>
  <si>
    <t xml:space="preserve">Penshurst</t>
  </si>
  <si>
    <t xml:space="preserve">Majority winner</t>
  </si>
  <si>
    <t xml:space="preserve">Chamberlain</t>
  </si>
  <si>
    <t xml:space="preserve">Plyholm</t>
  </si>
  <si>
    <t xml:space="preserve">  RESULT  -  POPULAR VOTE</t>
  </si>
  <si>
    <t xml:space="preserve">Vawdrey</t>
  </si>
  <si>
    <t xml:space="preserve">Esmour</t>
  </si>
  <si>
    <t xml:space="preserve">South Deltana</t>
  </si>
  <si>
    <t xml:space="preserve">Thornton</t>
  </si>
  <si>
    <t xml:space="preserve">Stanhope</t>
  </si>
  <si>
    <t xml:space="preserve">Kerswell</t>
  </si>
  <si>
    <t xml:space="preserve">North Aguirre</t>
  </si>
  <si>
    <t xml:space="preserve">South Aguirre</t>
  </si>
  <si>
    <t xml:space="preserve">Most votes (winner)</t>
  </si>
  <si>
    <t xml:space="preserve">Gladstone</t>
  </si>
  <si>
    <t xml:space="preserve">Matches largest party?</t>
  </si>
  <si>
    <t xml:space="preserve">Ponderay</t>
  </si>
  <si>
    <t xml:space="preserve">Total votes cast</t>
  </si>
  <si>
    <t xml:space="preserve">Deale</t>
  </si>
  <si>
    <t xml:space="preserve">National turnout</t>
  </si>
  <si>
    <t xml:space="preserve">Bremond</t>
  </si>
  <si>
    <t xml:space="preserve">Eielson</t>
  </si>
  <si>
    <t xml:space="preserve">  INCUMBENCY</t>
  </si>
  <si>
    <t xml:space="preserve">St.Julian</t>
  </si>
  <si>
    <t xml:space="preserve">Incumbent party</t>
  </si>
  <si>
    <t xml:space="preserve">Bras-Panon Islands</t>
  </si>
  <si>
    <t xml:space="preserve">Net swing applied</t>
  </si>
  <si>
    <t xml:space="preserve">TOTAL</t>
  </si>
  <si>
    <t xml:space="preserve">Incumbent outcome</t>
  </si>
  <si>
    <t xml:space="preserve">Likely government</t>
  </si>
  <si>
    <t xml:space="preserve">Win chances (J-O) are Model vote share after incumbency, candidate and tactical adjustments. SEAT EFFICIENCY (D5:D10) sets FPTP vote-to-seat conversion. Set the incumbent (Incumbency), tactical &amp; candidate effects (Tactical &amp; Candidate) and blocs (Coalition) per election. Press F9 to re-roll.</t>
  </si>
  <si>
    <t xml:space="preserve">DEMOGRAPHICS  -  composition &amp; group profiles</t>
  </si>
  <si>
    <t xml:space="preserve">Synthetic data calibrated to generic US patterns and your regional briefs. Composition rows sum to 100%. Group leans now include Independent and BP First.</t>
  </si>
  <si>
    <t xml:space="preserve">White college</t>
  </si>
  <si>
    <t xml:space="preserve">White non-college</t>
  </si>
  <si>
    <t xml:space="preserve">Black</t>
  </si>
  <si>
    <t xml:space="preserve">Hispanic</t>
  </si>
  <si>
    <t xml:space="preserve">Asian</t>
  </si>
  <si>
    <t xml:space="preserve">Polynesian</t>
  </si>
  <si>
    <t xml:space="preserve">Other</t>
  </si>
  <si>
    <t xml:space="preserve">Sum</t>
  </si>
  <si>
    <t xml:space="preserve">Region</t>
  </si>
  <si>
    <t xml:space="preserve">East</t>
  </si>
  <si>
    <t xml:space="preserve">West</t>
  </si>
  <si>
    <t xml:space="preserve">North</t>
  </si>
  <si>
    <t xml:space="preserve">South</t>
  </si>
  <si>
    <t xml:space="preserve">Middle West</t>
  </si>
  <si>
    <t xml:space="preserve">Middle East</t>
  </si>
  <si>
    <t xml:space="preserve">GROUP PROFILES (national, editable)</t>
  </si>
  <si>
    <t xml:space="preserve">Turnout rate</t>
  </si>
  <si>
    <t xml:space="preserve">Conservatives lean</t>
  </si>
  <si>
    <t xml:space="preserve">Social-Democrats lean</t>
  </si>
  <si>
    <t xml:space="preserve">Liberals lean</t>
  </si>
  <si>
    <t xml:space="preserve">Nationalist lean</t>
  </si>
  <si>
    <t xml:space="preserve">Independent lean</t>
  </si>
  <si>
    <t xml:space="preserve">BP First lean</t>
  </si>
  <si>
    <t xml:space="preserve">Lean check (=100%)</t>
  </si>
  <si>
    <t xml:space="preserve">VOTING HISTORY  -  past three elections (vote share %)</t>
  </si>
  <si>
    <t xml:space="preserve">Synthetic results consistent with demographics and regional voting intentions. Each election's six shares sum to 100%.</t>
  </si>
  <si>
    <t xml:space="preserve">3 elections ago</t>
  </si>
  <si>
    <t xml:space="preserve">2 elections ago</t>
  </si>
  <si>
    <t xml:space="preserve">Last election</t>
  </si>
  <si>
    <t xml:space="preserve">Con</t>
  </si>
  <si>
    <t xml:space="preserve">SD</t>
  </si>
  <si>
    <t xml:space="preserve">Lib</t>
  </si>
  <si>
    <t xml:space="preserve">Nat</t>
  </si>
  <si>
    <t xml:space="preserve">Ind</t>
  </si>
  <si>
    <t xml:space="preserve">BPF</t>
  </si>
  <si>
    <t xml:space="preserve">POLLING  -  current state averages (vote share %)</t>
  </si>
  <si>
    <t xml:space="preserve">Synthetic poll-of-polls per state. Editable - changing a poll flows through the Model to the simulation. Shares sum to 100%.</t>
  </si>
  <si>
    <t xml:space="preserve">+/- MoE</t>
  </si>
  <si>
    <t xml:space="preserve">INCUMBENCY  -  the party defending power</t>
  </si>
  <si>
    <t xml:space="preserve">None</t>
  </si>
  <si>
    <t xml:space="preserve">Pick the incumbent party, then set the eight factors for this election. Each factor that favours the incumbent (Yes) adds its weight; against (No) subtracts it. The net swing shifts the incumbent's vote share and renormalises the rest, flowing through to every seat.</t>
  </si>
  <si>
    <t xml:space="preserve">Incumbent party (one only)</t>
  </si>
  <si>
    <t xml:space="preserve">Net swing to incumbent</t>
  </si>
  <si>
    <t xml:space="preserve">Net swing (share)</t>
  </si>
  <si>
    <t xml:space="preserve">Party gained seats in the last election</t>
  </si>
  <si>
    <t xml:space="preserve">Yes</t>
  </si>
  <si>
    <t xml:space="preserve">Strong short-term economy</t>
  </si>
  <si>
    <t xml:space="preserve">Major policy change enacted this term</t>
  </si>
  <si>
    <t xml:space="preserve">No major social unrest this term</t>
  </si>
  <si>
    <t xml:space="preserve">No</t>
  </si>
  <si>
    <t xml:space="preserve">No major scandal this term</t>
  </si>
  <si>
    <t xml:space="preserve">Major foreign / military success this term</t>
  </si>
  <si>
    <t xml:space="preserve">Charismatic incumbent party leader</t>
  </si>
  <si>
    <t xml:space="preserve">Uncharismatic challenger(s)</t>
  </si>
  <si>
    <t xml:space="preserve">NET SWING (points)</t>
  </si>
  <si>
    <t xml:space="preserve">Net swing (share, auto)</t>
  </si>
  <si>
    <t xml:space="preserve">Party indicator (auto)</t>
  </si>
  <si>
    <t xml:space="preserve">  RESULT  (after the latest simulated election)</t>
  </si>
  <si>
    <t xml:space="preserve">Incumbent seats</t>
  </si>
  <si>
    <t xml:space="preserve">Incumbent vote share</t>
  </si>
  <si>
    <t xml:space="preserve">TACTICAL VOTING  &amp;  CANDIDATE EFFECT</t>
  </si>
  <si>
    <t xml:space="preserve">Editable per election. Tactical voting squeezes parties outside the top two in each state; their lost votes transfer to the strongest viable rival of the party you choose to block. Candidate effect nudges each party up or down for slate strength / local campaigns. Both apply on top of incumbency, before seats are drawn.</t>
  </si>
  <si>
    <t xml:space="preserve">Tactical voting intensity</t>
  </si>
  <si>
    <t xml:space="preserve">% of a squeezed party's vote that defects</t>
  </si>
  <si>
    <t xml:space="preserve">Party to block (tactical target)</t>
  </si>
  <si>
    <t xml:space="preserve">choose a party to activate tactical voting against it</t>
  </si>
  <si>
    <t xml:space="preserve">Effective intensity (auto)</t>
  </si>
  <si>
    <t xml:space="preserve">Target indicator (auto)</t>
  </si>
  <si>
    <t xml:space="preserve">  CANDIDATE EFFECT  -  per-party slate strength (vote points; + helps, - hurts)</t>
  </si>
  <si>
    <t xml:space="preserve">Candidate strength (pts)</t>
  </si>
  <si>
    <t xml:space="preserve">Tip: +2 for a party with star candidates, -2 for a weak slate. Set intensity to 0% to switch tactical voting off.</t>
  </si>
  <si>
    <t xml:space="preserve">COALITION  -  who can govern</t>
  </si>
  <si>
    <t xml:space="preserve">Assign each party to a bloc. Bloc seats are totalled from the latest result; a bloc or single party reaching the majority forms a government. Unaligned parties can be kingmakers. Editable per election.</t>
  </si>
  <si>
    <t xml:space="preserve">Bloc 1 name</t>
  </si>
  <si>
    <t xml:space="preserve">Centre-left</t>
  </si>
  <si>
    <t xml:space="preserve">Bloc 2 name</t>
  </si>
  <si>
    <t xml:space="preserve">Centre-right</t>
  </si>
  <si>
    <t xml:space="preserve">Party</t>
  </si>
  <si>
    <t xml:space="preserve">Bloc</t>
  </si>
  <si>
    <t xml:space="preserve">Bloc 2</t>
  </si>
  <si>
    <t xml:space="preserve">Bloc 1</t>
  </si>
  <si>
    <t xml:space="preserve">Unaligned</t>
  </si>
  <si>
    <t xml:space="preserve">Unaligned seats</t>
  </si>
  <si>
    <t xml:space="preserve">Majority needed</t>
  </si>
  <si>
    <t xml:space="preserve">  GOVERNMENT</t>
  </si>
  <si>
    <t xml:space="preserve">Outcome</t>
  </si>
  <si>
    <t xml:space="preserve">Kingmaker</t>
  </si>
  <si>
    <t xml:space="preserve">MODEL  -  blended support estimate</t>
  </si>
  <si>
    <t xml:space="preserve">FINAL blended support = demographic model + recency-weighted history + current polling, normalised. The Simulator then applies the INCUMBENCY swing on top of this before allocating seats.</t>
  </si>
  <si>
    <t xml:space="preserve">Blend weights:</t>
  </si>
  <si>
    <t xml:space="preserve">Demog</t>
  </si>
  <si>
    <t xml:space="preserve">Hist</t>
  </si>
  <si>
    <t xml:space="preserve">Poll</t>
  </si>
  <si>
    <t xml:space="preserve">Recency o/m/n:</t>
  </si>
  <si>
    <t xml:space="preserve">Demographic model</t>
  </si>
  <si>
    <t xml:space="preserve">Recency-wtd history</t>
  </si>
  <si>
    <t xml:space="preserve">Current polling</t>
  </si>
  <si>
    <t xml:space="preserve">FINAL blended support</t>
  </si>
  <si>
    <t xml:space="preserve">Turn
est</t>
  </si>
  <si>
    <t xml:space="preserve">seat#-&gt;</t>
  </si>
  <si>
    <t xml:space="preserve">tot</t>
  </si>
  <si>
    <t xml:space="preserve">c1</t>
  </si>
  <si>
    <t xml:space="preserve">c2</t>
  </si>
  <si>
    <t xml:space="preserve">c3</t>
  </si>
  <si>
    <t xml:space="preserve">c4</t>
  </si>
  <si>
    <t xml:space="preserve">c5</t>
  </si>
  <si>
    <t xml:space="preserve">Engine: one random draw per possible seat per state. tot/c1..c5 = normalised cumulative thresholds from win chance x seat efficiency (Simulator D5:D10).</t>
  </si>
  <si>
    <t xml:space="preserve">MONTE CARLO</t>
  </si>
  <si>
    <t xml:space="preserve">Runs many six-party elections from the modelled win chances and seat efficiencies. Seat results are independent of turnout.</t>
  </si>
  <si>
    <t xml:space="preserve">Number of simulations</t>
  </si>
  <si>
    <t xml:space="preserve">Run the RunMonteCarlo macro to fill the table below.</t>
  </si>
  <si>
    <t xml:space="preserve">Simulations run</t>
  </si>
  <si>
    <t xml:space="preserve">Majority wins</t>
  </si>
  <si>
    <t xml:space="preserve">Maj %</t>
  </si>
  <si>
    <t xml:space="preserve">Avg seats</t>
  </si>
  <si>
    <t xml:space="preserve">Times largest</t>
  </si>
  <si>
    <t xml:space="preserve">Largest %</t>
  </si>
  <si>
    <t xml:space="preserve">No overall majority</t>
  </si>
  <si>
    <t xml:space="preserve">Tied for largest</t>
  </si>
  <si>
    <t xml:space="preserve">METHODOLOGY  &amp;  DATA NOTES</t>
  </si>
  <si>
    <t xml:space="preserve">Purpose</t>
  </si>
  <si>
    <t xml:space="preserve">A bottom-up demographic forecasting model for a hypothetical 36-state, six-party, first-past-the-post country across eight regions (West, North, Middle West, Middle East, South, East, plus Bras-Panon Islands and St.Julian).</t>
  </si>
  <si>
    <t xml:space="preserve">Parties and demographic groups</t>
  </si>
  <si>
    <t xml:space="preserve">Six parties: Conservatives (centre-right), Social-Democrats (centre-left), Liberals (educated/urban), Nationalist (populist right), Independent and BP First. Independent is a genuine minor party everywhere, polling about half the Liberal/Nationalist share. BP First is a regional party that contests Bras-Panon Islands only (35-50% there, ~0 elsewhere). Seven demographic segments include Polynesian, concentrated in Bras-Panon, which anchors BP First.</t>
  </si>
  <si>
    <t xml:space="preserve">Regional calibration</t>
  </si>
  <si>
    <t xml:space="preserve">Each state's composition and voting intention blends your regional briefs (about two-thirds) with prior averages (one-third) plus per-state variance, so regions read clearly while no two states are identical.</t>
  </si>
  <si>
    <t xml:space="preserve">From data to support</t>
  </si>
  <si>
    <t xml:space="preserve">Demographic-implied support = SUM over groups of (share x turnout x lean), normalised. It is blended with recency-weighted history and current polling (default 30/25/45, adjustable) to set each state's per-seat win chances. Turnout is composition-weighted and scales votes only.</t>
  </si>
  <si>
    <t xml:space="preserve">Seat efficiency (FPTP distortion)</t>
  </si>
  <si>
    <t xml:space="preserve">Each party has a SEAT EFFICIENCY factor (Simulator D5:D10) scaling its effective per-seat probability. Conservatives/Social-Democrats 100%; Liberals/Nationalist 22% (spread-out support converts poorly to seats); Independent very low (~4-5%, so it wins only the occasional strong-local-candidate seat, typically 1-5 nationally); BP First 100% (its vote is geographically concentrated, so it converts efficiently in Bras-Panon). The popular vote uses true vote share, so vote totals and seat totals diverge as they do in real FPTP systems.</t>
  </si>
  <si>
    <t xml:space="preserve">Incumbency</t>
  </si>
  <si>
    <t xml:space="preserve">One party may be designated the incumbent on the Incumbency sheet. Eight editable factors - last-election seat gain, short-term economy, a major policy change, absence of social unrest, absence of scandal, a foreign or military success, a charismatic incumbent leader and an uncharismatic challenger - each carry an editable weight in points. Factors that favour the incumbent (Yes) add their weight; those against (No) subtract it. The net swing is added to the incumbent's vote share in every state and the other parties are renormalised, so the effect flows through win chances to seats. Set the incumbent to None to switch the mechanism off.</t>
  </si>
  <si>
    <t xml:space="preserve">Tactical voting, candidate effect and coalitions</t>
  </si>
  <si>
    <t xml:space="preserve">Three further levers, all editable per election. TACTICAL VOTING (Tactical &amp; Candidate sheet): in each state, parties lying outside the top two shed a set intensity of their vote, which transfers to the strongest viable rival of the party you nominate to block - the classic FPTP squeeze on third parties. CANDIDATE EFFECT: a per-party points nudge for slate strength or local campaigns, applied as a vote-share shift. COALITION (Coalition sheet): each party is assigned to a bloc; bloc seats are totalled from the result to decide whether a single party or a bloc reaches the majority, and which unaligned parties are kingmakers. Order of operations: demographics/history/polling -&gt; incumbency + candidate -&gt; tactical -&gt; seat draw -&gt; coalition assessment.</t>
  </si>
  <si>
    <t xml:space="preserve">Important limitations</t>
  </si>
  <si>
    <t xml:space="preserve">All figures are SYNTHETIC. The per-seat contest is probabilistic (proportional-with-noise) before the efficiency adjustment. Six-party fragmentation makes outright 302-seat majorities rare; the largest party is the key figure. Within-group behaviour is uniform across states; there is no tactical voting or coalition modelling.</t>
  </si>
  <si>
    <t xml:space="preserve">How to drive it</t>
  </si>
  <si>
    <t xml:space="preserve">Edit Polling for a quick what-if; Demographics or Voting History for structural change; Model blend weights to lean on polls or fundamentals; and the seat-efficiency cells (D5:D10) to tune how votes convert to seats. Everything recalculates to the Simulator and Monte Carlo.</t>
  </si>
  <si>
    <t xml:space="preserve">MACROS &amp; SETUP</t>
  </si>
  <si>
    <t xml:space="preserve">WORKBOOK MAP</t>
  </si>
  <si>
    <t xml:space="preserve">Simulator      - results dashboard + state-by-state outcome. Party names &amp; seat efficiency in B/C/D 5:10. Press F9.</t>
  </si>
  <si>
    <t xml:space="preserve">Demographics   - 7-group composition per state (+ Region), national group turnout and 6-party leans.</t>
  </si>
  <si>
    <t xml:space="preserve">Voting History - past three elections' six-party vote shares per state.</t>
  </si>
  <si>
    <t xml:space="preserve">Polling        - current six-party poll averages per state (quickest what-if knob).</t>
  </si>
  <si>
    <t xml:space="preserve">Incumbency     - pick the incumbent party and set the eight election factors; nets to a vote swing.</t>
  </si>
  <si>
    <t xml:space="preserve">Tactical&amp;Cand. - tactical-voting intensity + target, and per-party candidate-strength points.</t>
  </si>
  <si>
    <t xml:space="preserve">Coalition      - assign parties to blocs; shows which bloc can govern and any kingmakers.</t>
  </si>
  <si>
    <t xml:space="preserve">Model          - blends sources into win chances and turnout. Blend weights editable.</t>
  </si>
  <si>
    <t xml:space="preserve">Monte Carlo    - runs many elections and summarises outcomes.   Methodology - full write-up.</t>
  </si>
  <si>
    <t xml:space="preserve">ADDING THE MACROS  (optional)</t>
  </si>
  <si>
    <t xml:space="preserve">1.  Alt + F11 to open the VBA editor.   2.  Insert &gt; Module (or File &gt; Import ElectionMacros.bas).</t>
  </si>
  <si>
    <t xml:space="preserve">3.  Paste the code below.   4-5.  Add Form-Control buttons on Simulator (RunElection) and Monte Carlo (RunMonteCarlo).</t>
  </si>
  <si>
    <t xml:space="preserve">6.  Save as 'Excel Macro-Enabled Workbook (*.xlsm)'.</t>
  </si>
  <si>
    <t xml:space="preserve">VBA CODE   (also supplied as ElectionMacros.bas)</t>
  </si>
  <si>
    <t xml:space="preserve">Option Explicit</t>
  </si>
  <si>
    <t xml:space="preserve"> </t>
  </si>
  <si>
    <t xml:space="preserve">'==========================================================</t>
  </si>
  <si>
    <t xml:space="preserve">'  ELECTION SIMULATOR  -  MACROS  (6 parties, per-seat, turnout)</t>
  </si>
  <si>
    <t xml:space="preserve">'  Parties: Conservatives, Social-Democrats, Liberals,</t>
  </si>
  <si>
    <t xml:space="preserve">'           Nationalist, Independent, BP First.</t>
  </si>
  <si>
    <t xml:space="preserve">'  Seat efficiency (Simulator D5:D10) scales each party's</t>
  </si>
  <si>
    <t xml:space="preserve">'  per-seat probability before allocation (FPTP distortion).</t>
  </si>
  <si>
    <t xml:space="preserve">'  Assign RunElection   to a button on the Simulator sheet.</t>
  </si>
  <si>
    <t xml:space="preserve">'  Assign RunMonteCarlo to a button on the Monte Carlo sheet.</t>
  </si>
  <si>
    <t xml:space="preserve">Sub RunElection()</t>
  </si>
  <si>
    <t xml:space="preserve">    Application.Calculation = xlCalculationAutomatic</t>
  </si>
  <si>
    <t xml:space="preserve">    Application.Calculate</t>
  </si>
  <si>
    <t xml:space="preserve">    With Sheets("Simulator")</t>
  </si>
  <si>
    <t xml:space="preserve">        Dim msg As String, p As Long</t>
  </si>
  <si>
    <t xml:space="preserve">        msg = "Seats won:" &amp; vbCrLf</t>
  </si>
  <si>
    <t xml:space="preserve">        For p = 1 To 6</t>
  </si>
  <si>
    <t xml:space="preserve">            msg = msg &amp; .Cells(4 + p, 3).Value &amp; ":  " &amp; .Cells(15 + p, 3).Value &amp; vbCrLf</t>
  </si>
  <si>
    <t xml:space="preserve">        Next p</t>
  </si>
  <si>
    <t xml:space="preserve">        msg = msg &amp; vbCrLf &amp; "Largest party:  " &amp; .Range("C23").Value &amp; vbCrLf &amp; _</t>
  </si>
  <si>
    <t xml:space="preserve">              "Result:  " &amp; .Range("C24").Value &amp; "   (302 to win)"</t>
  </si>
  <si>
    <t xml:space="preserve">        MsgBox msg, vbInformation, "Election Result"</t>
  </si>
  <si>
    <t xml:space="preserve">    End With</t>
  </si>
  <si>
    <t xml:space="preserve">End Sub</t>
  </si>
  <si>
    <t xml:space="preserve">Sub RunMonteCarlo()</t>
  </si>
  <si>
    <t xml:space="preserve">    Dim ws As Worksheet, mc As Worksheet</t>
  </si>
  <si>
    <t xml:space="preserve">    Set ws = Sheets("Simulator")</t>
  </si>
  <si>
    <t xml:space="preserve">    Set mc = Sheets("Monte Carlo")</t>
  </si>
  <si>
    <t xml:space="preserve">    Const nStates As Long = 36</t>
  </si>
  <si>
    <t xml:space="preserve">    Const nP As Long = 6</t>
  </si>
  <si>
    <t xml:space="preserve">    Dim nSims As Long</t>
  </si>
  <si>
    <t xml:space="preserve">    nSims = mc.Range("C4").Value</t>
  </si>
  <si>
    <t xml:space="preserve">    If nSims &lt; 1 Then nSims = 1</t>
  </si>
  <si>
    <t xml:space="preserve">    If nSims &gt; 1000000 Then nSims = 1000000</t>
  </si>
  <si>
    <t xml:space="preserve">    ' seats and cumulative thresholds cum(state, 1..nP-1); cum(.,nP) = 1</t>
  </si>
  <si>
    <t xml:space="preserve">    Dim seats() As Long, cum() As Double</t>
  </si>
  <si>
    <t xml:space="preserve">    ReDim seats(1 To nStates): ReDim cum(1 To nStates, 1 To nP)</t>
  </si>
  <si>
    <t xml:space="preserve">    Dim i As Long, p As Long, e(1 To 6) As Double, tot As Double, run As Double</t>
  </si>
  <si>
    <t xml:space="preserve">    For i = 1 To nStates</t>
  </si>
  <si>
    <t xml:space="preserve">        seats(i) = ws.Cells(4 + i, 9).Value          ' I  Seats</t>
  </si>
  <si>
    <t xml:space="preserve">        tot = 0</t>
  </si>
  <si>
    <t xml:space="preserve">        For p = 1 To nP</t>
  </si>
  <si>
    <t xml:space="preserve">            e(p) = ws.Cells(4 + i, 9 + p).Value * ws.Cells(4 + p, 4).Value  ' win x efficiency</t>
  </si>
  <si>
    <t xml:space="preserve">            tot = tot + e(p)</t>
  </si>
  <si>
    <t xml:space="preserve">        run = 0</t>
  </si>
  <si>
    <t xml:space="preserve">        If tot &lt;= 0 Then</t>
  </si>
  <si>
    <t xml:space="preserve">            For p = 1 To nP: cum(i, p) = p / nP: Next p</t>
  </si>
  <si>
    <t xml:space="preserve">        Else</t>
  </si>
  <si>
    <t xml:space="preserve">            For p = 1 To nP</t>
  </si>
  <si>
    <t xml:space="preserve">                run = run + e(p)</t>
  </si>
  <si>
    <t xml:space="preserve">                cum(i, p) = run / tot</t>
  </si>
  <si>
    <t xml:space="preserve">            Next p</t>
  </si>
  <si>
    <t xml:space="preserve">        End If</t>
  </si>
  <si>
    <t xml:space="preserve">    Next i</t>
  </si>
  <si>
    <t xml:space="preserve">    Dim threshold As Long: threshold = ws.Range("C14").Value   ' 302</t>
  </si>
  <si>
    <t xml:space="preserve">    Dim nm(1 To nP) As String</t>
  </si>
  <si>
    <t xml:space="preserve">    For p = 1 To nP: nm(p) = ws.Cells(4 + p, 3).Value: Next p   ' C5:C10</t>
  </si>
  <si>
    <t xml:space="preserve">    Dim majWins(1 To nP) As Long, largest(1 To nP) As Long, sumSeats(1 To nP) As Double</t>
  </si>
  <si>
    <t xml:space="preserve">    Dim hung As Long, tieLargest As Long</t>
  </si>
  <si>
    <t xml:space="preserve">    Randomize</t>
  </si>
  <si>
    <t xml:space="preserve">    Dim sName As Long, k As Long, st As Long</t>
  </si>
  <si>
    <t xml:space="preserve">    Dim r As Double, ps(1 To nP) As Long</t>
  </si>
  <si>
    <t xml:space="preserve">    Dim maxv As Long, cntmax As Long, idx As Long, anyMaj As Boolean</t>
  </si>
  <si>
    <t xml:space="preserve">    For sName = 1 To nSims</t>
  </si>
  <si>
    <t xml:space="preserve">        For p = 1 To nP: ps(p) = 0: Next p</t>
  </si>
  <si>
    <t xml:space="preserve">        For st = 1 To nStates</t>
  </si>
  <si>
    <t xml:space="preserve">            For k = 1 To seats(st)</t>
  </si>
  <si>
    <t xml:space="preserve">                r = Rnd()</t>
  </si>
  <si>
    <t xml:space="preserve">                For p = 1 To nP</t>
  </si>
  <si>
    <t xml:space="preserve">                    If r &lt; cum(st, p) Then ps(p) = ps(p) + 1: Exit For</t>
  </si>
  <si>
    <t xml:space="preserve">                Next p</t>
  </si>
  <si>
    <t xml:space="preserve">            Next k</t>
  </si>
  <si>
    <t xml:space="preserve">        Next st</t>
  </si>
  <si>
    <t xml:space="preserve">        anyMaj = False: maxv = -1: cntmax = 0: idx = 0</t>
  </si>
  <si>
    <t xml:space="preserve">            sumSeats(p) = sumSeats(p) + ps(p)</t>
  </si>
  <si>
    <t xml:space="preserve">            If ps(p) &gt;= threshold Then majWins(p) = majWins(p) + 1: anyMaj = True</t>
  </si>
  <si>
    <t xml:space="preserve">            If ps(p) &gt; maxv Then</t>
  </si>
  <si>
    <t xml:space="preserve">                maxv = ps(p): idx = p: cntmax = 1</t>
  </si>
  <si>
    <t xml:space="preserve">            ElseIf ps(p) = maxv Then</t>
  </si>
  <si>
    <t xml:space="preserve">                cntmax = cntmax + 1</t>
  </si>
  <si>
    <t xml:space="preserve">            End If</t>
  </si>
  <si>
    <t xml:space="preserve">        If Not anyMaj Then hung = hung + 1</t>
  </si>
  <si>
    <t xml:space="preserve">        If cntmax = 1 Then largest(idx) = largest(idx) + 1 Else tieLargest = tieLargest + 1</t>
  </si>
  <si>
    <t xml:space="preserve">    Next sName</t>
  </si>
  <si>
    <t xml:space="preserve">    Application.ScreenUpdating = False</t>
  </si>
  <si>
    <t xml:space="preserve">    mc.Range("C6").Value = nSims</t>
  </si>
  <si>
    <t xml:space="preserve">    For p = 1 To nP</t>
  </si>
  <si>
    <t xml:space="preserve">        mc.Cells(8 + p, 2).Value = nm(p)</t>
  </si>
  <si>
    <t xml:space="preserve">        mc.Cells(8 + p, 3).Value = majWins(p)</t>
  </si>
  <si>
    <t xml:space="preserve">        mc.Cells(8 + p, 4).Value = majWins(p) / nSims</t>
  </si>
  <si>
    <t xml:space="preserve">        mc.Cells(8 + p, 5).Value = sumSeats(p) / nSims</t>
  </si>
  <si>
    <t xml:space="preserve">        mc.Cells(8 + p, 6).Value = largest(p)</t>
  </si>
  <si>
    <t xml:space="preserve">        mc.Cells(8 + p, 7).Value = largest(p) / nSims</t>
  </si>
  <si>
    <t xml:space="preserve">    Next p</t>
  </si>
  <si>
    <t xml:space="preserve">    mc.Cells(9 + nP, 3).Value = hung</t>
  </si>
  <si>
    <t xml:space="preserve">    mc.Cells(9 + nP, 4).Value = hung / nSims</t>
  </si>
  <si>
    <t xml:space="preserve">    mc.Cells(10 + nP, 3).Value = tieLargest</t>
  </si>
  <si>
    <t xml:space="preserve">    mc.Cells(10 + nP, 4).Value = tieLargest / nSims</t>
  </si>
  <si>
    <t xml:space="preserve">    Application.ScreenUpdating = True</t>
  </si>
  <si>
    <t xml:space="preserve">    MsgBox nSims &amp; " elections simulated." &amp; vbCrLf &amp; vbCrLf &amp; _</t>
  </si>
  <si>
    <t xml:space="preserve">           "No overall majority in " &amp; Format(hung / nSims, "0.0%") &amp; " of runs." &amp; vbCrLf &amp; _</t>
  </si>
  <si>
    <t xml:space="preserve">           "See the table for each party's majority wins, average seats and how often it finished largest.", _</t>
  </si>
  <si>
    <t xml:space="preserve">           vbInformation, "Monte Carlo Results"</t>
  </si>
</sst>
</file>

<file path=xl/styles.xml><?xml version="1.0" encoding="utf-8"?>
<styleSheet xmlns="http://schemas.openxmlformats.org/spreadsheetml/2006/main">
  <numFmts count="12">
    <numFmt numFmtId="164" formatCode="General"/>
    <numFmt numFmtId="165" formatCode="0%"/>
    <numFmt numFmtId="166" formatCode="#,##0"/>
    <numFmt numFmtId="167" formatCode="General"/>
    <numFmt numFmtId="168" formatCode="0.0%"/>
    <numFmt numFmtId="169" formatCode="\+0.0&quot; pts&quot;;\-0.0&quot; pts&quot;;0&quot; pts&quot;"/>
    <numFmt numFmtId="170" formatCode="0.000"/>
    <numFmt numFmtId="171" formatCode="0.0"/>
    <numFmt numFmtId="172" formatCode="\+0.0;\-0.0;0"/>
    <numFmt numFmtId="173" formatCode="0.0000"/>
    <numFmt numFmtId="174" formatCode="0"/>
    <numFmt numFmtId="175" formatCode="0.00"/>
  </numFmts>
  <fonts count="37">
    <font>
      <sz val="11"/>
      <color theme="1"/>
      <name val="Calibri"/>
      <family val="2"/>
      <charset val="1"/>
    </font>
    <font>
      <sz val="10"/>
      <name val="Arial"/>
      <family val="0"/>
    </font>
    <font>
      <sz val="10"/>
      <name val="Arial"/>
      <family val="0"/>
    </font>
    <font>
      <sz val="10"/>
      <name val="Arial"/>
      <family val="0"/>
    </font>
    <font>
      <b val="true"/>
      <sz val="20"/>
      <color rgb="FFFFFFFF"/>
      <name val="Arial"/>
      <family val="0"/>
      <charset val="1"/>
    </font>
    <font>
      <sz val="10"/>
      <color rgb="FFFFFFFF"/>
      <name val="Arial"/>
      <family val="0"/>
      <charset val="1"/>
    </font>
    <font>
      <b val="true"/>
      <sz val="11"/>
      <color rgb="FFFFFFFF"/>
      <name val="Arial"/>
      <family val="0"/>
      <charset val="1"/>
    </font>
    <font>
      <b val="true"/>
      <sz val="9"/>
      <color rgb="FFFFFFFF"/>
      <name val="Arial"/>
      <family val="0"/>
      <charset val="1"/>
    </font>
    <font>
      <b val="true"/>
      <sz val="11"/>
      <color rgb="FF000000"/>
      <name val="Arial"/>
      <family val="0"/>
      <charset val="1"/>
    </font>
    <font>
      <b val="true"/>
      <sz val="11"/>
      <color rgb="FF1F4E79"/>
      <name val="Arial"/>
      <family val="0"/>
      <charset val="1"/>
    </font>
    <font>
      <sz val="11"/>
      <color rgb="FF000000"/>
      <name val="Arial"/>
      <family val="0"/>
      <charset val="1"/>
    </font>
    <font>
      <b val="true"/>
      <sz val="11"/>
      <color rgb="FFC0392B"/>
      <name val="Arial"/>
      <family val="0"/>
      <charset val="1"/>
    </font>
    <font>
      <b val="true"/>
      <sz val="11"/>
      <color rgb="FF9C6500"/>
      <name val="Arial"/>
      <family val="0"/>
      <charset val="1"/>
    </font>
    <font>
      <b val="true"/>
      <sz val="11"/>
      <color rgb="FF6A1B9A"/>
      <name val="Arial"/>
      <family val="0"/>
      <charset val="1"/>
    </font>
    <font>
      <b val="true"/>
      <sz val="11"/>
      <color rgb="FF0E6E6E"/>
      <name val="Arial"/>
      <family val="0"/>
      <charset val="1"/>
    </font>
    <font>
      <i val="true"/>
      <sz val="9"/>
      <color rgb="FF808080"/>
      <name val="Arial"/>
      <family val="0"/>
      <charset val="1"/>
    </font>
    <font>
      <b val="true"/>
      <sz val="18"/>
      <color rgb="FFFFFFFF"/>
      <name val="Arial"/>
      <family val="0"/>
      <charset val="1"/>
    </font>
    <font>
      <sz val="9"/>
      <color rgb="FF000000"/>
      <name val="Arial"/>
      <family val="0"/>
      <charset val="1"/>
    </font>
    <font>
      <sz val="11"/>
      <color rgb="FF1F4E79"/>
      <name val="Arial"/>
      <family val="0"/>
      <charset val="1"/>
    </font>
    <font>
      <sz val="11"/>
      <color rgb="FFC0392B"/>
      <name val="Arial"/>
      <family val="0"/>
      <charset val="1"/>
    </font>
    <font>
      <sz val="11"/>
      <color rgb="FF9C6500"/>
      <name val="Arial"/>
      <family val="0"/>
      <charset val="1"/>
    </font>
    <font>
      <sz val="11"/>
      <color rgb="FF6A1B9A"/>
      <name val="Arial"/>
      <family val="0"/>
      <charset val="1"/>
    </font>
    <font>
      <sz val="11"/>
      <color rgb="FF0E6E6E"/>
      <name val="Arial"/>
      <family val="0"/>
      <charset val="1"/>
    </font>
    <font>
      <sz val="9"/>
      <color rgb="FF808080"/>
      <name val="Arial"/>
      <family val="0"/>
      <charset val="1"/>
    </font>
    <font>
      <sz val="8"/>
      <color rgb="FF1F4E79"/>
      <name val="Arial"/>
      <family val="0"/>
      <charset val="1"/>
    </font>
    <font>
      <sz val="8"/>
      <color rgb="FFC0392B"/>
      <name val="Arial"/>
      <family val="0"/>
      <charset val="1"/>
    </font>
    <font>
      <sz val="8"/>
      <color rgb="FF9C6500"/>
      <name val="Arial"/>
      <family val="0"/>
      <charset val="1"/>
    </font>
    <font>
      <sz val="8"/>
      <color rgb="FF000000"/>
      <name val="Arial"/>
      <family val="0"/>
      <charset val="1"/>
    </font>
    <font>
      <sz val="8"/>
      <color rgb="FF6A1B9A"/>
      <name val="Arial"/>
      <family val="0"/>
      <charset val="1"/>
    </font>
    <font>
      <sz val="8"/>
      <color rgb="FF0E6E6E"/>
      <name val="Arial"/>
      <family val="0"/>
      <charset val="1"/>
    </font>
    <font>
      <sz val="8"/>
      <color rgb="FF808080"/>
      <name val="Arial"/>
      <family val="0"/>
      <charset val="1"/>
    </font>
    <font>
      <sz val="10"/>
      <color rgb="FF000000"/>
      <name val="Arial"/>
      <family val="0"/>
      <charset val="1"/>
    </font>
    <font>
      <b val="true"/>
      <sz val="9"/>
      <color rgb="FF808080"/>
      <name val="Arial"/>
      <family val="0"/>
      <charset val="1"/>
    </font>
    <font>
      <sz val="8"/>
      <name val="Arial"/>
      <family val="0"/>
      <charset val="1"/>
    </font>
    <font>
      <i val="true"/>
      <sz val="11"/>
      <color rgb="FF000000"/>
      <name val="Arial"/>
      <family val="0"/>
      <charset val="1"/>
    </font>
    <font>
      <b val="true"/>
      <sz val="16"/>
      <color rgb="FFFFFFFF"/>
      <name val="Arial"/>
      <family val="0"/>
      <charset val="1"/>
    </font>
    <font>
      <sz val="9"/>
      <color rgb="FF1F1F1F"/>
      <name val="Consolas"/>
      <family val="0"/>
      <charset val="1"/>
    </font>
  </fonts>
  <fills count="13">
    <fill>
      <patternFill patternType="none"/>
    </fill>
    <fill>
      <patternFill patternType="gray125"/>
    </fill>
    <fill>
      <patternFill patternType="solid">
        <fgColor rgb="FF1F3864"/>
        <bgColor rgb="FF1F4E79"/>
      </patternFill>
    </fill>
    <fill>
      <patternFill patternType="solid">
        <fgColor rgb="FF305496"/>
        <bgColor rgb="FF1F4E79"/>
      </patternFill>
    </fill>
    <fill>
      <patternFill patternType="solid">
        <fgColor rgb="FFFFF2CC"/>
        <bgColor rgb="FFF2F2F2"/>
      </patternFill>
    </fill>
    <fill>
      <patternFill patternType="solid">
        <fgColor rgb="FFEEF3FA"/>
        <bgColor rgb="FFF2F2F2"/>
      </patternFill>
    </fill>
    <fill>
      <patternFill patternType="solid">
        <fgColor rgb="FFF2F2F2"/>
        <bgColor rgb="FFEEF3FA"/>
      </patternFill>
    </fill>
    <fill>
      <patternFill patternType="solid">
        <fgColor rgb="FFD6E4FF"/>
        <bgColor rgb="FFCDE9E9"/>
      </patternFill>
    </fill>
    <fill>
      <patternFill patternType="solid">
        <fgColor rgb="FFFBD9D5"/>
        <bgColor rgb="FFE7D6F2"/>
      </patternFill>
    </fill>
    <fill>
      <patternFill patternType="solid">
        <fgColor rgb="FFFFE699"/>
        <bgColor rgb="FFFFF2CC"/>
      </patternFill>
    </fill>
    <fill>
      <patternFill patternType="solid">
        <fgColor rgb="FFD0CECE"/>
        <bgColor rgb="FFBFBFBF"/>
      </patternFill>
    </fill>
    <fill>
      <patternFill patternType="solid">
        <fgColor rgb="FFE7D6F2"/>
        <bgColor rgb="FFFBD9D5"/>
      </patternFill>
    </fill>
    <fill>
      <patternFill patternType="solid">
        <fgColor rgb="FFCDE9E9"/>
        <bgColor rgb="FFD6E4FF"/>
      </patternFill>
    </fill>
  </fills>
  <borders count="3">
    <border diagonalUp="false" diagonalDown="false">
      <left/>
      <right/>
      <top/>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FBFBF"/>
      </left>
      <right/>
      <top style="thin">
        <color rgb="FFBFBFBF"/>
      </top>
      <bottom style="thin">
        <color rgb="FFBFBFBF"/>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73">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0" xfId="0" applyFont="true" applyBorder="true" applyAlignment="true" applyProtection="false">
      <alignment horizontal="left" vertical="center" textRotation="0" wrapText="false" indent="0" shrinkToFit="false"/>
      <protection locked="true" hidden="false"/>
    </xf>
    <xf numFmtId="164" fontId="5" fillId="3" borderId="0" xfId="0" applyFont="true" applyBorder="true" applyAlignment="true" applyProtection="false">
      <alignment horizontal="left" vertical="center" textRotation="0" wrapText="false" indent="0" shrinkToFit="false"/>
      <protection locked="true" hidden="false"/>
    </xf>
    <xf numFmtId="164" fontId="6" fillId="3" borderId="0" xfId="0" applyFont="true" applyBorder="true" applyAlignment="true" applyProtection="false">
      <alignment horizontal="left" vertical="center" textRotation="0" wrapText="false" indent="0" shrinkToFit="false"/>
      <protection locked="true" hidden="false"/>
    </xf>
    <xf numFmtId="164" fontId="7" fillId="3" borderId="0" xfId="0" applyFont="true" applyBorder="false" applyAlignment="true" applyProtection="false">
      <alignment horizontal="center" vertical="center" textRotation="0" wrapText="true" indent="0" shrinkToFit="false"/>
      <protection locked="true" hidden="false"/>
    </xf>
    <xf numFmtId="164" fontId="6" fillId="3" borderId="1" xfId="0" applyFont="true" applyBorder="true" applyAlignment="true" applyProtection="false">
      <alignment horizontal="center" vertical="center" textRotation="0" wrapText="true" indent="0" shrinkToFit="false"/>
      <protection locked="true" hidden="false"/>
    </xf>
    <xf numFmtId="164" fontId="8" fillId="0" borderId="0" xfId="0" applyFont="true" applyBorder="false" applyAlignment="true" applyProtection="false">
      <alignment horizontal="left" vertical="center" textRotation="0" wrapText="false" indent="0" shrinkToFit="false"/>
      <protection locked="true" hidden="false"/>
    </xf>
    <xf numFmtId="164" fontId="9" fillId="4" borderId="1" xfId="0" applyFont="true" applyBorder="true" applyAlignment="true" applyProtection="false">
      <alignment horizontal="left" vertical="center" textRotation="0" wrapText="false" indent="0" shrinkToFit="false"/>
      <protection locked="true" hidden="false"/>
    </xf>
    <xf numFmtId="165" fontId="9" fillId="4" borderId="1" xfId="0" applyFont="true" applyBorder="true" applyAlignment="true" applyProtection="false">
      <alignment horizontal="center" vertical="center" textRotation="0" wrapText="false" indent="0" shrinkToFit="false"/>
      <protection locked="true" hidden="false"/>
    </xf>
    <xf numFmtId="164" fontId="10" fillId="0" borderId="1" xfId="0" applyFont="true" applyBorder="true" applyAlignment="true" applyProtection="false">
      <alignment horizontal="left" vertical="center" textRotation="0" wrapText="false" indent="0" shrinkToFit="false"/>
      <protection locked="true" hidden="false"/>
    </xf>
    <xf numFmtId="166" fontId="10" fillId="0" borderId="1" xfId="0" applyFont="true" applyBorder="true" applyAlignment="true" applyProtection="false">
      <alignment horizontal="right" vertical="center" textRotation="0" wrapText="false" indent="0" shrinkToFit="false"/>
      <protection locked="true" hidden="false"/>
    </xf>
    <xf numFmtId="165" fontId="10" fillId="5" borderId="1" xfId="0" applyFont="true" applyBorder="true" applyAlignment="true" applyProtection="false">
      <alignment horizontal="center" vertical="center" textRotation="0" wrapText="false" indent="0" shrinkToFit="false"/>
      <protection locked="true" hidden="false"/>
    </xf>
    <xf numFmtId="164" fontId="10" fillId="0" borderId="1" xfId="0" applyFont="true" applyBorder="true" applyAlignment="true" applyProtection="false">
      <alignment horizontal="center" vertical="center" textRotation="0" wrapText="false" indent="0" shrinkToFit="false"/>
      <protection locked="true" hidden="false"/>
    </xf>
    <xf numFmtId="165" fontId="9" fillId="5" borderId="0" xfId="0" applyFont="true" applyBorder="false" applyAlignment="true" applyProtection="false">
      <alignment horizontal="center" vertical="center" textRotation="0" wrapText="false" indent="0" shrinkToFit="false"/>
      <protection locked="true" hidden="false"/>
    </xf>
    <xf numFmtId="165" fontId="11" fillId="5" borderId="0" xfId="0" applyFont="true" applyBorder="false" applyAlignment="true" applyProtection="false">
      <alignment horizontal="center" vertical="center" textRotation="0" wrapText="false" indent="0" shrinkToFit="false"/>
      <protection locked="true" hidden="false"/>
    </xf>
    <xf numFmtId="165" fontId="12" fillId="5" borderId="0" xfId="0" applyFont="true" applyBorder="false" applyAlignment="true" applyProtection="false">
      <alignment horizontal="center" vertical="center" textRotation="0" wrapText="false" indent="0" shrinkToFit="false"/>
      <protection locked="true" hidden="false"/>
    </xf>
    <xf numFmtId="165" fontId="8" fillId="5" borderId="0" xfId="0" applyFont="true" applyBorder="false" applyAlignment="true" applyProtection="false">
      <alignment horizontal="center" vertical="center" textRotation="0" wrapText="false" indent="0" shrinkToFit="false"/>
      <protection locked="true" hidden="false"/>
    </xf>
    <xf numFmtId="165" fontId="13" fillId="5" borderId="0" xfId="0" applyFont="true" applyBorder="false" applyAlignment="true" applyProtection="false">
      <alignment horizontal="center" vertical="center" textRotation="0" wrapText="false" indent="0" shrinkToFit="false"/>
      <protection locked="true" hidden="false"/>
    </xf>
    <xf numFmtId="165" fontId="14" fillId="5" borderId="0" xfId="0" applyFont="true" applyBorder="false" applyAlignment="true" applyProtection="false">
      <alignment horizontal="center" vertical="center" textRotation="0" wrapText="false" indent="0" shrinkToFit="false"/>
      <protection locked="true" hidden="false"/>
    </xf>
    <xf numFmtId="164" fontId="11" fillId="4" borderId="1" xfId="0" applyFont="true" applyBorder="true" applyAlignment="true" applyProtection="false">
      <alignment horizontal="left" vertical="center" textRotation="0" wrapText="false" indent="0" shrinkToFit="false"/>
      <protection locked="true" hidden="false"/>
    </xf>
    <xf numFmtId="165" fontId="11" fillId="4" borderId="1" xfId="0" applyFont="true" applyBorder="true" applyAlignment="true" applyProtection="false">
      <alignment horizontal="center" vertical="center" textRotation="0" wrapText="false" indent="0" shrinkToFit="false"/>
      <protection locked="true" hidden="false"/>
    </xf>
    <xf numFmtId="164" fontId="10" fillId="6" borderId="1" xfId="0" applyFont="true" applyBorder="true" applyAlignment="true" applyProtection="false">
      <alignment horizontal="left" vertical="center" textRotation="0" wrapText="false" indent="0" shrinkToFit="false"/>
      <protection locked="true" hidden="false"/>
    </xf>
    <xf numFmtId="166" fontId="10" fillId="6" borderId="1" xfId="0" applyFont="true" applyBorder="true" applyAlignment="true" applyProtection="false">
      <alignment horizontal="right" vertical="center" textRotation="0" wrapText="false" indent="0" shrinkToFit="false"/>
      <protection locked="true" hidden="false"/>
    </xf>
    <xf numFmtId="164" fontId="10" fillId="6" borderId="1" xfId="0" applyFont="true" applyBorder="true" applyAlignment="true" applyProtection="false">
      <alignment horizontal="center" vertical="center" textRotation="0" wrapText="false" indent="0" shrinkToFit="false"/>
      <protection locked="true" hidden="false"/>
    </xf>
    <xf numFmtId="164" fontId="12" fillId="4" borderId="1" xfId="0" applyFont="true" applyBorder="true" applyAlignment="true" applyProtection="false">
      <alignment horizontal="left" vertical="center" textRotation="0" wrapText="false" indent="0" shrinkToFit="false"/>
      <protection locked="true" hidden="false"/>
    </xf>
    <xf numFmtId="165" fontId="12" fillId="4" borderId="1" xfId="0" applyFont="true" applyBorder="true" applyAlignment="true" applyProtection="false">
      <alignment horizontal="center" vertical="center" textRotation="0" wrapText="false" indent="0" shrinkToFit="false"/>
      <protection locked="true" hidden="false"/>
    </xf>
    <xf numFmtId="164" fontId="8" fillId="4" borderId="1" xfId="0" applyFont="true" applyBorder="true" applyAlignment="true" applyProtection="false">
      <alignment horizontal="left" vertical="center" textRotation="0" wrapText="false" indent="0" shrinkToFit="false"/>
      <protection locked="true" hidden="false"/>
    </xf>
    <xf numFmtId="165" fontId="8" fillId="4" borderId="1" xfId="0" applyFont="true" applyBorder="true" applyAlignment="true" applyProtection="false">
      <alignment horizontal="center" vertical="center" textRotation="0" wrapText="false" indent="0" shrinkToFit="false"/>
      <protection locked="true" hidden="false"/>
    </xf>
    <xf numFmtId="164" fontId="13" fillId="4" borderId="1" xfId="0" applyFont="true" applyBorder="true" applyAlignment="true" applyProtection="false">
      <alignment horizontal="left" vertical="center" textRotation="0" wrapText="false" indent="0" shrinkToFit="false"/>
      <protection locked="true" hidden="false"/>
    </xf>
    <xf numFmtId="165" fontId="13" fillId="4" borderId="1" xfId="0" applyFont="true" applyBorder="true" applyAlignment="true" applyProtection="false">
      <alignment horizontal="center" vertical="center" textRotation="0" wrapText="false" indent="0" shrinkToFit="false"/>
      <protection locked="true" hidden="false"/>
    </xf>
    <xf numFmtId="164" fontId="14" fillId="4" borderId="1" xfId="0" applyFont="true" applyBorder="true" applyAlignment="true" applyProtection="false">
      <alignment horizontal="left" vertical="center" textRotation="0" wrapText="false" indent="0" shrinkToFit="false"/>
      <protection locked="true" hidden="false"/>
    </xf>
    <xf numFmtId="165" fontId="14" fillId="4" borderId="1" xfId="0" applyFont="true" applyBorder="true" applyAlignment="true" applyProtection="false">
      <alignment horizontal="center" vertical="center" textRotation="0" wrapText="false" indent="0" shrinkToFit="false"/>
      <protection locked="true" hidden="false"/>
    </xf>
    <xf numFmtId="164" fontId="10" fillId="0" borderId="0" xfId="0" applyFont="true" applyBorder="false" applyAlignment="true" applyProtection="false">
      <alignment horizontal="left" vertical="center" textRotation="0" wrapText="false" indent="0" shrinkToFit="false"/>
      <protection locked="true" hidden="false"/>
    </xf>
    <xf numFmtId="167" fontId="8" fillId="0" borderId="1" xfId="0" applyFont="true" applyBorder="true" applyAlignment="true" applyProtection="false">
      <alignment horizontal="center" vertical="center" textRotation="0" wrapText="false" indent="0" shrinkToFit="false"/>
      <protection locked="true" hidden="false"/>
    </xf>
    <xf numFmtId="164" fontId="9" fillId="0" borderId="0" xfId="0" applyFont="true" applyBorder="false" applyAlignment="true" applyProtection="false">
      <alignment horizontal="left" vertical="center" textRotation="0" wrapText="false" indent="0" shrinkToFit="false"/>
      <protection locked="true" hidden="false"/>
    </xf>
    <xf numFmtId="167" fontId="9" fillId="7" borderId="1" xfId="0" applyFont="true" applyBorder="true" applyAlignment="true" applyProtection="false">
      <alignment horizontal="center" vertical="center" textRotation="0" wrapText="false" indent="0" shrinkToFit="false"/>
      <protection locked="true" hidden="false"/>
    </xf>
    <xf numFmtId="164" fontId="11" fillId="0" borderId="0" xfId="0" applyFont="true" applyBorder="false" applyAlignment="true" applyProtection="false">
      <alignment horizontal="left" vertical="center" textRotation="0" wrapText="false" indent="0" shrinkToFit="false"/>
      <protection locked="true" hidden="false"/>
    </xf>
    <xf numFmtId="167" fontId="11" fillId="8" borderId="1" xfId="0" applyFont="true" applyBorder="true" applyAlignment="true" applyProtection="false">
      <alignment horizontal="center" vertical="center" textRotation="0" wrapText="false" indent="0" shrinkToFit="false"/>
      <protection locked="true" hidden="false"/>
    </xf>
    <xf numFmtId="164" fontId="12" fillId="0" borderId="0" xfId="0" applyFont="true" applyBorder="false" applyAlignment="true" applyProtection="false">
      <alignment horizontal="left" vertical="center" textRotation="0" wrapText="false" indent="0" shrinkToFit="false"/>
      <protection locked="true" hidden="false"/>
    </xf>
    <xf numFmtId="167" fontId="12" fillId="9" borderId="1" xfId="0" applyFont="true" applyBorder="true" applyAlignment="true" applyProtection="false">
      <alignment horizontal="center" vertical="center" textRotation="0" wrapText="false" indent="0" shrinkToFit="false"/>
      <protection locked="true" hidden="false"/>
    </xf>
    <xf numFmtId="167" fontId="8" fillId="10" borderId="1" xfId="0" applyFont="true" applyBorder="true" applyAlignment="true" applyProtection="false">
      <alignment horizontal="center" vertical="center" textRotation="0" wrapText="false" indent="0" shrinkToFit="false"/>
      <protection locked="true" hidden="false"/>
    </xf>
    <xf numFmtId="164" fontId="13" fillId="0" borderId="0" xfId="0" applyFont="true" applyBorder="false" applyAlignment="true" applyProtection="false">
      <alignment horizontal="left" vertical="center" textRotation="0" wrapText="false" indent="0" shrinkToFit="false"/>
      <protection locked="true" hidden="false"/>
    </xf>
    <xf numFmtId="167" fontId="13" fillId="11" borderId="1" xfId="0" applyFont="true" applyBorder="true" applyAlignment="true" applyProtection="false">
      <alignment horizontal="center" vertical="center" textRotation="0" wrapText="false" indent="0" shrinkToFit="false"/>
      <protection locked="true" hidden="false"/>
    </xf>
    <xf numFmtId="164" fontId="14" fillId="0" borderId="0" xfId="0" applyFont="true" applyBorder="false" applyAlignment="true" applyProtection="false">
      <alignment horizontal="left" vertical="center" textRotation="0" wrapText="false" indent="0" shrinkToFit="false"/>
      <protection locked="true" hidden="false"/>
    </xf>
    <xf numFmtId="167" fontId="14" fillId="12" borderId="1" xfId="0" applyFont="true" applyBorder="true" applyAlignment="true" applyProtection="false">
      <alignment horizontal="center" vertical="center" textRotation="0" wrapText="false" indent="0" shrinkToFit="false"/>
      <protection locked="true" hidden="false"/>
    </xf>
    <xf numFmtId="164" fontId="8" fillId="0" borderId="1" xfId="0" applyFont="true" applyBorder="true" applyAlignment="true" applyProtection="false">
      <alignment horizontal="center" vertical="center" textRotation="0" wrapText="false" indent="0" shrinkToFit="false"/>
      <protection locked="true" hidden="false"/>
    </xf>
    <xf numFmtId="166" fontId="9" fillId="7" borderId="1" xfId="0" applyFont="true" applyBorder="true" applyAlignment="true" applyProtection="false">
      <alignment horizontal="center" vertical="center" textRotation="0" wrapText="false" indent="0" shrinkToFit="false"/>
      <protection locked="true" hidden="false"/>
    </xf>
    <xf numFmtId="166" fontId="11" fillId="8" borderId="1" xfId="0" applyFont="true" applyBorder="true" applyAlignment="true" applyProtection="false">
      <alignment horizontal="center" vertical="center" textRotation="0" wrapText="false" indent="0" shrinkToFit="false"/>
      <protection locked="true" hidden="false"/>
    </xf>
    <xf numFmtId="166" fontId="12" fillId="9" borderId="1" xfId="0" applyFont="true" applyBorder="true" applyAlignment="true" applyProtection="false">
      <alignment horizontal="center" vertical="center" textRotation="0" wrapText="false" indent="0" shrinkToFit="false"/>
      <protection locked="true" hidden="false"/>
    </xf>
    <xf numFmtId="166" fontId="8" fillId="10" borderId="1" xfId="0" applyFont="true" applyBorder="true" applyAlignment="true" applyProtection="false">
      <alignment horizontal="center" vertical="center" textRotation="0" wrapText="false" indent="0" shrinkToFit="false"/>
      <protection locked="true" hidden="false"/>
    </xf>
    <xf numFmtId="166" fontId="13" fillId="11" borderId="1" xfId="0" applyFont="true" applyBorder="true" applyAlignment="true" applyProtection="false">
      <alignment horizontal="center" vertical="center" textRotation="0" wrapText="false" indent="0" shrinkToFit="false"/>
      <protection locked="true" hidden="false"/>
    </xf>
    <xf numFmtId="166" fontId="14" fillId="12" borderId="1" xfId="0" applyFont="true" applyBorder="true" applyAlignment="true" applyProtection="false">
      <alignment horizontal="center" vertical="center" textRotation="0" wrapText="false" indent="0" shrinkToFit="false"/>
      <protection locked="true" hidden="false"/>
    </xf>
    <xf numFmtId="166" fontId="10" fillId="0" borderId="1" xfId="0" applyFont="true" applyBorder="true" applyAlignment="true" applyProtection="false">
      <alignment horizontal="center" vertical="center" textRotation="0" wrapText="false" indent="0" shrinkToFit="false"/>
      <protection locked="true" hidden="false"/>
    </xf>
    <xf numFmtId="168" fontId="10" fillId="0" borderId="1" xfId="0" applyFont="true" applyBorder="true" applyAlignment="true" applyProtection="false">
      <alignment horizontal="center" vertical="center" textRotation="0" wrapText="false" indent="0" shrinkToFit="false"/>
      <protection locked="true" hidden="false"/>
    </xf>
    <xf numFmtId="169" fontId="10" fillId="0" borderId="1" xfId="0" applyFont="true" applyBorder="true" applyAlignment="true" applyProtection="false">
      <alignment horizontal="center" vertical="center" textRotation="0" wrapText="false" indent="0" shrinkToFit="false"/>
      <protection locked="true" hidden="false"/>
    </xf>
    <xf numFmtId="164" fontId="6" fillId="2" borderId="1" xfId="0" applyFont="true" applyBorder="true" applyAlignment="true" applyProtection="false">
      <alignment horizontal="left" vertical="center" textRotation="0" wrapText="false" indent="0" shrinkToFit="false"/>
      <protection locked="true" hidden="false"/>
    </xf>
    <xf numFmtId="166" fontId="6" fillId="2" borderId="1" xfId="0" applyFont="true" applyBorder="true" applyAlignment="true" applyProtection="false">
      <alignment horizontal="right" vertical="center" textRotation="0" wrapText="false" indent="0" shrinkToFit="false"/>
      <protection locked="true" hidden="false"/>
    </xf>
    <xf numFmtId="164" fontId="10" fillId="2" borderId="1" xfId="0" applyFont="true" applyBorder="true" applyAlignment="true" applyProtection="false">
      <alignment horizontal="left" vertical="center" textRotation="0" wrapText="false" indent="0" shrinkToFit="false"/>
      <protection locked="true" hidden="false"/>
    </xf>
    <xf numFmtId="167" fontId="6" fillId="2" borderId="1" xfId="0" applyFont="true" applyBorder="true" applyAlignment="true" applyProtection="false">
      <alignment horizontal="center" vertical="center" textRotation="0" wrapText="false" indent="0" shrinkToFit="false"/>
      <protection locked="true" hidden="false"/>
    </xf>
    <xf numFmtId="164" fontId="15" fillId="0" borderId="0" xfId="0" applyFont="true" applyBorder="true" applyAlignment="true" applyProtection="false">
      <alignment horizontal="left" vertical="top" textRotation="0" wrapText="true" indent="0" shrinkToFit="false"/>
      <protection locked="true" hidden="false"/>
    </xf>
    <xf numFmtId="164" fontId="16" fillId="2" borderId="0" xfId="0" applyFont="true" applyBorder="true" applyAlignment="true" applyProtection="false">
      <alignment horizontal="left" vertical="center" textRotation="0" wrapText="false" indent="0" shrinkToFit="false"/>
      <protection locked="true" hidden="false"/>
    </xf>
    <xf numFmtId="164" fontId="15" fillId="0" borderId="0" xfId="0" applyFont="true" applyBorder="true" applyAlignment="true" applyProtection="false">
      <alignment horizontal="left" vertical="center" textRotation="0" wrapText="true" indent="0" shrinkToFit="false"/>
      <protection locked="true" hidden="false"/>
    </xf>
    <xf numFmtId="168" fontId="10" fillId="4" borderId="1" xfId="0" applyFont="true" applyBorder="true" applyAlignment="true" applyProtection="false">
      <alignment horizontal="center" vertical="center" textRotation="0" wrapText="false" indent="0" shrinkToFit="false"/>
      <protection locked="true" hidden="false"/>
    </xf>
    <xf numFmtId="164" fontId="17" fillId="0" borderId="1" xfId="0" applyFont="true" applyBorder="true" applyAlignment="true" applyProtection="false">
      <alignment horizontal="center" vertical="center" textRotation="0" wrapText="false" indent="0" shrinkToFit="false"/>
      <protection locked="true" hidden="false"/>
    </xf>
    <xf numFmtId="168" fontId="10" fillId="6" borderId="1" xfId="0" applyFont="true" applyBorder="true" applyAlignment="true" applyProtection="false">
      <alignment horizontal="center" vertical="center" textRotation="0" wrapText="false" indent="0" shrinkToFit="false"/>
      <protection locked="true" hidden="false"/>
    </xf>
    <xf numFmtId="164" fontId="17" fillId="6" borderId="1" xfId="0" applyFont="true" applyBorder="true" applyAlignment="true" applyProtection="false">
      <alignment horizontal="center" vertical="center" textRotation="0" wrapText="false" indent="0" shrinkToFit="false"/>
      <protection locked="true" hidden="false"/>
    </xf>
    <xf numFmtId="165" fontId="10" fillId="4" borderId="1" xfId="0" applyFont="true" applyBorder="true" applyAlignment="true" applyProtection="false">
      <alignment horizontal="center" vertical="center" textRotation="0" wrapText="false" indent="0" shrinkToFit="false"/>
      <protection locked="true" hidden="false"/>
    </xf>
    <xf numFmtId="165" fontId="18" fillId="4" borderId="1" xfId="0" applyFont="true" applyBorder="true" applyAlignment="true" applyProtection="false">
      <alignment horizontal="center" vertical="center" textRotation="0" wrapText="false" indent="0" shrinkToFit="false"/>
      <protection locked="true" hidden="false"/>
    </xf>
    <xf numFmtId="165" fontId="19" fillId="4" borderId="1" xfId="0" applyFont="true" applyBorder="true" applyAlignment="true" applyProtection="false">
      <alignment horizontal="center" vertical="center" textRotation="0" wrapText="false" indent="0" shrinkToFit="false"/>
      <protection locked="true" hidden="false"/>
    </xf>
    <xf numFmtId="165" fontId="20" fillId="4" borderId="1" xfId="0" applyFont="true" applyBorder="true" applyAlignment="true" applyProtection="false">
      <alignment horizontal="center" vertical="center" textRotation="0" wrapText="false" indent="0" shrinkToFit="false"/>
      <protection locked="true" hidden="false"/>
    </xf>
    <xf numFmtId="165" fontId="21" fillId="4" borderId="1" xfId="0" applyFont="true" applyBorder="true" applyAlignment="true" applyProtection="false">
      <alignment horizontal="center" vertical="center" textRotation="0" wrapText="false" indent="0" shrinkToFit="false"/>
      <protection locked="true" hidden="false"/>
    </xf>
    <xf numFmtId="165" fontId="22" fillId="4" borderId="1" xfId="0" applyFont="true" applyBorder="true" applyAlignment="true" applyProtection="false">
      <alignment horizontal="center" vertical="center" textRotation="0" wrapText="false" indent="0" shrinkToFit="false"/>
      <protection locked="true" hidden="false"/>
    </xf>
    <xf numFmtId="164" fontId="15" fillId="0" borderId="0" xfId="0" applyFont="true" applyBorder="false" applyAlignment="true" applyProtection="false">
      <alignment horizontal="left" vertical="center" textRotation="0" wrapText="false" indent="0" shrinkToFit="false"/>
      <protection locked="true" hidden="false"/>
    </xf>
    <xf numFmtId="165" fontId="23" fillId="0" borderId="0" xfId="0" applyFont="true" applyBorder="false" applyAlignment="true" applyProtection="false">
      <alignment horizontal="center" vertical="center" textRotation="0" wrapText="false" indent="0" shrinkToFit="false"/>
      <protection locked="true" hidden="false"/>
    </xf>
    <xf numFmtId="164" fontId="10" fillId="3" borderId="0" xfId="0" applyFont="true" applyBorder="false" applyAlignment="true" applyProtection="false">
      <alignment horizontal="left" vertical="center" textRotation="0" wrapText="false" indent="0" shrinkToFit="false"/>
      <protection locked="true" hidden="false"/>
    </xf>
    <xf numFmtId="164" fontId="6" fillId="3" borderId="2" xfId="0" applyFont="true" applyBorder="true" applyAlignment="true" applyProtection="false">
      <alignment horizontal="center" vertical="center" textRotation="0" wrapText="false" indent="0" shrinkToFit="false"/>
      <protection locked="true" hidden="false"/>
    </xf>
    <xf numFmtId="164" fontId="6" fillId="3" borderId="1" xfId="0" applyFont="true" applyBorder="true" applyAlignment="true" applyProtection="false">
      <alignment horizontal="center" vertical="center" textRotation="0" wrapText="false" indent="0" shrinkToFit="false"/>
      <protection locked="true" hidden="false"/>
    </xf>
    <xf numFmtId="164" fontId="7" fillId="3" borderId="1" xfId="0" applyFont="true" applyBorder="true" applyAlignment="true" applyProtection="false">
      <alignment horizontal="center" vertical="center" textRotation="0" wrapText="false" indent="0" shrinkToFit="false"/>
      <protection locked="true" hidden="false"/>
    </xf>
    <xf numFmtId="165" fontId="24" fillId="0" borderId="1" xfId="0" applyFont="true" applyBorder="true" applyAlignment="true" applyProtection="false">
      <alignment horizontal="center" vertical="center" textRotation="0" wrapText="false" indent="0" shrinkToFit="false"/>
      <protection locked="true" hidden="false"/>
    </xf>
    <xf numFmtId="165" fontId="25" fillId="0" borderId="1" xfId="0" applyFont="true" applyBorder="true" applyAlignment="true" applyProtection="false">
      <alignment horizontal="center" vertical="center" textRotation="0" wrapText="false" indent="0" shrinkToFit="false"/>
      <protection locked="true" hidden="false"/>
    </xf>
    <xf numFmtId="165" fontId="26" fillId="0" borderId="1" xfId="0" applyFont="true" applyBorder="true" applyAlignment="true" applyProtection="false">
      <alignment horizontal="center" vertical="center" textRotation="0" wrapText="false" indent="0" shrinkToFit="false"/>
      <protection locked="true" hidden="false"/>
    </xf>
    <xf numFmtId="165" fontId="27" fillId="0" borderId="1" xfId="0" applyFont="true" applyBorder="true" applyAlignment="true" applyProtection="false">
      <alignment horizontal="center" vertical="center" textRotation="0" wrapText="false" indent="0" shrinkToFit="false"/>
      <protection locked="true" hidden="false"/>
    </xf>
    <xf numFmtId="165" fontId="28" fillId="0" borderId="1" xfId="0" applyFont="true" applyBorder="true" applyAlignment="true" applyProtection="false">
      <alignment horizontal="center" vertical="center" textRotation="0" wrapText="false" indent="0" shrinkToFit="false"/>
      <protection locked="true" hidden="false"/>
    </xf>
    <xf numFmtId="165" fontId="29" fillId="0" borderId="1" xfId="0" applyFont="true" applyBorder="true" applyAlignment="true" applyProtection="false">
      <alignment horizontal="center" vertical="center" textRotation="0" wrapText="false" indent="0" shrinkToFit="false"/>
      <protection locked="true" hidden="false"/>
    </xf>
    <xf numFmtId="165" fontId="24" fillId="6" borderId="1" xfId="0" applyFont="true" applyBorder="true" applyAlignment="true" applyProtection="false">
      <alignment horizontal="center" vertical="center" textRotation="0" wrapText="false" indent="0" shrinkToFit="false"/>
      <protection locked="true" hidden="false"/>
    </xf>
    <xf numFmtId="165" fontId="25" fillId="6" borderId="1" xfId="0" applyFont="true" applyBorder="true" applyAlignment="true" applyProtection="false">
      <alignment horizontal="center" vertical="center" textRotation="0" wrapText="false" indent="0" shrinkToFit="false"/>
      <protection locked="true" hidden="false"/>
    </xf>
    <xf numFmtId="165" fontId="26" fillId="6" borderId="1" xfId="0" applyFont="true" applyBorder="true" applyAlignment="true" applyProtection="false">
      <alignment horizontal="center" vertical="center" textRotation="0" wrapText="false" indent="0" shrinkToFit="false"/>
      <protection locked="true" hidden="false"/>
    </xf>
    <xf numFmtId="165" fontId="27" fillId="6" borderId="1" xfId="0" applyFont="true" applyBorder="true" applyAlignment="true" applyProtection="false">
      <alignment horizontal="center" vertical="center" textRotation="0" wrapText="false" indent="0" shrinkToFit="false"/>
      <protection locked="true" hidden="false"/>
    </xf>
    <xf numFmtId="165" fontId="28" fillId="6" borderId="1" xfId="0" applyFont="true" applyBorder="true" applyAlignment="true" applyProtection="false">
      <alignment horizontal="center" vertical="center" textRotation="0" wrapText="false" indent="0" shrinkToFit="false"/>
      <protection locked="true" hidden="false"/>
    </xf>
    <xf numFmtId="165" fontId="29" fillId="6" borderId="1" xfId="0" applyFont="true" applyBorder="true" applyAlignment="true" applyProtection="false">
      <alignment horizontal="center" vertical="center" textRotation="0" wrapText="false" indent="0" shrinkToFit="false"/>
      <protection locked="true" hidden="false"/>
    </xf>
    <xf numFmtId="168" fontId="18" fillId="4" borderId="1" xfId="0" applyFont="true" applyBorder="true" applyAlignment="true" applyProtection="false">
      <alignment horizontal="center" vertical="center" textRotation="0" wrapText="false" indent="0" shrinkToFit="false"/>
      <protection locked="true" hidden="false"/>
    </xf>
    <xf numFmtId="168" fontId="19" fillId="4" borderId="1" xfId="0" applyFont="true" applyBorder="true" applyAlignment="true" applyProtection="false">
      <alignment horizontal="center" vertical="center" textRotation="0" wrapText="false" indent="0" shrinkToFit="false"/>
      <protection locked="true" hidden="false"/>
    </xf>
    <xf numFmtId="168" fontId="20" fillId="4" borderId="1" xfId="0" applyFont="true" applyBorder="true" applyAlignment="true" applyProtection="false">
      <alignment horizontal="center" vertical="center" textRotation="0" wrapText="false" indent="0" shrinkToFit="false"/>
      <protection locked="true" hidden="false"/>
    </xf>
    <xf numFmtId="168" fontId="21" fillId="4" borderId="1" xfId="0" applyFont="true" applyBorder="true" applyAlignment="true" applyProtection="false">
      <alignment horizontal="center" vertical="center" textRotation="0" wrapText="false" indent="0" shrinkToFit="false"/>
      <protection locked="true" hidden="false"/>
    </xf>
    <xf numFmtId="168" fontId="22" fillId="4" borderId="1" xfId="0" applyFont="true" applyBorder="true" applyAlignment="true" applyProtection="false">
      <alignment horizontal="center" vertical="center" textRotation="0" wrapText="false" indent="0" shrinkToFit="false"/>
      <protection locked="true" hidden="false"/>
    </xf>
    <xf numFmtId="164" fontId="11" fillId="4" borderId="1" xfId="0" applyFont="true" applyBorder="true" applyAlignment="true" applyProtection="false">
      <alignment horizontal="center" vertical="center" textRotation="0" wrapText="false" indent="0" shrinkToFit="false"/>
      <protection locked="true" hidden="false"/>
    </xf>
    <xf numFmtId="169" fontId="8" fillId="5" borderId="1" xfId="0" applyFont="true" applyBorder="true" applyAlignment="true" applyProtection="false">
      <alignment horizontal="center" vertical="center" textRotation="0" wrapText="false" indent="0" shrinkToFit="false"/>
      <protection locked="true" hidden="false"/>
    </xf>
    <xf numFmtId="170" fontId="15" fillId="0" borderId="0" xfId="0" applyFont="true" applyBorder="false" applyAlignment="true" applyProtection="false">
      <alignment horizontal="center" vertical="center" textRotation="0" wrapText="false" indent="0" shrinkToFit="false"/>
      <protection locked="true" hidden="false"/>
    </xf>
    <xf numFmtId="164" fontId="8" fillId="4" borderId="1" xfId="0" applyFont="true" applyBorder="true" applyAlignment="true" applyProtection="false">
      <alignment horizontal="center" vertical="center" textRotation="0" wrapText="false" indent="0" shrinkToFit="false"/>
      <protection locked="true" hidden="false"/>
    </xf>
    <xf numFmtId="171" fontId="10" fillId="4" borderId="1" xfId="0" applyFont="true" applyBorder="true" applyAlignment="true" applyProtection="false">
      <alignment horizontal="center" vertical="center" textRotation="0" wrapText="false" indent="0" shrinkToFit="false"/>
      <protection locked="true" hidden="false"/>
    </xf>
    <xf numFmtId="172" fontId="10" fillId="0" borderId="1" xfId="0" applyFont="true" applyBorder="true" applyAlignment="true" applyProtection="false">
      <alignment horizontal="center" vertical="center" textRotation="0" wrapText="false" indent="0" shrinkToFit="false"/>
      <protection locked="true" hidden="false"/>
    </xf>
    <xf numFmtId="172" fontId="6" fillId="2" borderId="1" xfId="0" applyFont="true" applyBorder="true" applyAlignment="true" applyProtection="false">
      <alignment horizontal="center" vertical="center" textRotation="0" wrapText="false" indent="0" shrinkToFit="false"/>
      <protection locked="true" hidden="false"/>
    </xf>
    <xf numFmtId="170" fontId="23" fillId="0" borderId="0" xfId="0" applyFont="true" applyBorder="false" applyAlignment="true" applyProtection="false">
      <alignment horizontal="center" vertical="center" textRotation="0" wrapText="false" indent="0" shrinkToFit="false"/>
      <protection locked="true" hidden="false"/>
    </xf>
    <xf numFmtId="167" fontId="23" fillId="0" borderId="1" xfId="0" applyFont="true" applyBorder="true" applyAlignment="true" applyProtection="false">
      <alignment horizontal="center" vertical="center" textRotation="0" wrapText="false" indent="0" shrinkToFit="false"/>
      <protection locked="true" hidden="false"/>
    </xf>
    <xf numFmtId="164" fontId="30" fillId="0" borderId="0" xfId="0" applyFont="true" applyBorder="false" applyAlignment="true" applyProtection="false">
      <alignment horizontal="center" vertical="center" textRotation="0" wrapText="false" indent="0" shrinkToFit="false"/>
      <protection locked="true" hidden="false"/>
    </xf>
    <xf numFmtId="165" fontId="15" fillId="0" borderId="0" xfId="0" applyFont="true" applyBorder="false" applyAlignment="true" applyProtection="false">
      <alignment horizontal="center" vertical="center" textRotation="0" wrapText="false" indent="0" shrinkToFit="false"/>
      <protection locked="true" hidden="false"/>
    </xf>
    <xf numFmtId="164" fontId="9" fillId="6" borderId="1" xfId="0" applyFont="true" applyBorder="true" applyAlignment="true" applyProtection="false">
      <alignment horizontal="center" vertical="center" textRotation="0" wrapText="false" indent="0" shrinkToFit="false"/>
      <protection locked="true" hidden="false"/>
    </xf>
    <xf numFmtId="164" fontId="11" fillId="6" borderId="1" xfId="0" applyFont="true" applyBorder="true" applyAlignment="true" applyProtection="false">
      <alignment horizontal="center" vertical="center" textRotation="0" wrapText="false" indent="0" shrinkToFit="false"/>
      <protection locked="true" hidden="false"/>
    </xf>
    <xf numFmtId="164" fontId="12" fillId="6" borderId="1" xfId="0" applyFont="true" applyBorder="true" applyAlignment="true" applyProtection="false">
      <alignment horizontal="center" vertical="center" textRotation="0" wrapText="false" indent="0" shrinkToFit="false"/>
      <protection locked="true" hidden="false"/>
    </xf>
    <xf numFmtId="164" fontId="8" fillId="6" borderId="1" xfId="0" applyFont="true" applyBorder="true" applyAlignment="true" applyProtection="false">
      <alignment horizontal="center" vertical="center" textRotation="0" wrapText="false" indent="0" shrinkToFit="false"/>
      <protection locked="true" hidden="false"/>
    </xf>
    <xf numFmtId="164" fontId="13" fillId="6" borderId="1" xfId="0" applyFont="true" applyBorder="true" applyAlignment="true" applyProtection="false">
      <alignment horizontal="center" vertical="center" textRotation="0" wrapText="false" indent="0" shrinkToFit="false"/>
      <protection locked="true" hidden="false"/>
    </xf>
    <xf numFmtId="164" fontId="14" fillId="6" borderId="1" xfId="0" applyFont="true" applyBorder="true" applyAlignment="true" applyProtection="false">
      <alignment horizontal="center" vertical="center" textRotation="0" wrapText="false" indent="0" shrinkToFit="false"/>
      <protection locked="true" hidden="false"/>
    </xf>
    <xf numFmtId="172" fontId="18" fillId="4" borderId="1" xfId="0" applyFont="true" applyBorder="true" applyAlignment="true" applyProtection="false">
      <alignment horizontal="center" vertical="center" textRotation="0" wrapText="false" indent="0" shrinkToFit="false"/>
      <protection locked="true" hidden="false"/>
    </xf>
    <xf numFmtId="172" fontId="19" fillId="4" borderId="1" xfId="0" applyFont="true" applyBorder="true" applyAlignment="true" applyProtection="false">
      <alignment horizontal="center" vertical="center" textRotation="0" wrapText="false" indent="0" shrinkToFit="false"/>
      <protection locked="true" hidden="false"/>
    </xf>
    <xf numFmtId="172" fontId="20" fillId="4" borderId="1" xfId="0" applyFont="true" applyBorder="true" applyAlignment="true" applyProtection="false">
      <alignment horizontal="center" vertical="center" textRotation="0" wrapText="false" indent="0" shrinkToFit="false"/>
      <protection locked="true" hidden="false"/>
    </xf>
    <xf numFmtId="172" fontId="10" fillId="4" borderId="1" xfId="0" applyFont="true" applyBorder="true" applyAlignment="true" applyProtection="false">
      <alignment horizontal="center" vertical="center" textRotation="0" wrapText="false" indent="0" shrinkToFit="false"/>
      <protection locked="true" hidden="false"/>
    </xf>
    <xf numFmtId="172" fontId="21" fillId="4" borderId="1" xfId="0" applyFont="true" applyBorder="true" applyAlignment="true" applyProtection="false">
      <alignment horizontal="center" vertical="center" textRotation="0" wrapText="false" indent="0" shrinkToFit="false"/>
      <protection locked="true" hidden="false"/>
    </xf>
    <xf numFmtId="172" fontId="22" fillId="4" borderId="1" xfId="0" applyFont="true" applyBorder="true" applyAlignment="true" applyProtection="false">
      <alignment horizontal="center" vertical="center" textRotation="0" wrapText="false" indent="0" shrinkToFit="false"/>
      <protection locked="true" hidden="false"/>
    </xf>
    <xf numFmtId="164" fontId="15" fillId="0" borderId="0" xfId="0" applyFont="true" applyBorder="true" applyAlignment="true" applyProtection="false">
      <alignment horizontal="left" vertical="center" textRotation="0" wrapText="false" indent="0" shrinkToFit="false"/>
      <protection locked="true" hidden="false"/>
    </xf>
    <xf numFmtId="164" fontId="9" fillId="0" borderId="1" xfId="0" applyFont="true" applyBorder="true" applyAlignment="true" applyProtection="false">
      <alignment horizontal="left" vertical="center" textRotation="0" wrapText="false" indent="0" shrinkToFit="false"/>
      <protection locked="true" hidden="false"/>
    </xf>
    <xf numFmtId="164" fontId="10" fillId="4" borderId="1" xfId="0" applyFont="true" applyBorder="true" applyAlignment="true" applyProtection="false">
      <alignment horizontal="center" vertical="center" textRotation="0" wrapText="false" indent="0" shrinkToFit="false"/>
      <protection locked="true" hidden="false"/>
    </xf>
    <xf numFmtId="164" fontId="11" fillId="0" borderId="1" xfId="0" applyFont="true" applyBorder="true" applyAlignment="true" applyProtection="false">
      <alignment horizontal="left" vertical="center" textRotation="0" wrapText="false" indent="0" shrinkToFit="false"/>
      <protection locked="true" hidden="false"/>
    </xf>
    <xf numFmtId="164" fontId="12" fillId="0" borderId="1" xfId="0" applyFont="true" applyBorder="true" applyAlignment="true" applyProtection="false">
      <alignment horizontal="left" vertical="center" textRotation="0" wrapText="false" indent="0" shrinkToFit="false"/>
      <protection locked="true" hidden="false"/>
    </xf>
    <xf numFmtId="164" fontId="8" fillId="0" borderId="1" xfId="0" applyFont="true" applyBorder="true" applyAlignment="true" applyProtection="false">
      <alignment horizontal="left" vertical="center" textRotation="0" wrapText="false" indent="0" shrinkToFit="false"/>
      <protection locked="true" hidden="false"/>
    </xf>
    <xf numFmtId="164" fontId="13" fillId="0" borderId="1" xfId="0" applyFont="true" applyBorder="true" applyAlignment="true" applyProtection="false">
      <alignment horizontal="left" vertical="center" textRotation="0" wrapText="false" indent="0" shrinkToFit="false"/>
      <protection locked="true" hidden="false"/>
    </xf>
    <xf numFmtId="164" fontId="14" fillId="0" borderId="1" xfId="0" applyFont="true" applyBorder="true" applyAlignment="true" applyProtection="false">
      <alignment horizontal="left" vertical="center" textRotation="0" wrapText="false" indent="0" shrinkToFit="false"/>
      <protection locked="true" hidden="false"/>
    </xf>
    <xf numFmtId="164" fontId="6" fillId="3" borderId="1" xfId="0" applyFont="true" applyBorder="true" applyAlignment="true" applyProtection="false">
      <alignment horizontal="left" vertical="center" textRotation="0" wrapText="false" indent="0" shrinkToFit="false"/>
      <protection locked="true" hidden="false"/>
    </xf>
    <xf numFmtId="164" fontId="8" fillId="0" borderId="2" xfId="0" applyFont="true" applyBorder="true" applyAlignment="true" applyProtection="false">
      <alignment horizontal="left" vertical="center" textRotation="0" wrapText="false" indent="0" shrinkToFit="false"/>
      <protection locked="true" hidden="false"/>
    </xf>
    <xf numFmtId="164" fontId="31" fillId="0" borderId="2" xfId="0" applyFont="true" applyBorder="true" applyAlignment="true" applyProtection="false">
      <alignment horizontal="left" vertical="center" textRotation="0" wrapText="false" indent="0" shrinkToFit="false"/>
      <protection locked="true" hidden="false"/>
    </xf>
    <xf numFmtId="164" fontId="10" fillId="0" borderId="0" xfId="0" applyFont="true" applyBorder="false" applyAlignment="true" applyProtection="false">
      <alignment horizontal="right" vertical="center" textRotation="0" wrapText="false" indent="0" shrinkToFit="false"/>
      <protection locked="true" hidden="false"/>
    </xf>
    <xf numFmtId="165" fontId="10" fillId="0" borderId="1" xfId="0" applyFont="true" applyBorder="true" applyAlignment="true" applyProtection="false">
      <alignment horizontal="center" vertical="center" textRotation="0" wrapText="false" indent="0" shrinkToFit="false"/>
      <protection locked="true" hidden="false"/>
    </xf>
    <xf numFmtId="171" fontId="10" fillId="0" borderId="1" xfId="0" applyFont="true" applyBorder="true" applyAlignment="true" applyProtection="false">
      <alignment horizontal="center" vertical="center" textRotation="0" wrapText="false" indent="0" shrinkToFit="false"/>
      <protection locked="true" hidden="false"/>
    </xf>
    <xf numFmtId="165" fontId="18" fillId="0" borderId="1" xfId="0" applyFont="true" applyBorder="true" applyAlignment="true" applyProtection="false">
      <alignment horizontal="center" vertical="center" textRotation="0" wrapText="false" indent="0" shrinkToFit="false"/>
      <protection locked="true" hidden="false"/>
    </xf>
    <xf numFmtId="165" fontId="19" fillId="0" borderId="1" xfId="0" applyFont="true" applyBorder="true" applyAlignment="true" applyProtection="false">
      <alignment horizontal="center" vertical="center" textRotation="0" wrapText="false" indent="0" shrinkToFit="false"/>
      <protection locked="true" hidden="false"/>
    </xf>
    <xf numFmtId="165" fontId="20" fillId="0" borderId="1" xfId="0" applyFont="true" applyBorder="true" applyAlignment="true" applyProtection="false">
      <alignment horizontal="center" vertical="center" textRotation="0" wrapText="false" indent="0" shrinkToFit="false"/>
      <protection locked="true" hidden="false"/>
    </xf>
    <xf numFmtId="165" fontId="21" fillId="0" borderId="1" xfId="0" applyFont="true" applyBorder="true" applyAlignment="true" applyProtection="false">
      <alignment horizontal="center" vertical="center" textRotation="0" wrapText="false" indent="0" shrinkToFit="false"/>
      <protection locked="true" hidden="false"/>
    </xf>
    <xf numFmtId="165" fontId="22" fillId="0" borderId="1" xfId="0" applyFont="true" applyBorder="true" applyAlignment="true" applyProtection="false">
      <alignment horizontal="center" vertical="center" textRotation="0" wrapText="false" indent="0" shrinkToFit="false"/>
      <protection locked="true" hidden="false"/>
    </xf>
    <xf numFmtId="165" fontId="9" fillId="0" borderId="1" xfId="0" applyFont="true" applyBorder="true" applyAlignment="true" applyProtection="false">
      <alignment horizontal="center" vertical="center" textRotation="0" wrapText="false" indent="0" shrinkToFit="false"/>
      <protection locked="true" hidden="false"/>
    </xf>
    <xf numFmtId="165" fontId="11" fillId="0" borderId="1" xfId="0" applyFont="true" applyBorder="true" applyAlignment="true" applyProtection="false">
      <alignment horizontal="center" vertical="center" textRotation="0" wrapText="false" indent="0" shrinkToFit="false"/>
      <protection locked="true" hidden="false"/>
    </xf>
    <xf numFmtId="165" fontId="12" fillId="0" borderId="1" xfId="0" applyFont="true" applyBorder="true" applyAlignment="true" applyProtection="false">
      <alignment horizontal="center" vertical="center" textRotation="0" wrapText="false" indent="0" shrinkToFit="false"/>
      <protection locked="true" hidden="false"/>
    </xf>
    <xf numFmtId="165" fontId="8" fillId="0" borderId="1" xfId="0" applyFont="true" applyBorder="true" applyAlignment="true" applyProtection="false">
      <alignment horizontal="center" vertical="center" textRotation="0" wrapText="false" indent="0" shrinkToFit="false"/>
      <protection locked="true" hidden="false"/>
    </xf>
    <xf numFmtId="165" fontId="13" fillId="0" borderId="1" xfId="0" applyFont="true" applyBorder="true" applyAlignment="true" applyProtection="false">
      <alignment horizontal="center" vertical="center" textRotation="0" wrapText="false" indent="0" shrinkToFit="false"/>
      <protection locked="true" hidden="false"/>
    </xf>
    <xf numFmtId="165" fontId="14" fillId="0" borderId="1" xfId="0" applyFont="true" applyBorder="true" applyAlignment="true" applyProtection="false">
      <alignment horizontal="center" vertical="center" textRotation="0" wrapText="false" indent="0" shrinkToFit="false"/>
      <protection locked="true" hidden="false"/>
    </xf>
    <xf numFmtId="173" fontId="10" fillId="0" borderId="0" xfId="0" applyFont="true" applyBorder="false" applyAlignment="true" applyProtection="false">
      <alignment horizontal="left" vertical="center" textRotation="0" wrapText="false" indent="0" shrinkToFit="false"/>
      <protection locked="true" hidden="false"/>
    </xf>
    <xf numFmtId="174" fontId="10" fillId="0" borderId="0" xfId="0" applyFont="true" applyBorder="false" applyAlignment="true" applyProtection="false">
      <alignment horizontal="left" vertical="center" textRotation="0" wrapText="false" indent="0" shrinkToFit="false"/>
      <protection locked="true" hidden="false"/>
    </xf>
    <xf numFmtId="165" fontId="18" fillId="6" borderId="1" xfId="0" applyFont="true" applyBorder="true" applyAlignment="true" applyProtection="false">
      <alignment horizontal="center" vertical="center" textRotation="0" wrapText="false" indent="0" shrinkToFit="false"/>
      <protection locked="true" hidden="false"/>
    </xf>
    <xf numFmtId="165" fontId="19" fillId="6" borderId="1" xfId="0" applyFont="true" applyBorder="true" applyAlignment="true" applyProtection="false">
      <alignment horizontal="center" vertical="center" textRotation="0" wrapText="false" indent="0" shrinkToFit="false"/>
      <protection locked="true" hidden="false"/>
    </xf>
    <xf numFmtId="165" fontId="20" fillId="6" borderId="1" xfId="0" applyFont="true" applyBorder="true" applyAlignment="true" applyProtection="false">
      <alignment horizontal="center" vertical="center" textRotation="0" wrapText="false" indent="0" shrinkToFit="false"/>
      <protection locked="true" hidden="false"/>
    </xf>
    <xf numFmtId="165" fontId="10" fillId="6" borderId="1" xfId="0" applyFont="true" applyBorder="true" applyAlignment="true" applyProtection="false">
      <alignment horizontal="center" vertical="center" textRotation="0" wrapText="false" indent="0" shrinkToFit="false"/>
      <protection locked="true" hidden="false"/>
    </xf>
    <xf numFmtId="165" fontId="21" fillId="6" borderId="1" xfId="0" applyFont="true" applyBorder="true" applyAlignment="true" applyProtection="false">
      <alignment horizontal="center" vertical="center" textRotation="0" wrapText="false" indent="0" shrinkToFit="false"/>
      <protection locked="true" hidden="false"/>
    </xf>
    <xf numFmtId="165" fontId="22" fillId="6" borderId="1" xfId="0" applyFont="true" applyBorder="true" applyAlignment="true" applyProtection="false">
      <alignment horizontal="center" vertical="center" textRotation="0" wrapText="false" indent="0" shrinkToFit="false"/>
      <protection locked="true" hidden="false"/>
    </xf>
    <xf numFmtId="165" fontId="9" fillId="6" borderId="1" xfId="0" applyFont="true" applyBorder="true" applyAlignment="true" applyProtection="false">
      <alignment horizontal="center" vertical="center" textRotation="0" wrapText="false" indent="0" shrinkToFit="false"/>
      <protection locked="true" hidden="false"/>
    </xf>
    <xf numFmtId="165" fontId="11" fillId="6" borderId="1" xfId="0" applyFont="true" applyBorder="true" applyAlignment="true" applyProtection="false">
      <alignment horizontal="center" vertical="center" textRotation="0" wrapText="false" indent="0" shrinkToFit="false"/>
      <protection locked="true" hidden="false"/>
    </xf>
    <xf numFmtId="165" fontId="12" fillId="6" borderId="1" xfId="0" applyFont="true" applyBorder="true" applyAlignment="true" applyProtection="false">
      <alignment horizontal="center" vertical="center" textRotation="0" wrapText="false" indent="0" shrinkToFit="false"/>
      <protection locked="true" hidden="false"/>
    </xf>
    <xf numFmtId="165" fontId="8" fillId="6" borderId="1" xfId="0" applyFont="true" applyBorder="true" applyAlignment="true" applyProtection="false">
      <alignment horizontal="center" vertical="center" textRotation="0" wrapText="false" indent="0" shrinkToFit="false"/>
      <protection locked="true" hidden="false"/>
    </xf>
    <xf numFmtId="165" fontId="13" fillId="6" borderId="1" xfId="0" applyFont="true" applyBorder="true" applyAlignment="true" applyProtection="false">
      <alignment horizontal="center" vertical="center" textRotation="0" wrapText="false" indent="0" shrinkToFit="false"/>
      <protection locked="true" hidden="false"/>
    </xf>
    <xf numFmtId="165" fontId="14" fillId="6" borderId="1" xfId="0" applyFont="true" applyBorder="true" applyAlignment="true" applyProtection="false">
      <alignment horizontal="center" vertical="center" textRotation="0" wrapText="false" indent="0" shrinkToFit="false"/>
      <protection locked="true" hidden="false"/>
    </xf>
    <xf numFmtId="164" fontId="32" fillId="0" borderId="0" xfId="0" applyFont="true" applyBorder="false" applyAlignment="true" applyProtection="false">
      <alignment horizontal="left" vertical="center" textRotation="0" wrapText="false" indent="0" shrinkToFit="false"/>
      <protection locked="true" hidden="false"/>
    </xf>
    <xf numFmtId="164" fontId="23" fillId="0" borderId="0" xfId="0" applyFont="true" applyBorder="false" applyAlignment="true" applyProtection="false">
      <alignment horizontal="left" vertical="center" textRotation="0" wrapText="false" indent="0" shrinkToFit="false"/>
      <protection locked="true" hidden="false"/>
    </xf>
    <xf numFmtId="175" fontId="33" fillId="0" borderId="0" xfId="0" applyFont="true" applyBorder="false" applyAlignment="false" applyProtection="false">
      <alignment horizontal="general" vertical="bottom" textRotation="0" wrapText="false" indent="0" shrinkToFit="false"/>
      <protection locked="true" hidden="false"/>
    </xf>
    <xf numFmtId="170" fontId="30" fillId="0" borderId="0" xfId="0" applyFont="true" applyBorder="false" applyAlignment="false" applyProtection="false">
      <alignment horizontal="general" vertical="bottom" textRotation="0" wrapText="false" indent="0" shrinkToFit="false"/>
      <protection locked="true" hidden="false"/>
    </xf>
    <xf numFmtId="164" fontId="9" fillId="4" borderId="1" xfId="0" applyFont="true" applyBorder="true" applyAlignment="true" applyProtection="false">
      <alignment horizontal="center" vertical="center" textRotation="0" wrapText="false" indent="0" shrinkToFit="false"/>
      <protection locked="true" hidden="false"/>
    </xf>
    <xf numFmtId="164" fontId="9" fillId="7" borderId="1" xfId="0" applyFont="true" applyBorder="true" applyAlignment="true" applyProtection="false">
      <alignment horizontal="left" vertical="center" textRotation="0" wrapText="false" indent="0" shrinkToFit="false"/>
      <protection locked="true" hidden="false"/>
    </xf>
    <xf numFmtId="164" fontId="11" fillId="8" borderId="1" xfId="0" applyFont="true" applyBorder="true" applyAlignment="true" applyProtection="false">
      <alignment horizontal="left" vertical="center" textRotation="0" wrapText="false" indent="0" shrinkToFit="false"/>
      <protection locked="true" hidden="false"/>
    </xf>
    <xf numFmtId="164" fontId="12" fillId="9" borderId="1" xfId="0" applyFont="true" applyBorder="true" applyAlignment="true" applyProtection="false">
      <alignment horizontal="left" vertical="center" textRotation="0" wrapText="false" indent="0" shrinkToFit="false"/>
      <protection locked="true" hidden="false"/>
    </xf>
    <xf numFmtId="164" fontId="8" fillId="10" borderId="1" xfId="0" applyFont="true" applyBorder="true" applyAlignment="true" applyProtection="false">
      <alignment horizontal="left" vertical="center" textRotation="0" wrapText="false" indent="0" shrinkToFit="false"/>
      <protection locked="true" hidden="false"/>
    </xf>
    <xf numFmtId="164" fontId="13" fillId="11" borderId="1" xfId="0" applyFont="true" applyBorder="true" applyAlignment="true" applyProtection="false">
      <alignment horizontal="left" vertical="center" textRotation="0" wrapText="false" indent="0" shrinkToFit="false"/>
      <protection locked="true" hidden="false"/>
    </xf>
    <xf numFmtId="164" fontId="14" fillId="12" borderId="1" xfId="0" applyFont="true" applyBorder="true" applyAlignment="true" applyProtection="false">
      <alignment horizontal="left" vertical="center" textRotation="0" wrapText="false" indent="0" shrinkToFit="false"/>
      <protection locked="true" hidden="false"/>
    </xf>
    <xf numFmtId="164" fontId="34" fillId="0" borderId="1" xfId="0" applyFont="true" applyBorder="true" applyAlignment="true" applyProtection="false">
      <alignment horizontal="left" vertical="center" textRotation="0" wrapText="false" indent="0" shrinkToFit="false"/>
      <protection locked="true" hidden="false"/>
    </xf>
    <xf numFmtId="164" fontId="35" fillId="2" borderId="0" xfId="0" applyFont="true" applyBorder="false" applyAlignment="true" applyProtection="false">
      <alignment horizontal="left" vertical="center" textRotation="0" wrapText="false" indent="0" shrinkToFit="false"/>
      <protection locked="true" hidden="false"/>
    </xf>
    <xf numFmtId="164" fontId="6" fillId="3" borderId="0" xfId="0" applyFont="true" applyBorder="false" applyAlignment="true" applyProtection="false">
      <alignment horizontal="left" vertical="center" textRotation="0" wrapText="false" indent="0" shrinkToFit="false"/>
      <protection locked="true" hidden="false"/>
    </xf>
    <xf numFmtId="164" fontId="10" fillId="0" borderId="0" xfId="0" applyFont="true" applyBorder="false" applyAlignment="true" applyProtection="false">
      <alignment horizontal="left" vertical="top" textRotation="0" wrapText="true" indent="0" shrinkToFit="false"/>
      <protection locked="true" hidden="false"/>
    </xf>
    <xf numFmtId="164" fontId="36" fillId="0" borderId="0" xfId="0" applyFont="true" applyBorder="false" applyAlignment="true" applyProtection="false">
      <alignment horizontal="left" vertical="top"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8">
    <dxf>
      <font>
        <name val="Arial"/>
        <charset val="1"/>
        <family val="0"/>
        <b val="1"/>
        <color rgb="FF006100"/>
      </font>
      <fill>
        <patternFill>
          <bgColor rgb="FFC6EFCE"/>
        </patternFill>
      </fill>
    </dxf>
    <dxf>
      <font>
        <name val="Arial"/>
        <charset val="1"/>
        <family val="0"/>
        <b val="1"/>
        <color rgb="FFC0392B"/>
      </font>
      <fill>
        <patternFill>
          <bgColor rgb="FFFBD9D5"/>
        </patternFill>
      </fill>
    </dxf>
    <dxf>
      <font>
        <name val="Arial"/>
        <charset val="1"/>
        <family val="0"/>
        <b val="1"/>
        <color rgb="FF1F4E79"/>
      </font>
      <fill>
        <patternFill>
          <bgColor rgb="FFD6E4FF"/>
        </patternFill>
      </fill>
    </dxf>
    <dxf>
      <font>
        <name val="Arial"/>
        <charset val="1"/>
        <family val="0"/>
        <b val="1"/>
        <color rgb="FF9C6500"/>
      </font>
      <fill>
        <patternFill>
          <bgColor rgb="FFFFE699"/>
        </patternFill>
      </fill>
    </dxf>
    <dxf>
      <font>
        <name val="Arial"/>
        <charset val="1"/>
        <family val="0"/>
        <b val="1"/>
        <color rgb="FF000000"/>
      </font>
      <fill>
        <patternFill>
          <bgColor rgb="FFD0CECE"/>
        </patternFill>
      </fill>
    </dxf>
    <dxf>
      <font>
        <name val="Arial"/>
        <charset val="1"/>
        <family val="0"/>
        <b val="1"/>
        <color rgb="FF6A1B9A"/>
      </font>
      <fill>
        <patternFill>
          <bgColor rgb="FFE7D6F2"/>
        </patternFill>
      </fill>
    </dxf>
    <dxf>
      <font>
        <name val="Arial"/>
        <charset val="1"/>
        <family val="0"/>
        <b val="1"/>
        <color rgb="FF0E6E6E"/>
      </font>
      <fill>
        <patternFill>
          <bgColor rgb="FFCDE9E9"/>
        </patternFill>
      </fill>
    </dxf>
    <dxf>
      <font>
        <name val="Arial"/>
        <charset val="1"/>
        <family val="0"/>
        <b val="1"/>
        <color rgb="FF9C6500"/>
      </font>
      <fill>
        <patternFill>
          <bgColor rgb="FFFFF2CC"/>
        </patternFill>
      </fill>
    </dxf>
  </dxfs>
  <colors>
    <indexedColors>
      <rgbColor rgb="FF000000"/>
      <rgbColor rgb="FFFFFFFF"/>
      <rgbColor rgb="FFFF0000"/>
      <rgbColor rgb="FF00FF00"/>
      <rgbColor rgb="FF0000FF"/>
      <rgbColor rgb="FFFFFF00"/>
      <rgbColor rgb="FFFF00FF"/>
      <rgbColor rgb="FF00FFFF"/>
      <rgbColor rgb="FF800000"/>
      <rgbColor rgb="FF006100"/>
      <rgbColor rgb="FF000080"/>
      <rgbColor rgb="FF9C6500"/>
      <rgbColor rgb="FF6A1B9A"/>
      <rgbColor rgb="FF0E6E6E"/>
      <rgbColor rgb="FFBFBFBF"/>
      <rgbColor rgb="FF808080"/>
      <rgbColor rgb="FF9999FF"/>
      <rgbColor rgb="FF993366"/>
      <rgbColor rgb="FFFFF2CC"/>
      <rgbColor rgb="FFCDE9E9"/>
      <rgbColor rgb="FF660066"/>
      <rgbColor rgb="FFFF8080"/>
      <rgbColor rgb="FF1F4E79"/>
      <rgbColor rgb="FFD0CECE"/>
      <rgbColor rgb="FF000080"/>
      <rgbColor rgb="FFFF00FF"/>
      <rgbColor rgb="FFFFFF00"/>
      <rgbColor rgb="FF00FFFF"/>
      <rgbColor rgb="FF800080"/>
      <rgbColor rgb="FF800000"/>
      <rgbColor rgb="FF008080"/>
      <rgbColor rgb="FF0000FF"/>
      <rgbColor rgb="FF00CCFF"/>
      <rgbColor rgb="FFEEF3FA"/>
      <rgbColor rgb="FFC6EFCE"/>
      <rgbColor rgb="FFFFE699"/>
      <rgbColor rgb="FFD6E4FF"/>
      <rgbColor rgb="FFF2F2F2"/>
      <rgbColor rgb="FFE7D6F2"/>
      <rgbColor rgb="FFFBD9D5"/>
      <rgbColor rgb="FF3366FF"/>
      <rgbColor rgb="FF33CCCC"/>
      <rgbColor rgb="FF99CC00"/>
      <rgbColor rgb="FFFFCC00"/>
      <rgbColor rgb="FFFF9900"/>
      <rgbColor rgb="FFFF6600"/>
      <rgbColor rgb="FF666699"/>
      <rgbColor rgb="FF969696"/>
      <rgbColor rgb="FF1F3864"/>
      <rgbColor rgb="FF339966"/>
      <rgbColor rgb="FF003300"/>
      <rgbColor rgb="FF333300"/>
      <rgbColor rgb="FFC0392B"/>
      <rgbColor rgb="FF993366"/>
      <rgbColor rgb="FF305496"/>
      <rgbColor rgb="FF1F1F1F"/>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AB47"/>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4" ySplit="4" topLeftCell="E5" activePane="bottomRight" state="frozen"/>
      <selection pane="topLeft" activeCell="A1" activeCellId="0" sqref="A1"/>
      <selection pane="topRight" activeCell="E1" activeCellId="0" sqref="E1"/>
      <selection pane="bottomLeft" activeCell="A5" activeCellId="0" sqref="A5"/>
      <selection pane="bottomRigh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24"/>
    <col collapsed="false" customWidth="true" hidden="false" outlineLevel="0" max="3" min="3" style="0" width="17"/>
    <col collapsed="false" customWidth="true" hidden="false" outlineLevel="0" max="4" min="4" style="0" width="8"/>
    <col collapsed="false" customWidth="true" hidden="false" outlineLevel="0" max="5" min="5" style="0" width="16"/>
    <col collapsed="false" customWidth="true" hidden="false" outlineLevel="0" max="6" min="6" style="0" width="11"/>
    <col collapsed="false" customWidth="true" hidden="false" outlineLevel="0" max="7" min="7" style="0" width="7"/>
    <col collapsed="false" customWidth="true" hidden="false" outlineLevel="0" max="8" min="8" style="0" width="11"/>
    <col collapsed="false" customWidth="true" hidden="false" outlineLevel="0" max="9" min="9" style="0" width="6"/>
    <col collapsed="false" customWidth="true" hidden="false" outlineLevel="0" max="21" min="10" style="0" width="5"/>
    <col collapsed="false" customWidth="true" hidden="false" outlineLevel="0" max="22" min="22" style="0" width="14"/>
    <col collapsed="false" customWidth="true" hidden="false" outlineLevel="0" max="28" min="23" style="0" width="11"/>
  </cols>
  <sheetData>
    <row r="1" customFormat="false" ht="33.75" hidden="false" customHeight="true" outlineLevel="0" collapsed="false">
      <c r="B1" s="1" t="s">
        <v>0</v>
      </c>
      <c r="C1" s="1"/>
      <c r="D1" s="1"/>
      <c r="E1" s="1"/>
      <c r="F1" s="1"/>
      <c r="G1" s="1"/>
      <c r="H1" s="1"/>
      <c r="I1" s="1"/>
      <c r="J1" s="1"/>
      <c r="K1" s="1"/>
      <c r="L1" s="1"/>
      <c r="M1" s="1"/>
      <c r="N1" s="1"/>
      <c r="O1" s="1"/>
      <c r="P1" s="1"/>
      <c r="Q1" s="1"/>
      <c r="R1" s="1"/>
      <c r="S1" s="1"/>
      <c r="T1" s="1"/>
      <c r="U1" s="1"/>
      <c r="V1" s="1"/>
      <c r="W1" s="1"/>
      <c r="X1" s="1"/>
      <c r="Y1" s="1"/>
      <c r="Z1" s="1"/>
      <c r="AA1" s="1"/>
      <c r="AB1" s="1"/>
    </row>
    <row r="2" customFormat="false" ht="18" hidden="false" customHeight="true" outlineLevel="0" collapsed="false">
      <c r="B2" s="2" t="s">
        <v>1</v>
      </c>
      <c r="C2" s="2"/>
      <c r="D2" s="2"/>
      <c r="E2" s="2"/>
      <c r="F2" s="2"/>
      <c r="G2" s="2"/>
      <c r="H2" s="2"/>
      <c r="I2" s="2"/>
      <c r="J2" s="2"/>
      <c r="K2" s="2"/>
      <c r="L2" s="2"/>
      <c r="M2" s="2"/>
      <c r="N2" s="2"/>
      <c r="O2" s="2"/>
      <c r="P2" s="2"/>
      <c r="Q2" s="2"/>
      <c r="R2" s="2"/>
      <c r="S2" s="2"/>
      <c r="T2" s="2"/>
      <c r="U2" s="2"/>
      <c r="V2" s="2"/>
      <c r="W2" s="2"/>
      <c r="X2" s="2"/>
      <c r="Y2" s="2"/>
      <c r="Z2" s="2"/>
      <c r="AA2" s="2"/>
      <c r="AB2" s="2"/>
    </row>
    <row r="4" customFormat="false" ht="30" hidden="false" customHeight="true" outlineLevel="0" collapsed="false">
      <c r="B4" s="3" t="s">
        <v>2</v>
      </c>
      <c r="C4" s="3"/>
      <c r="D4" s="4" t="s">
        <v>3</v>
      </c>
      <c r="E4" s="5" t="s">
        <v>4</v>
      </c>
      <c r="F4" s="5" t="s">
        <v>5</v>
      </c>
      <c r="G4" s="5" t="s">
        <v>6</v>
      </c>
      <c r="H4" s="5" t="s">
        <v>7</v>
      </c>
      <c r="I4" s="5" t="s">
        <v>8</v>
      </c>
      <c r="J4" s="5" t="s">
        <v>9</v>
      </c>
      <c r="K4" s="5" t="s">
        <v>10</v>
      </c>
      <c r="L4" s="5" t="s">
        <v>11</v>
      </c>
      <c r="M4" s="5" t="s">
        <v>12</v>
      </c>
      <c r="N4" s="5" t="s">
        <v>13</v>
      </c>
      <c r="O4" s="5" t="s">
        <v>14</v>
      </c>
      <c r="P4" s="5" t="s">
        <v>15</v>
      </c>
      <c r="Q4" s="5" t="s">
        <v>16</v>
      </c>
      <c r="R4" s="5" t="s">
        <v>17</v>
      </c>
      <c r="S4" s="5" t="s">
        <v>18</v>
      </c>
      <c r="T4" s="5" t="s">
        <v>19</v>
      </c>
      <c r="U4" s="5" t="s">
        <v>20</v>
      </c>
      <c r="V4" s="5" t="s">
        <v>21</v>
      </c>
      <c r="W4" s="5" t="s">
        <v>22</v>
      </c>
      <c r="X4" s="5" t="s">
        <v>23</v>
      </c>
      <c r="Y4" s="5" t="s">
        <v>24</v>
      </c>
      <c r="Z4" s="5" t="s">
        <v>25</v>
      </c>
      <c r="AA4" s="5" t="s">
        <v>26</v>
      </c>
      <c r="AB4" s="5" t="s">
        <v>27</v>
      </c>
    </row>
    <row r="5" customFormat="false" ht="15" hidden="false" customHeight="false" outlineLevel="0" collapsed="false">
      <c r="B5" s="6" t="s">
        <v>28</v>
      </c>
      <c r="C5" s="7" t="s">
        <v>29</v>
      </c>
      <c r="D5" s="8" t="n">
        <v>1</v>
      </c>
      <c r="E5" s="9" t="s">
        <v>30</v>
      </c>
      <c r="F5" s="10" t="n">
        <v>35282524</v>
      </c>
      <c r="G5" s="11" t="n">
        <f aca="false">Model!AA5</f>
        <v>0.631650140394646</v>
      </c>
      <c r="H5" s="10" t="n">
        <f aca="false">ROUND(F5*G5,0)</f>
        <v>22286211</v>
      </c>
      <c r="I5" s="12" t="n">
        <v>76</v>
      </c>
      <c r="J5" s="13" t="n">
        <f aca="false">Model!BX5</f>
        <v>0.20489230969394</v>
      </c>
      <c r="K5" s="14" t="n">
        <f aca="false">Model!BY5</f>
        <v>0.373876065937208</v>
      </c>
      <c r="L5" s="15" t="n">
        <f aca="false">Model!BZ5</f>
        <v>0.195111918921755</v>
      </c>
      <c r="M5" s="16" t="n">
        <f aca="false">Model!CA5</f>
        <v>0.149466954435665</v>
      </c>
      <c r="N5" s="17" t="n">
        <f aca="false">Model!CB5</f>
        <v>0.0764574766509567</v>
      </c>
      <c r="O5" s="18" t="n">
        <f aca="false">Model!CC5</f>
        <v>0.000195274360476469</v>
      </c>
      <c r="P5" s="12" t="n">
        <f aca="false">SUMPRODUCT((Engine!$B2:$BY2&lt;Engine!$CA2)*(Engine!$B$1:$BY$1&lt;=$I5))</f>
        <v>22</v>
      </c>
      <c r="Q5" s="12" t="n">
        <f aca="false">SUMPRODUCT((Engine!$B2:$BY2&gt;=Engine!$CA2)*(Engine!$B2:$BY2&lt;Engine!$CB2)*(Engine!$B$1:$BY$1&lt;=$I5))</f>
        <v>38</v>
      </c>
      <c r="R5" s="12" t="n">
        <f aca="false">SUMPRODUCT((Engine!$B2:$BY2&gt;=Engine!$CB2)*(Engine!$B2:$BY2&lt;Engine!$CC2)*(Engine!$B$1:$BY$1&lt;=$I5))</f>
        <v>8</v>
      </c>
      <c r="S5" s="12" t="n">
        <f aca="false">SUMPRODUCT((Engine!$B2:$BY2&gt;=Engine!$CC2)*(Engine!$B2:$BY2&lt;Engine!$CD2)*(Engine!$B$1:$BY$1&lt;=$I5))</f>
        <v>7</v>
      </c>
      <c r="T5" s="12" t="n">
        <f aca="false">SUMPRODUCT((Engine!$B2:$BY2&gt;=Engine!$CD2)*(Engine!$B2:$BY2&lt;Engine!$CE2)*(Engine!$B$1:$BY$1&lt;=$I5))</f>
        <v>1</v>
      </c>
      <c r="U5" s="12" t="n">
        <f aca="false">SUMPRODUCT((Engine!$B2:$BY2&gt;=Engine!$CE2)*(Engine!$B$1:$BY$1&lt;=$I5))</f>
        <v>0</v>
      </c>
      <c r="V5" s="12" t="str">
        <f aca="false">IF(COUNTIF(P5:U5,MAX(P5:U5))&gt;1,"Tie",INDEX($C$5:$C$10,MATCH(MAX(P5:U5),P5:U5,0)))</f>
        <v>Social-Democrats</v>
      </c>
      <c r="W5" s="10" t="n">
        <f aca="false">ROUND($H5*J5,0)</f>
        <v>4566273</v>
      </c>
      <c r="X5" s="10" t="n">
        <f aca="false">ROUND($H5*K5,0)</f>
        <v>8332281</v>
      </c>
      <c r="Y5" s="10" t="n">
        <f aca="false">ROUND($H5*L5,0)</f>
        <v>4348305</v>
      </c>
      <c r="Z5" s="10" t="n">
        <f aca="false">ROUND($H5*M5,0)</f>
        <v>3331052</v>
      </c>
      <c r="AA5" s="10" t="n">
        <f aca="false">ROUND($H5*N5,0)</f>
        <v>1703947</v>
      </c>
      <c r="AB5" s="10" t="n">
        <f aca="false">ROUND($H5*O5,0)</f>
        <v>4352</v>
      </c>
    </row>
    <row r="6" customFormat="false" ht="15" hidden="false" customHeight="false" outlineLevel="0" collapsed="false">
      <c r="B6" s="6" t="s">
        <v>31</v>
      </c>
      <c r="C6" s="19" t="s">
        <v>32</v>
      </c>
      <c r="D6" s="20" t="n">
        <v>1</v>
      </c>
      <c r="E6" s="21" t="s">
        <v>33</v>
      </c>
      <c r="F6" s="22" t="n">
        <v>24099464</v>
      </c>
      <c r="G6" s="11" t="n">
        <f aca="false">Model!AA6</f>
        <v>0.622874869681613</v>
      </c>
      <c r="H6" s="22" t="n">
        <f aca="false">ROUND(F6*G6,0)</f>
        <v>15010950</v>
      </c>
      <c r="I6" s="23" t="n">
        <v>53</v>
      </c>
      <c r="J6" s="13" t="n">
        <f aca="false">Model!BX6</f>
        <v>0.193793986134155</v>
      </c>
      <c r="K6" s="14" t="n">
        <f aca="false">Model!BY6</f>
        <v>0.38788452705754</v>
      </c>
      <c r="L6" s="15" t="n">
        <f aca="false">Model!BZ6</f>
        <v>0.20502045574575</v>
      </c>
      <c r="M6" s="16" t="n">
        <f aca="false">Model!CA6</f>
        <v>0.125100138337123</v>
      </c>
      <c r="N6" s="17" t="n">
        <f aca="false">Model!CB6</f>
        <v>0.0880056183649554</v>
      </c>
      <c r="O6" s="18" t="n">
        <f aca="false">Model!CC6</f>
        <v>0.000195274360476469</v>
      </c>
      <c r="P6" s="23" t="n">
        <f aca="false">SUMPRODUCT((Engine!$B3:$BY3&lt;Engine!$CA3)*(Engine!$B$1:$BY$1&lt;=$I6))</f>
        <v>15</v>
      </c>
      <c r="Q6" s="23" t="n">
        <f aca="false">SUMPRODUCT((Engine!$B3:$BY3&gt;=Engine!$CA3)*(Engine!$B3:$BY3&lt;Engine!$CB3)*(Engine!$B$1:$BY$1&lt;=$I6))</f>
        <v>31</v>
      </c>
      <c r="R6" s="23" t="n">
        <f aca="false">SUMPRODUCT((Engine!$B3:$BY3&gt;=Engine!$CB3)*(Engine!$B3:$BY3&lt;Engine!$CC3)*(Engine!$B$1:$BY$1&lt;=$I6))</f>
        <v>2</v>
      </c>
      <c r="S6" s="23" t="n">
        <f aca="false">SUMPRODUCT((Engine!$B3:$BY3&gt;=Engine!$CC3)*(Engine!$B3:$BY3&lt;Engine!$CD3)*(Engine!$B$1:$BY$1&lt;=$I6))</f>
        <v>4</v>
      </c>
      <c r="T6" s="23" t="n">
        <f aca="false">SUMPRODUCT((Engine!$B3:$BY3&gt;=Engine!$CD3)*(Engine!$B3:$BY3&lt;Engine!$CE3)*(Engine!$B$1:$BY$1&lt;=$I6))</f>
        <v>1</v>
      </c>
      <c r="U6" s="23" t="n">
        <f aca="false">SUMPRODUCT((Engine!$B3:$BY3&gt;=Engine!$CE3)*(Engine!$B$1:$BY$1&lt;=$I6))</f>
        <v>0</v>
      </c>
      <c r="V6" s="23" t="str">
        <f aca="false">IF(COUNTIF(P6:U6,MAX(P6:U6))&gt;1,"Tie",INDEX($C$5:$C$10,MATCH(MAX(P6:U6),P6:U6,0)))</f>
        <v>Social-Democrats</v>
      </c>
      <c r="W6" s="22" t="n">
        <f aca="false">ROUND($H6*J6,0)</f>
        <v>2909032</v>
      </c>
      <c r="X6" s="22" t="n">
        <f aca="false">ROUND($H6*K6,0)</f>
        <v>5822515</v>
      </c>
      <c r="Y6" s="22" t="n">
        <f aca="false">ROUND($H6*L6,0)</f>
        <v>3077552</v>
      </c>
      <c r="Z6" s="22" t="n">
        <f aca="false">ROUND($H6*M6,0)</f>
        <v>1877872</v>
      </c>
      <c r="AA6" s="22" t="n">
        <f aca="false">ROUND($H6*N6,0)</f>
        <v>1321048</v>
      </c>
      <c r="AB6" s="22" t="n">
        <f aca="false">ROUND($H6*O6,0)</f>
        <v>2931</v>
      </c>
    </row>
    <row r="7" customFormat="false" ht="15" hidden="false" customHeight="false" outlineLevel="0" collapsed="false">
      <c r="B7" s="6" t="s">
        <v>34</v>
      </c>
      <c r="C7" s="24" t="s">
        <v>35</v>
      </c>
      <c r="D7" s="25" t="n">
        <v>0.22</v>
      </c>
      <c r="E7" s="9" t="s">
        <v>36</v>
      </c>
      <c r="F7" s="10" t="n">
        <v>18030508</v>
      </c>
      <c r="G7" s="11" t="n">
        <f aca="false">Model!AA7</f>
        <v>0.627180228620882</v>
      </c>
      <c r="H7" s="10" t="n">
        <f aca="false">ROUND(F7*G7,0)</f>
        <v>11308378</v>
      </c>
      <c r="I7" s="12" t="n">
        <v>40</v>
      </c>
      <c r="J7" s="13" t="n">
        <f aca="false">Model!BX7</f>
        <v>0.222398304729308</v>
      </c>
      <c r="K7" s="14" t="n">
        <f aca="false">Model!BY7</f>
        <v>0.372969415569893</v>
      </c>
      <c r="L7" s="15" t="n">
        <f aca="false">Model!BZ7</f>
        <v>0.175047245690129</v>
      </c>
      <c r="M7" s="16" t="n">
        <f aca="false">Model!CA7</f>
        <v>0.159627865155578</v>
      </c>
      <c r="N7" s="17" t="n">
        <f aca="false">Model!CB7</f>
        <v>0.0697618944946147</v>
      </c>
      <c r="O7" s="18" t="n">
        <f aca="false">Model!CC7</f>
        <v>0.000195274360476469</v>
      </c>
      <c r="P7" s="12" t="n">
        <f aca="false">SUMPRODUCT((Engine!$B4:$BY4&lt;Engine!$CA4)*(Engine!$B$1:$BY$1&lt;=$I7))</f>
        <v>11</v>
      </c>
      <c r="Q7" s="12" t="n">
        <f aca="false">SUMPRODUCT((Engine!$B4:$BY4&gt;=Engine!$CA4)*(Engine!$B4:$BY4&lt;Engine!$CB4)*(Engine!$B$1:$BY$1&lt;=$I7))</f>
        <v>26</v>
      </c>
      <c r="R7" s="12" t="n">
        <f aca="false">SUMPRODUCT((Engine!$B4:$BY4&gt;=Engine!$CB4)*(Engine!$B4:$BY4&lt;Engine!$CC4)*(Engine!$B$1:$BY$1&lt;=$I7))</f>
        <v>0</v>
      </c>
      <c r="S7" s="12" t="n">
        <f aca="false">SUMPRODUCT((Engine!$B4:$BY4&gt;=Engine!$CC4)*(Engine!$B4:$BY4&lt;Engine!$CD4)*(Engine!$B$1:$BY$1&lt;=$I7))</f>
        <v>3</v>
      </c>
      <c r="T7" s="12" t="n">
        <f aca="false">SUMPRODUCT((Engine!$B4:$BY4&gt;=Engine!$CD4)*(Engine!$B4:$BY4&lt;Engine!$CE4)*(Engine!$B$1:$BY$1&lt;=$I7))</f>
        <v>0</v>
      </c>
      <c r="U7" s="12" t="n">
        <f aca="false">SUMPRODUCT((Engine!$B4:$BY4&gt;=Engine!$CE4)*(Engine!$B$1:$BY$1&lt;=$I7))</f>
        <v>0</v>
      </c>
      <c r="V7" s="12" t="str">
        <f aca="false">IF(COUNTIF(P7:U7,MAX(P7:U7))&gt;1,"Tie",INDEX($C$5:$C$10,MATCH(MAX(P7:U7),P7:U7,0)))</f>
        <v>Social-Democrats</v>
      </c>
      <c r="W7" s="10" t="n">
        <f aca="false">ROUND($H7*J7,0)</f>
        <v>2514964</v>
      </c>
      <c r="X7" s="10" t="n">
        <f aca="false">ROUND($H7*K7,0)</f>
        <v>4217679</v>
      </c>
      <c r="Y7" s="10" t="n">
        <f aca="false">ROUND($H7*L7,0)</f>
        <v>1979500</v>
      </c>
      <c r="Z7" s="10" t="n">
        <f aca="false">ROUND($H7*M7,0)</f>
        <v>1805132</v>
      </c>
      <c r="AA7" s="10" t="n">
        <f aca="false">ROUND($H7*N7,0)</f>
        <v>788894</v>
      </c>
      <c r="AB7" s="10" t="n">
        <f aca="false">ROUND($H7*O7,0)</f>
        <v>2208</v>
      </c>
    </row>
    <row r="8" customFormat="false" ht="15" hidden="false" customHeight="false" outlineLevel="0" collapsed="false">
      <c r="B8" s="6" t="s">
        <v>37</v>
      </c>
      <c r="C8" s="26" t="s">
        <v>38</v>
      </c>
      <c r="D8" s="27" t="n">
        <v>0.22</v>
      </c>
      <c r="E8" s="21" t="s">
        <v>39</v>
      </c>
      <c r="F8" s="22" t="n">
        <v>14700243</v>
      </c>
      <c r="G8" s="11" t="n">
        <f aca="false">Model!AA8</f>
        <v>0.630967267470641</v>
      </c>
      <c r="H8" s="22" t="n">
        <f aca="false">ROUND(F8*G8,0)</f>
        <v>9275372</v>
      </c>
      <c r="I8" s="23" t="n">
        <v>33</v>
      </c>
      <c r="J8" s="13" t="n">
        <f aca="false">Model!BX8</f>
        <v>0.196463357811047</v>
      </c>
      <c r="K8" s="14" t="n">
        <f aca="false">Model!BY8</f>
        <v>0.399220761327752</v>
      </c>
      <c r="L8" s="15" t="n">
        <f aca="false">Model!BZ8</f>
        <v>0.188951946639188</v>
      </c>
      <c r="M8" s="16" t="n">
        <f aca="false">Model!CA8</f>
        <v>0.143705568013747</v>
      </c>
      <c r="N8" s="17" t="n">
        <f aca="false">Model!CB8</f>
        <v>0.07146309184779</v>
      </c>
      <c r="O8" s="18" t="n">
        <f aca="false">Model!CC8</f>
        <v>0.000195274360476469</v>
      </c>
      <c r="P8" s="23" t="n">
        <f aca="false">SUMPRODUCT((Engine!$B5:$BY5&lt;Engine!$CA5)*(Engine!$B$1:$BY$1&lt;=$I8))</f>
        <v>10</v>
      </c>
      <c r="Q8" s="23" t="n">
        <f aca="false">SUMPRODUCT((Engine!$B5:$BY5&gt;=Engine!$CA5)*(Engine!$B5:$BY5&lt;Engine!$CB5)*(Engine!$B$1:$BY$1&lt;=$I8))</f>
        <v>20</v>
      </c>
      <c r="R8" s="23" t="n">
        <f aca="false">SUMPRODUCT((Engine!$B5:$BY5&gt;=Engine!$CB5)*(Engine!$B5:$BY5&lt;Engine!$CC5)*(Engine!$B$1:$BY$1&lt;=$I8))</f>
        <v>2</v>
      </c>
      <c r="S8" s="23" t="n">
        <f aca="false">SUMPRODUCT((Engine!$B5:$BY5&gt;=Engine!$CC5)*(Engine!$B5:$BY5&lt;Engine!$CD5)*(Engine!$B$1:$BY$1&lt;=$I8))</f>
        <v>1</v>
      </c>
      <c r="T8" s="23" t="n">
        <f aca="false">SUMPRODUCT((Engine!$B5:$BY5&gt;=Engine!$CD5)*(Engine!$B5:$BY5&lt;Engine!$CE5)*(Engine!$B$1:$BY$1&lt;=$I8))</f>
        <v>0</v>
      </c>
      <c r="U8" s="23" t="n">
        <f aca="false">SUMPRODUCT((Engine!$B5:$BY5&gt;=Engine!$CE5)*(Engine!$B$1:$BY$1&lt;=$I8))</f>
        <v>0</v>
      </c>
      <c r="V8" s="23" t="str">
        <f aca="false">IF(COUNTIF(P8:U8,MAX(P8:U8))&gt;1,"Tie",INDEX($C$5:$C$10,MATCH(MAX(P8:U8),P8:U8,0)))</f>
        <v>Social-Democrats</v>
      </c>
      <c r="W8" s="22" t="n">
        <f aca="false">ROUND($H8*J8,0)</f>
        <v>1822271</v>
      </c>
      <c r="X8" s="22" t="n">
        <f aca="false">ROUND($H8*K8,0)</f>
        <v>3702921</v>
      </c>
      <c r="Y8" s="22" t="n">
        <f aca="false">ROUND($H8*L8,0)</f>
        <v>1752600</v>
      </c>
      <c r="Z8" s="22" t="n">
        <f aca="false">ROUND($H8*M8,0)</f>
        <v>1332923</v>
      </c>
      <c r="AA8" s="22" t="n">
        <f aca="false">ROUND($H8*N8,0)</f>
        <v>662847</v>
      </c>
      <c r="AB8" s="22" t="n">
        <f aca="false">ROUND($H8*O8,0)</f>
        <v>1811</v>
      </c>
    </row>
    <row r="9" customFormat="false" ht="15" hidden="false" customHeight="false" outlineLevel="0" collapsed="false">
      <c r="B9" s="6" t="s">
        <v>40</v>
      </c>
      <c r="C9" s="28" t="s">
        <v>41</v>
      </c>
      <c r="D9" s="29" t="n">
        <v>0.045</v>
      </c>
      <c r="E9" s="9" t="s">
        <v>42</v>
      </c>
      <c r="F9" s="10" t="n">
        <v>11879447</v>
      </c>
      <c r="G9" s="11" t="n">
        <f aca="false">Model!AA9</f>
        <v>0.619718743186112</v>
      </c>
      <c r="H9" s="10" t="n">
        <f aca="false">ROUND(F9*G9,0)</f>
        <v>7361916</v>
      </c>
      <c r="I9" s="12" t="n">
        <v>27</v>
      </c>
      <c r="J9" s="13" t="n">
        <f aca="false">Model!BX9</f>
        <v>0.302057048194327</v>
      </c>
      <c r="K9" s="14" t="n">
        <f aca="false">Model!BY9</f>
        <v>0.244760723354178</v>
      </c>
      <c r="L9" s="15" t="n">
        <f aca="false">Model!BZ9</f>
        <v>0.111322583653644</v>
      </c>
      <c r="M9" s="16" t="n">
        <f aca="false">Model!CA9</f>
        <v>0.26452434024868</v>
      </c>
      <c r="N9" s="17" t="n">
        <f aca="false">Model!CB9</f>
        <v>0.0771400301886945</v>
      </c>
      <c r="O9" s="18" t="n">
        <f aca="false">Model!CC9</f>
        <v>0.000195274360476469</v>
      </c>
      <c r="P9" s="12" t="n">
        <f aca="false">SUMPRODUCT((Engine!$B6:$BY6&lt;Engine!$CA6)*(Engine!$B$1:$BY$1&lt;=$I9))</f>
        <v>13</v>
      </c>
      <c r="Q9" s="12" t="n">
        <f aca="false">SUMPRODUCT((Engine!$B6:$BY6&gt;=Engine!$CA6)*(Engine!$B6:$BY6&lt;Engine!$CB6)*(Engine!$B$1:$BY$1&lt;=$I9))</f>
        <v>10</v>
      </c>
      <c r="R9" s="12" t="n">
        <f aca="false">SUMPRODUCT((Engine!$B6:$BY6&gt;=Engine!$CB6)*(Engine!$B6:$BY6&lt;Engine!$CC6)*(Engine!$B$1:$BY$1&lt;=$I9))</f>
        <v>0</v>
      </c>
      <c r="S9" s="12" t="n">
        <f aca="false">SUMPRODUCT((Engine!$B6:$BY6&gt;=Engine!$CC6)*(Engine!$B6:$BY6&lt;Engine!$CD6)*(Engine!$B$1:$BY$1&lt;=$I9))</f>
        <v>4</v>
      </c>
      <c r="T9" s="12" t="n">
        <f aca="false">SUMPRODUCT((Engine!$B6:$BY6&gt;=Engine!$CD6)*(Engine!$B6:$BY6&lt;Engine!$CE6)*(Engine!$B$1:$BY$1&lt;=$I9))</f>
        <v>0</v>
      </c>
      <c r="U9" s="12" t="n">
        <f aca="false">SUMPRODUCT((Engine!$B6:$BY6&gt;=Engine!$CE6)*(Engine!$B$1:$BY$1&lt;=$I9))</f>
        <v>0</v>
      </c>
      <c r="V9" s="12" t="str">
        <f aca="false">IF(COUNTIF(P9:U9,MAX(P9:U9))&gt;1,"Tie",INDEX($C$5:$C$10,MATCH(MAX(P9:U9),P9:U9,0)))</f>
        <v>Conservatives</v>
      </c>
      <c r="W9" s="10" t="n">
        <f aca="false">ROUND($H9*J9,0)</f>
        <v>2223719</v>
      </c>
      <c r="X9" s="10" t="n">
        <f aca="false">ROUND($H9*K9,0)</f>
        <v>1801908</v>
      </c>
      <c r="Y9" s="10" t="n">
        <f aca="false">ROUND($H9*L9,0)</f>
        <v>819548</v>
      </c>
      <c r="Z9" s="10" t="n">
        <f aca="false">ROUND($H9*M9,0)</f>
        <v>1947406</v>
      </c>
      <c r="AA9" s="10" t="n">
        <f aca="false">ROUND($H9*N9,0)</f>
        <v>567898</v>
      </c>
      <c r="AB9" s="10" t="n">
        <f aca="false">ROUND($H9*O9,0)</f>
        <v>1438</v>
      </c>
    </row>
    <row r="10" customFormat="false" ht="15" hidden="false" customHeight="false" outlineLevel="0" collapsed="false">
      <c r="B10" s="6" t="s">
        <v>43</v>
      </c>
      <c r="C10" s="30" t="s">
        <v>44</v>
      </c>
      <c r="D10" s="31" t="n">
        <v>1</v>
      </c>
      <c r="E10" s="21" t="s">
        <v>45</v>
      </c>
      <c r="F10" s="22" t="n">
        <v>11895832</v>
      </c>
      <c r="G10" s="11" t="n">
        <f aca="false">Model!AA10</f>
        <v>0.625599993093486</v>
      </c>
      <c r="H10" s="22" t="n">
        <f aca="false">ROUND(F10*G10,0)</f>
        <v>7442032</v>
      </c>
      <c r="I10" s="23" t="n">
        <v>27</v>
      </c>
      <c r="J10" s="13" t="n">
        <f aca="false">Model!BX10</f>
        <v>0.279516276284005</v>
      </c>
      <c r="K10" s="14" t="n">
        <f aca="false">Model!BY10</f>
        <v>0.276998103861594</v>
      </c>
      <c r="L10" s="15" t="n">
        <f aca="false">Model!BZ10</f>
        <v>0.129628580552851</v>
      </c>
      <c r="M10" s="16" t="n">
        <f aca="false">Model!CA10</f>
        <v>0.237241088478183</v>
      </c>
      <c r="N10" s="17" t="n">
        <f aca="false">Model!CB10</f>
        <v>0.0764206764628897</v>
      </c>
      <c r="O10" s="18" t="n">
        <f aca="false">Model!CC10</f>
        <v>0.000195274360476469</v>
      </c>
      <c r="P10" s="23" t="n">
        <f aca="false">SUMPRODUCT((Engine!$B7:$BY7&lt;Engine!$CA7)*(Engine!$B$1:$BY$1&lt;=$I10))</f>
        <v>10</v>
      </c>
      <c r="Q10" s="23" t="n">
        <f aca="false">SUMPRODUCT((Engine!$B7:$BY7&gt;=Engine!$CA7)*(Engine!$B7:$BY7&lt;Engine!$CB7)*(Engine!$B$1:$BY$1&lt;=$I10))</f>
        <v>12</v>
      </c>
      <c r="R10" s="23" t="n">
        <f aca="false">SUMPRODUCT((Engine!$B7:$BY7&gt;=Engine!$CB7)*(Engine!$B7:$BY7&lt;Engine!$CC7)*(Engine!$B$1:$BY$1&lt;=$I10))</f>
        <v>1</v>
      </c>
      <c r="S10" s="23" t="n">
        <f aca="false">SUMPRODUCT((Engine!$B7:$BY7&gt;=Engine!$CC7)*(Engine!$B7:$BY7&lt;Engine!$CD7)*(Engine!$B$1:$BY$1&lt;=$I10))</f>
        <v>4</v>
      </c>
      <c r="T10" s="23" t="n">
        <f aca="false">SUMPRODUCT((Engine!$B7:$BY7&gt;=Engine!$CD7)*(Engine!$B7:$BY7&lt;Engine!$CE7)*(Engine!$B$1:$BY$1&lt;=$I10))</f>
        <v>0</v>
      </c>
      <c r="U10" s="23" t="n">
        <f aca="false">SUMPRODUCT((Engine!$B7:$BY7&gt;=Engine!$CE7)*(Engine!$B$1:$BY$1&lt;=$I10))</f>
        <v>0</v>
      </c>
      <c r="V10" s="23" t="str">
        <f aca="false">IF(COUNTIF(P10:U10,MAX(P10:U10))&gt;1,"Tie",INDEX($C$5:$C$10,MATCH(MAX(P10:U10),P10:U10,0)))</f>
        <v>Social-Democrats</v>
      </c>
      <c r="W10" s="22" t="n">
        <f aca="false">ROUND($H10*J10,0)</f>
        <v>2080169</v>
      </c>
      <c r="X10" s="22" t="n">
        <f aca="false">ROUND($H10*K10,0)</f>
        <v>2061429</v>
      </c>
      <c r="Y10" s="22" t="n">
        <f aca="false">ROUND($H10*L10,0)</f>
        <v>964700</v>
      </c>
      <c r="Z10" s="22" t="n">
        <f aca="false">ROUND($H10*M10,0)</f>
        <v>1765556</v>
      </c>
      <c r="AA10" s="22" t="n">
        <f aca="false">ROUND($H10*N10,0)</f>
        <v>568725</v>
      </c>
      <c r="AB10" s="22" t="n">
        <f aca="false">ROUND($H10*O10,0)</f>
        <v>1453</v>
      </c>
    </row>
    <row r="11" customFormat="false" ht="15" hidden="false" customHeight="false" outlineLevel="0" collapsed="false">
      <c r="E11" s="9" t="s">
        <v>46</v>
      </c>
      <c r="F11" s="10" t="n">
        <v>10788990</v>
      </c>
      <c r="G11" s="11" t="n">
        <f aca="false">Model!AA11</f>
        <v>0.598069390921743</v>
      </c>
      <c r="H11" s="10" t="n">
        <f aca="false">ROUND(F11*G11,0)</f>
        <v>6452565</v>
      </c>
      <c r="I11" s="12" t="n">
        <v>25</v>
      </c>
      <c r="J11" s="13" t="n">
        <f aca="false">Model!BX11</f>
        <v>0.229605992722162</v>
      </c>
      <c r="K11" s="14" t="n">
        <f aca="false">Model!BY11</f>
        <v>0.332912727918065</v>
      </c>
      <c r="L11" s="15" t="n">
        <f aca="false">Model!BZ11</f>
        <v>0.152831060550069</v>
      </c>
      <c r="M11" s="16" t="n">
        <f aca="false">Model!CA11</f>
        <v>0.208583364468148</v>
      </c>
      <c r="N11" s="17" t="n">
        <f aca="false">Model!CB11</f>
        <v>0.0758715799810802</v>
      </c>
      <c r="O11" s="18" t="n">
        <f aca="false">Model!CC11</f>
        <v>0.000195274360476469</v>
      </c>
      <c r="P11" s="12" t="n">
        <f aca="false">SUMPRODUCT((Engine!$B8:$BY8&lt;Engine!$CA8)*(Engine!$B$1:$BY$1&lt;=$I11))</f>
        <v>9</v>
      </c>
      <c r="Q11" s="12" t="n">
        <f aca="false">SUMPRODUCT((Engine!$B8:$BY8&gt;=Engine!$CA8)*(Engine!$B8:$BY8&lt;Engine!$CB8)*(Engine!$B$1:$BY$1&lt;=$I11))</f>
        <v>13</v>
      </c>
      <c r="R11" s="12" t="n">
        <f aca="false">SUMPRODUCT((Engine!$B8:$BY8&gt;=Engine!$CB8)*(Engine!$B8:$BY8&lt;Engine!$CC8)*(Engine!$B$1:$BY$1&lt;=$I11))</f>
        <v>1</v>
      </c>
      <c r="S11" s="12" t="n">
        <f aca="false">SUMPRODUCT((Engine!$B8:$BY8&gt;=Engine!$CC8)*(Engine!$B8:$BY8&lt;Engine!$CD8)*(Engine!$B$1:$BY$1&lt;=$I11))</f>
        <v>2</v>
      </c>
      <c r="T11" s="12" t="n">
        <f aca="false">SUMPRODUCT((Engine!$B8:$BY8&gt;=Engine!$CD8)*(Engine!$B8:$BY8&lt;Engine!$CE8)*(Engine!$B$1:$BY$1&lt;=$I11))</f>
        <v>0</v>
      </c>
      <c r="U11" s="12" t="n">
        <f aca="false">SUMPRODUCT((Engine!$B8:$BY8&gt;=Engine!$CE8)*(Engine!$B$1:$BY$1&lt;=$I11))</f>
        <v>0</v>
      </c>
      <c r="V11" s="12" t="str">
        <f aca="false">IF(COUNTIF(P11:U11,MAX(P11:U11))&gt;1,"Tie",INDEX($C$5:$C$10,MATCH(MAX(P11:U11),P11:U11,0)))</f>
        <v>Social-Democrats</v>
      </c>
      <c r="W11" s="10" t="n">
        <f aca="false">ROUND($H11*J11,0)</f>
        <v>1481548</v>
      </c>
      <c r="X11" s="10" t="n">
        <f aca="false">ROUND($H11*K11,0)</f>
        <v>2148141</v>
      </c>
      <c r="Y11" s="10" t="n">
        <f aca="false">ROUND($H11*L11,0)</f>
        <v>986152</v>
      </c>
      <c r="Z11" s="10" t="n">
        <f aca="false">ROUND($H11*M11,0)</f>
        <v>1345898</v>
      </c>
      <c r="AA11" s="10" t="n">
        <f aca="false">ROUND($H11*N11,0)</f>
        <v>489566</v>
      </c>
      <c r="AB11" s="10" t="n">
        <f aca="false">ROUND($H11*O11,0)</f>
        <v>1260</v>
      </c>
    </row>
    <row r="12" customFormat="false" ht="15" hidden="false" customHeight="false" outlineLevel="0" collapsed="false">
      <c r="B12" s="3" t="s">
        <v>47</v>
      </c>
      <c r="C12" s="3"/>
      <c r="E12" s="21" t="s">
        <v>48</v>
      </c>
      <c r="F12" s="22" t="n">
        <v>9698552</v>
      </c>
      <c r="G12" s="11" t="n">
        <f aca="false">Model!AA12</f>
        <v>0.616210735919829</v>
      </c>
      <c r="H12" s="22" t="n">
        <f aca="false">ROUND(F12*G12,0)</f>
        <v>5976352</v>
      </c>
      <c r="I12" s="23" t="n">
        <v>22</v>
      </c>
      <c r="J12" s="13" t="n">
        <f aca="false">Model!BX12</f>
        <v>0.23081411429503</v>
      </c>
      <c r="K12" s="14" t="n">
        <f aca="false">Model!BY12</f>
        <v>0.356284474074144</v>
      </c>
      <c r="L12" s="15" t="n">
        <f aca="false">Model!BZ12</f>
        <v>0.145621876016506</v>
      </c>
      <c r="M12" s="16" t="n">
        <f aca="false">Model!CA12</f>
        <v>0.191840276240972</v>
      </c>
      <c r="N12" s="17" t="n">
        <f aca="false">Model!CB12</f>
        <v>0.0752439850128718</v>
      </c>
      <c r="O12" s="18" t="n">
        <f aca="false">Model!CC12</f>
        <v>0.000195274360476469</v>
      </c>
      <c r="P12" s="23" t="n">
        <f aca="false">SUMPRODUCT((Engine!$B9:$BY9&lt;Engine!$CA9)*(Engine!$B$1:$BY$1&lt;=$I12))</f>
        <v>6</v>
      </c>
      <c r="Q12" s="23" t="n">
        <f aca="false">SUMPRODUCT((Engine!$B9:$BY9&gt;=Engine!$CA9)*(Engine!$B9:$BY9&lt;Engine!$CB9)*(Engine!$B$1:$BY$1&lt;=$I12))</f>
        <v>12</v>
      </c>
      <c r="R12" s="23" t="n">
        <f aca="false">SUMPRODUCT((Engine!$B9:$BY9&gt;=Engine!$CB9)*(Engine!$B9:$BY9&lt;Engine!$CC9)*(Engine!$B$1:$BY$1&lt;=$I12))</f>
        <v>2</v>
      </c>
      <c r="S12" s="23" t="n">
        <f aca="false">SUMPRODUCT((Engine!$B9:$BY9&gt;=Engine!$CC9)*(Engine!$B9:$BY9&lt;Engine!$CD9)*(Engine!$B$1:$BY$1&lt;=$I12))</f>
        <v>2</v>
      </c>
      <c r="T12" s="23" t="n">
        <f aca="false">SUMPRODUCT((Engine!$B9:$BY9&gt;=Engine!$CD9)*(Engine!$B9:$BY9&lt;Engine!$CE9)*(Engine!$B$1:$BY$1&lt;=$I12))</f>
        <v>0</v>
      </c>
      <c r="U12" s="23" t="n">
        <f aca="false">SUMPRODUCT((Engine!$B9:$BY9&gt;=Engine!$CE9)*(Engine!$B$1:$BY$1&lt;=$I12))</f>
        <v>0</v>
      </c>
      <c r="V12" s="23" t="str">
        <f aca="false">IF(COUNTIF(P12:U12,MAX(P12:U12))&gt;1,"Tie",INDEX($C$5:$C$10,MATCH(MAX(P12:U12),P12:U12,0)))</f>
        <v>Social-Democrats</v>
      </c>
      <c r="W12" s="22" t="n">
        <f aca="false">ROUND($H12*J12,0)</f>
        <v>1379426</v>
      </c>
      <c r="X12" s="22" t="n">
        <f aca="false">ROUND($H12*K12,0)</f>
        <v>2129281</v>
      </c>
      <c r="Y12" s="22" t="n">
        <f aca="false">ROUND($H12*L12,0)</f>
        <v>870288</v>
      </c>
      <c r="Z12" s="22" t="n">
        <f aca="false">ROUND($H12*M12,0)</f>
        <v>1146505</v>
      </c>
      <c r="AA12" s="22" t="n">
        <f aca="false">ROUND($H12*N12,0)</f>
        <v>449685</v>
      </c>
      <c r="AB12" s="22" t="n">
        <f aca="false">ROUND($H12*O12,0)</f>
        <v>1167</v>
      </c>
    </row>
    <row r="13" customFormat="false" ht="15" hidden="false" customHeight="false" outlineLevel="0" collapsed="false">
      <c r="B13" s="32" t="s">
        <v>49</v>
      </c>
      <c r="C13" s="12" t="n">
        <f aca="false">I41</f>
        <v>602</v>
      </c>
      <c r="E13" s="9" t="s">
        <v>50</v>
      </c>
      <c r="F13" s="10" t="n">
        <v>9347323</v>
      </c>
      <c r="G13" s="11" t="n">
        <f aca="false">Model!AA13</f>
        <v>0.622189766335453</v>
      </c>
      <c r="H13" s="10" t="n">
        <f aca="false">ROUND(F13*G13,0)</f>
        <v>5815809</v>
      </c>
      <c r="I13" s="12" t="n">
        <v>22</v>
      </c>
      <c r="J13" s="13" t="n">
        <f aca="false">Model!BX13</f>
        <v>0.256237383679976</v>
      </c>
      <c r="K13" s="14" t="n">
        <f aca="false">Model!BY13</f>
        <v>0.265784887416153</v>
      </c>
      <c r="L13" s="15" t="n">
        <f aca="false">Model!BZ13</f>
        <v>0.11667551537152</v>
      </c>
      <c r="M13" s="16" t="n">
        <f aca="false">Model!CA13</f>
        <v>0.27710618657514</v>
      </c>
      <c r="N13" s="17" t="n">
        <f aca="false">Model!CB13</f>
        <v>0.0840007525967339</v>
      </c>
      <c r="O13" s="18" t="n">
        <f aca="false">Model!CC13</f>
        <v>0.000195274360476469</v>
      </c>
      <c r="P13" s="12" t="n">
        <f aca="false">SUMPRODUCT((Engine!$B10:$BY10&lt;Engine!$CA10)*(Engine!$B$1:$BY$1&lt;=$I13))</f>
        <v>12</v>
      </c>
      <c r="Q13" s="12" t="n">
        <f aca="false">SUMPRODUCT((Engine!$B10:$BY10&gt;=Engine!$CA10)*(Engine!$B10:$BY10&lt;Engine!$CB10)*(Engine!$B$1:$BY$1&lt;=$I13))</f>
        <v>6</v>
      </c>
      <c r="R13" s="12" t="n">
        <f aca="false">SUMPRODUCT((Engine!$B10:$BY10&gt;=Engine!$CB10)*(Engine!$B10:$BY10&lt;Engine!$CC10)*(Engine!$B$1:$BY$1&lt;=$I13))</f>
        <v>1</v>
      </c>
      <c r="S13" s="12" t="n">
        <f aca="false">SUMPRODUCT((Engine!$B10:$BY10&gt;=Engine!$CC10)*(Engine!$B10:$BY10&lt;Engine!$CD10)*(Engine!$B$1:$BY$1&lt;=$I13))</f>
        <v>2</v>
      </c>
      <c r="T13" s="12" t="n">
        <f aca="false">SUMPRODUCT((Engine!$B10:$BY10&gt;=Engine!$CD10)*(Engine!$B10:$BY10&lt;Engine!$CE10)*(Engine!$B$1:$BY$1&lt;=$I13))</f>
        <v>1</v>
      </c>
      <c r="U13" s="12" t="n">
        <f aca="false">SUMPRODUCT((Engine!$B10:$BY10&gt;=Engine!$CE10)*(Engine!$B$1:$BY$1&lt;=$I13))</f>
        <v>0</v>
      </c>
      <c r="V13" s="12" t="str">
        <f aca="false">IF(COUNTIF(P13:U13,MAX(P13:U13))&gt;1,"Tie",INDEX($C$5:$C$10,MATCH(MAX(P13:U13),P13:U13,0)))</f>
        <v>Conservatives</v>
      </c>
      <c r="W13" s="10" t="n">
        <f aca="false">ROUND($H13*J13,0)</f>
        <v>1490228</v>
      </c>
      <c r="X13" s="10" t="n">
        <f aca="false">ROUND($H13*K13,0)</f>
        <v>1545754</v>
      </c>
      <c r="Y13" s="10" t="n">
        <f aca="false">ROUND($H13*L13,0)</f>
        <v>678563</v>
      </c>
      <c r="Z13" s="10" t="n">
        <f aca="false">ROUND($H13*M13,0)</f>
        <v>1611597</v>
      </c>
      <c r="AA13" s="10" t="n">
        <f aca="false">ROUND($H13*N13,0)</f>
        <v>488532</v>
      </c>
      <c r="AB13" s="10" t="n">
        <f aca="false">ROUND($H13*O13,0)</f>
        <v>1136</v>
      </c>
    </row>
    <row r="14" customFormat="false" ht="15" hidden="false" customHeight="false" outlineLevel="0" collapsed="false">
      <c r="B14" s="32" t="s">
        <v>51</v>
      </c>
      <c r="C14" s="33" t="n">
        <f aca="false">INT(C13/2)+1</f>
        <v>302</v>
      </c>
      <c r="E14" s="21" t="s">
        <v>52</v>
      </c>
      <c r="F14" s="22" t="n">
        <v>9049790</v>
      </c>
      <c r="G14" s="11" t="n">
        <f aca="false">Model!AA14</f>
        <v>0.631946048354913</v>
      </c>
      <c r="H14" s="22" t="n">
        <f aca="false">ROUND(F14*G14,0)</f>
        <v>5718979</v>
      </c>
      <c r="I14" s="23" t="n">
        <v>21</v>
      </c>
      <c r="J14" s="13" t="n">
        <f aca="false">Model!BX14</f>
        <v>0.212382121289695</v>
      </c>
      <c r="K14" s="14" t="n">
        <f aca="false">Model!BY14</f>
        <v>0.402166773009233</v>
      </c>
      <c r="L14" s="15" t="n">
        <f aca="false">Model!BZ14</f>
        <v>0.163677189211135</v>
      </c>
      <c r="M14" s="16" t="n">
        <f aca="false">Model!CA14</f>
        <v>0.15449098730611</v>
      </c>
      <c r="N14" s="17" t="n">
        <f aca="false">Model!CB14</f>
        <v>0.0670876548233513</v>
      </c>
      <c r="O14" s="18" t="n">
        <f aca="false">Model!CC14</f>
        <v>0.000195274360476469</v>
      </c>
      <c r="P14" s="23" t="n">
        <f aca="false">SUMPRODUCT((Engine!$B11:$BY11&lt;Engine!$CA11)*(Engine!$B$1:$BY$1&lt;=$I14))</f>
        <v>6</v>
      </c>
      <c r="Q14" s="23" t="n">
        <f aca="false">SUMPRODUCT((Engine!$B11:$BY11&gt;=Engine!$CA11)*(Engine!$B11:$BY11&lt;Engine!$CB11)*(Engine!$B$1:$BY$1&lt;=$I14))</f>
        <v>14</v>
      </c>
      <c r="R14" s="23" t="n">
        <f aca="false">SUMPRODUCT((Engine!$B11:$BY11&gt;=Engine!$CB11)*(Engine!$B11:$BY11&lt;Engine!$CC11)*(Engine!$B$1:$BY$1&lt;=$I14))</f>
        <v>1</v>
      </c>
      <c r="S14" s="23" t="n">
        <f aca="false">SUMPRODUCT((Engine!$B11:$BY11&gt;=Engine!$CC11)*(Engine!$B11:$BY11&lt;Engine!$CD11)*(Engine!$B$1:$BY$1&lt;=$I14))</f>
        <v>0</v>
      </c>
      <c r="T14" s="23" t="n">
        <f aca="false">SUMPRODUCT((Engine!$B11:$BY11&gt;=Engine!$CD11)*(Engine!$B11:$BY11&lt;Engine!$CE11)*(Engine!$B$1:$BY$1&lt;=$I14))</f>
        <v>0</v>
      </c>
      <c r="U14" s="23" t="n">
        <f aca="false">SUMPRODUCT((Engine!$B11:$BY11&gt;=Engine!$CE11)*(Engine!$B$1:$BY$1&lt;=$I14))</f>
        <v>0</v>
      </c>
      <c r="V14" s="23" t="str">
        <f aca="false">IF(COUNTIF(P14:U14,MAX(P14:U14))&gt;1,"Tie",INDEX($C$5:$C$10,MATCH(MAX(P14:U14),P14:U14,0)))</f>
        <v>Social-Democrats</v>
      </c>
      <c r="W14" s="22" t="n">
        <f aca="false">ROUND($H14*J14,0)</f>
        <v>1214609</v>
      </c>
      <c r="X14" s="22" t="n">
        <f aca="false">ROUND($H14*K14,0)</f>
        <v>2299983</v>
      </c>
      <c r="Y14" s="22" t="n">
        <f aca="false">ROUND($H14*L14,0)</f>
        <v>936066</v>
      </c>
      <c r="Z14" s="22" t="n">
        <f aca="false">ROUND($H14*M14,0)</f>
        <v>883531</v>
      </c>
      <c r="AA14" s="22" t="n">
        <f aca="false">ROUND($H14*N14,0)</f>
        <v>383673</v>
      </c>
      <c r="AB14" s="22" t="n">
        <f aca="false">ROUND($H14*O14,0)</f>
        <v>1117</v>
      </c>
    </row>
    <row r="15" customFormat="false" ht="15" hidden="false" customHeight="false" outlineLevel="0" collapsed="false">
      <c r="E15" s="9" t="s">
        <v>53</v>
      </c>
      <c r="F15" s="10" t="n">
        <v>8593492</v>
      </c>
      <c r="G15" s="11" t="n">
        <f aca="false">Model!AA15</f>
        <v>0.643774820788182</v>
      </c>
      <c r="H15" s="10" t="n">
        <f aca="false">ROUND(F15*G15,0)</f>
        <v>5532274</v>
      </c>
      <c r="I15" s="12" t="n">
        <v>20</v>
      </c>
      <c r="J15" s="13" t="n">
        <f aca="false">Model!BX15</f>
        <v>0.277240268653575</v>
      </c>
      <c r="K15" s="14" t="n">
        <f aca="false">Model!BY15</f>
        <v>0.345920349295123</v>
      </c>
      <c r="L15" s="15" t="n">
        <f aca="false">Model!BZ15</f>
        <v>0.160619537438797</v>
      </c>
      <c r="M15" s="16" t="n">
        <f aca="false">Model!CA15</f>
        <v>0.144448983237416</v>
      </c>
      <c r="N15" s="17" t="n">
        <f aca="false">Model!CB15</f>
        <v>0.071575587014613</v>
      </c>
      <c r="O15" s="18" t="n">
        <f aca="false">Model!CC15</f>
        <v>0.000195274360476469</v>
      </c>
      <c r="P15" s="12" t="n">
        <f aca="false">SUMPRODUCT((Engine!$B12:$BY12&lt;Engine!$CA12)*(Engine!$B$1:$BY$1&lt;=$I15))</f>
        <v>10</v>
      </c>
      <c r="Q15" s="12" t="n">
        <f aca="false">SUMPRODUCT((Engine!$B12:$BY12&gt;=Engine!$CA12)*(Engine!$B12:$BY12&lt;Engine!$CB12)*(Engine!$B$1:$BY$1&lt;=$I15))</f>
        <v>9</v>
      </c>
      <c r="R15" s="12" t="n">
        <f aca="false">SUMPRODUCT((Engine!$B12:$BY12&gt;=Engine!$CB12)*(Engine!$B12:$BY12&lt;Engine!$CC12)*(Engine!$B$1:$BY$1&lt;=$I15))</f>
        <v>0</v>
      </c>
      <c r="S15" s="12" t="n">
        <f aca="false">SUMPRODUCT((Engine!$B12:$BY12&gt;=Engine!$CC12)*(Engine!$B12:$BY12&lt;Engine!$CD12)*(Engine!$B$1:$BY$1&lt;=$I15))</f>
        <v>1</v>
      </c>
      <c r="T15" s="12" t="n">
        <f aca="false">SUMPRODUCT((Engine!$B12:$BY12&gt;=Engine!$CD12)*(Engine!$B12:$BY12&lt;Engine!$CE12)*(Engine!$B$1:$BY$1&lt;=$I15))</f>
        <v>0</v>
      </c>
      <c r="U15" s="12" t="n">
        <f aca="false">SUMPRODUCT((Engine!$B12:$BY12&gt;=Engine!$CE12)*(Engine!$B$1:$BY$1&lt;=$I15))</f>
        <v>0</v>
      </c>
      <c r="V15" s="12" t="str">
        <f aca="false">IF(COUNTIF(P15:U15,MAX(P15:U15))&gt;1,"Tie",INDEX($C$5:$C$10,MATCH(MAX(P15:U15),P15:U15,0)))</f>
        <v>Conservatives</v>
      </c>
      <c r="W15" s="10" t="n">
        <f aca="false">ROUND($H15*J15,0)</f>
        <v>1533769</v>
      </c>
      <c r="X15" s="10" t="n">
        <f aca="false">ROUND($H15*K15,0)</f>
        <v>1913726</v>
      </c>
      <c r="Y15" s="10" t="n">
        <f aca="false">ROUND($H15*L15,0)</f>
        <v>888591</v>
      </c>
      <c r="Z15" s="10" t="n">
        <f aca="false">ROUND($H15*M15,0)</f>
        <v>799131</v>
      </c>
      <c r="AA15" s="10" t="n">
        <f aca="false">ROUND($H15*N15,0)</f>
        <v>395976</v>
      </c>
      <c r="AB15" s="10" t="n">
        <f aca="false">ROUND($H15*O15,0)</f>
        <v>1080</v>
      </c>
    </row>
    <row r="16" customFormat="false" ht="15" hidden="false" customHeight="false" outlineLevel="0" collapsed="false">
      <c r="B16" s="34" t="str">
        <f aca="false">C5</f>
        <v>Conservatives</v>
      </c>
      <c r="C16" s="35" t="n">
        <f aca="false">P41</f>
        <v>202</v>
      </c>
      <c r="E16" s="21" t="s">
        <v>54</v>
      </c>
      <c r="F16" s="22" t="n">
        <v>8043922</v>
      </c>
      <c r="G16" s="11" t="n">
        <f aca="false">Model!AA16</f>
        <v>0.651062247883145</v>
      </c>
      <c r="H16" s="22" t="n">
        <f aca="false">ROUND(F16*G16,0)</f>
        <v>5237094</v>
      </c>
      <c r="I16" s="23" t="n">
        <v>19</v>
      </c>
      <c r="J16" s="13" t="n">
        <f aca="false">Model!BX16</f>
        <v>0.242625100022587</v>
      </c>
      <c r="K16" s="14" t="n">
        <f aca="false">Model!BY16</f>
        <v>0.372058806954555</v>
      </c>
      <c r="L16" s="15" t="n">
        <f aca="false">Model!BZ16</f>
        <v>0.186027685418781</v>
      </c>
      <c r="M16" s="16" t="n">
        <f aca="false">Model!CA16</f>
        <v>0.133361660237103</v>
      </c>
      <c r="N16" s="17" t="n">
        <f aca="false">Model!CB16</f>
        <v>0.0657314730064969</v>
      </c>
      <c r="O16" s="18" t="n">
        <f aca="false">Model!CC16</f>
        <v>0.000195274360476469</v>
      </c>
      <c r="P16" s="23" t="n">
        <f aca="false">SUMPRODUCT((Engine!$B13:$BY13&lt;Engine!$CA13)*(Engine!$B$1:$BY$1&lt;=$I16))</f>
        <v>7</v>
      </c>
      <c r="Q16" s="23" t="n">
        <f aca="false">SUMPRODUCT((Engine!$B13:$BY13&gt;=Engine!$CA13)*(Engine!$B13:$BY13&lt;Engine!$CB13)*(Engine!$B$1:$BY$1&lt;=$I16))</f>
        <v>9</v>
      </c>
      <c r="R16" s="23" t="n">
        <f aca="false">SUMPRODUCT((Engine!$B13:$BY13&gt;=Engine!$CB13)*(Engine!$B13:$BY13&lt;Engine!$CC13)*(Engine!$B$1:$BY$1&lt;=$I16))</f>
        <v>2</v>
      </c>
      <c r="S16" s="23" t="n">
        <f aca="false">SUMPRODUCT((Engine!$B13:$BY13&gt;=Engine!$CC13)*(Engine!$B13:$BY13&lt;Engine!$CD13)*(Engine!$B$1:$BY$1&lt;=$I16))</f>
        <v>1</v>
      </c>
      <c r="T16" s="23" t="n">
        <f aca="false">SUMPRODUCT((Engine!$B13:$BY13&gt;=Engine!$CD13)*(Engine!$B13:$BY13&lt;Engine!$CE13)*(Engine!$B$1:$BY$1&lt;=$I16))</f>
        <v>0</v>
      </c>
      <c r="U16" s="23" t="n">
        <f aca="false">SUMPRODUCT((Engine!$B13:$BY13&gt;=Engine!$CE13)*(Engine!$B$1:$BY$1&lt;=$I16))</f>
        <v>0</v>
      </c>
      <c r="V16" s="23" t="str">
        <f aca="false">IF(COUNTIF(P16:U16,MAX(P16:U16))&gt;1,"Tie",INDEX($C$5:$C$10,MATCH(MAX(P16:U16),P16:U16,0)))</f>
        <v>Social-Democrats</v>
      </c>
      <c r="W16" s="22" t="n">
        <f aca="false">ROUND($H16*J16,0)</f>
        <v>1270650</v>
      </c>
      <c r="X16" s="22" t="n">
        <f aca="false">ROUND($H16*K16,0)</f>
        <v>1948507</v>
      </c>
      <c r="Y16" s="22" t="n">
        <f aca="false">ROUND($H16*L16,0)</f>
        <v>974244</v>
      </c>
      <c r="Z16" s="22" t="n">
        <f aca="false">ROUND($H16*M16,0)</f>
        <v>698428</v>
      </c>
      <c r="AA16" s="22" t="n">
        <f aca="false">ROUND($H16*N16,0)</f>
        <v>344242</v>
      </c>
      <c r="AB16" s="22" t="n">
        <f aca="false">ROUND($H16*O16,0)</f>
        <v>1023</v>
      </c>
    </row>
    <row r="17" customFormat="false" ht="15" hidden="false" customHeight="false" outlineLevel="0" collapsed="false">
      <c r="B17" s="36" t="str">
        <f aca="false">C6</f>
        <v>Social-Democrats</v>
      </c>
      <c r="C17" s="37" t="n">
        <f aca="false">Q41</f>
        <v>320</v>
      </c>
      <c r="E17" s="9" t="s">
        <v>55</v>
      </c>
      <c r="F17" s="10" t="n">
        <v>7142793</v>
      </c>
      <c r="G17" s="11" t="n">
        <f aca="false">Model!AA17</f>
        <v>0.632804436362764</v>
      </c>
      <c r="H17" s="10" t="n">
        <f aca="false">ROUND(F17*G17,0)</f>
        <v>4519991</v>
      </c>
      <c r="I17" s="12" t="n">
        <v>17</v>
      </c>
      <c r="J17" s="13" t="n">
        <f aca="false">Model!BX17</f>
        <v>0.273140643487683</v>
      </c>
      <c r="K17" s="14" t="n">
        <f aca="false">Model!BY17</f>
        <v>0.358275728922142</v>
      </c>
      <c r="L17" s="15" t="n">
        <f aca="false">Model!BZ17</f>
        <v>0.149375326498235</v>
      </c>
      <c r="M17" s="16" t="n">
        <f aca="false">Model!CA17</f>
        <v>0.149668739136505</v>
      </c>
      <c r="N17" s="17" t="n">
        <f aca="false">Model!CB17</f>
        <v>0.0693442875949586</v>
      </c>
      <c r="O17" s="18" t="n">
        <f aca="false">Model!CC17</f>
        <v>0.000195274360476469</v>
      </c>
      <c r="P17" s="12" t="n">
        <f aca="false">SUMPRODUCT((Engine!$B14:$BY14&lt;Engine!$CA14)*(Engine!$B$1:$BY$1&lt;=$I17))</f>
        <v>7</v>
      </c>
      <c r="Q17" s="12" t="n">
        <f aca="false">SUMPRODUCT((Engine!$B14:$BY14&gt;=Engine!$CA14)*(Engine!$B14:$BY14&lt;Engine!$CB14)*(Engine!$B$1:$BY$1&lt;=$I17))</f>
        <v>9</v>
      </c>
      <c r="R17" s="12" t="n">
        <f aca="false">SUMPRODUCT((Engine!$B14:$BY14&gt;=Engine!$CB14)*(Engine!$B14:$BY14&lt;Engine!$CC14)*(Engine!$B$1:$BY$1&lt;=$I17))</f>
        <v>0</v>
      </c>
      <c r="S17" s="12" t="n">
        <f aca="false">SUMPRODUCT((Engine!$B14:$BY14&gt;=Engine!$CC14)*(Engine!$B14:$BY14&lt;Engine!$CD14)*(Engine!$B$1:$BY$1&lt;=$I17))</f>
        <v>1</v>
      </c>
      <c r="T17" s="12" t="n">
        <f aca="false">SUMPRODUCT((Engine!$B14:$BY14&gt;=Engine!$CD14)*(Engine!$B14:$BY14&lt;Engine!$CE14)*(Engine!$B$1:$BY$1&lt;=$I17))</f>
        <v>0</v>
      </c>
      <c r="U17" s="12" t="n">
        <f aca="false">SUMPRODUCT((Engine!$B14:$BY14&gt;=Engine!$CE14)*(Engine!$B$1:$BY$1&lt;=$I17))</f>
        <v>0</v>
      </c>
      <c r="V17" s="12" t="str">
        <f aca="false">IF(COUNTIF(P17:U17,MAX(P17:U17))&gt;1,"Tie",INDEX($C$5:$C$10,MATCH(MAX(P17:U17),P17:U17,0)))</f>
        <v>Social-Democrats</v>
      </c>
      <c r="W17" s="10" t="n">
        <f aca="false">ROUND($H17*J17,0)</f>
        <v>1234593</v>
      </c>
      <c r="X17" s="10" t="n">
        <f aca="false">ROUND($H17*K17,0)</f>
        <v>1619403</v>
      </c>
      <c r="Y17" s="10" t="n">
        <f aca="false">ROUND($H17*L17,0)</f>
        <v>675175</v>
      </c>
      <c r="Z17" s="10" t="n">
        <f aca="false">ROUND($H17*M17,0)</f>
        <v>676501</v>
      </c>
      <c r="AA17" s="10" t="n">
        <f aca="false">ROUND($H17*N17,0)</f>
        <v>313436</v>
      </c>
      <c r="AB17" s="10" t="n">
        <f aca="false">ROUND($H17*O17,0)</f>
        <v>883</v>
      </c>
    </row>
    <row r="18" customFormat="false" ht="15" hidden="false" customHeight="false" outlineLevel="0" collapsed="false">
      <c r="B18" s="38" t="str">
        <f aca="false">C7</f>
        <v>Liberals</v>
      </c>
      <c r="C18" s="39" t="n">
        <f aca="false">R41</f>
        <v>31</v>
      </c>
      <c r="E18" s="21" t="s">
        <v>56</v>
      </c>
      <c r="F18" s="22" t="n">
        <v>6332296</v>
      </c>
      <c r="G18" s="11" t="n">
        <f aca="false">Model!AA18</f>
        <v>0.614405115034948</v>
      </c>
      <c r="H18" s="22" t="n">
        <f aca="false">ROUND(F18*G18,0)</f>
        <v>3890595</v>
      </c>
      <c r="I18" s="23" t="n">
        <v>15</v>
      </c>
      <c r="J18" s="13" t="n">
        <f aca="false">Model!BX18</f>
        <v>0.223908490056856</v>
      </c>
      <c r="K18" s="14" t="n">
        <f aca="false">Model!BY18</f>
        <v>0.36186926128303</v>
      </c>
      <c r="L18" s="15" t="n">
        <f aca="false">Model!BZ18</f>
        <v>0.157382242154129</v>
      </c>
      <c r="M18" s="16" t="n">
        <f aca="false">Model!CA18</f>
        <v>0.184785898597275</v>
      </c>
      <c r="N18" s="17" t="n">
        <f aca="false">Model!CB18</f>
        <v>0.0718588335482336</v>
      </c>
      <c r="O18" s="18" t="n">
        <f aca="false">Model!CC18</f>
        <v>0.000195274360476469</v>
      </c>
      <c r="P18" s="23" t="n">
        <f aca="false">SUMPRODUCT((Engine!$B15:$BY15&lt;Engine!$CA15)*(Engine!$B$1:$BY$1&lt;=$I18))</f>
        <v>7</v>
      </c>
      <c r="Q18" s="23" t="n">
        <f aca="false">SUMPRODUCT((Engine!$B15:$BY15&gt;=Engine!$CA15)*(Engine!$B15:$BY15&lt;Engine!$CB15)*(Engine!$B$1:$BY$1&lt;=$I18))</f>
        <v>8</v>
      </c>
      <c r="R18" s="23" t="n">
        <f aca="false">SUMPRODUCT((Engine!$B15:$BY15&gt;=Engine!$CB15)*(Engine!$B15:$BY15&lt;Engine!$CC15)*(Engine!$B$1:$BY$1&lt;=$I18))</f>
        <v>0</v>
      </c>
      <c r="S18" s="23" t="n">
        <f aca="false">SUMPRODUCT((Engine!$B15:$BY15&gt;=Engine!$CC15)*(Engine!$B15:$BY15&lt;Engine!$CD15)*(Engine!$B$1:$BY$1&lt;=$I18))</f>
        <v>0</v>
      </c>
      <c r="T18" s="23" t="n">
        <f aca="false">SUMPRODUCT((Engine!$B15:$BY15&gt;=Engine!$CD15)*(Engine!$B15:$BY15&lt;Engine!$CE15)*(Engine!$B$1:$BY$1&lt;=$I18))</f>
        <v>0</v>
      </c>
      <c r="U18" s="23" t="n">
        <f aca="false">SUMPRODUCT((Engine!$B15:$BY15&gt;=Engine!$CE15)*(Engine!$B$1:$BY$1&lt;=$I18))</f>
        <v>0</v>
      </c>
      <c r="V18" s="23" t="str">
        <f aca="false">IF(COUNTIF(P18:U18,MAX(P18:U18))&gt;1,"Tie",INDEX($C$5:$C$10,MATCH(MAX(P18:U18),P18:U18,0)))</f>
        <v>Social-Democrats</v>
      </c>
      <c r="W18" s="22" t="n">
        <f aca="false">ROUND($H18*J18,0)</f>
        <v>871137</v>
      </c>
      <c r="X18" s="22" t="n">
        <f aca="false">ROUND($H18*K18,0)</f>
        <v>1407887</v>
      </c>
      <c r="Y18" s="22" t="n">
        <f aca="false">ROUND($H18*L18,0)</f>
        <v>612311</v>
      </c>
      <c r="Z18" s="22" t="n">
        <f aca="false">ROUND($H18*M18,0)</f>
        <v>718927</v>
      </c>
      <c r="AA18" s="22" t="n">
        <f aca="false">ROUND($H18*N18,0)</f>
        <v>279574</v>
      </c>
      <c r="AB18" s="22" t="n">
        <f aca="false">ROUND($H18*O18,0)</f>
        <v>760</v>
      </c>
    </row>
    <row r="19" customFormat="false" ht="15" hidden="false" customHeight="false" outlineLevel="0" collapsed="false">
      <c r="B19" s="6" t="str">
        <f aca="false">C8</f>
        <v>Nationalist</v>
      </c>
      <c r="C19" s="40" t="n">
        <f aca="false">S41</f>
        <v>44</v>
      </c>
      <c r="E19" s="9" t="s">
        <v>57</v>
      </c>
      <c r="F19" s="10" t="n">
        <v>6052347</v>
      </c>
      <c r="G19" s="11" t="n">
        <f aca="false">Model!AA19</f>
        <v>0.634364018771927</v>
      </c>
      <c r="H19" s="10" t="n">
        <f aca="false">ROUND(F19*G19,0)</f>
        <v>3839391</v>
      </c>
      <c r="I19" s="12" t="n">
        <v>15</v>
      </c>
      <c r="J19" s="13" t="n">
        <f aca="false">Model!BX19</f>
        <v>0.215919821658632</v>
      </c>
      <c r="K19" s="14" t="n">
        <f aca="false">Model!BY19</f>
        <v>0.404941160689961</v>
      </c>
      <c r="L19" s="15" t="n">
        <f aca="false">Model!BZ19</f>
        <v>0.167936311735954</v>
      </c>
      <c r="M19" s="16" t="n">
        <f aca="false">Model!CA19</f>
        <v>0.139333085360069</v>
      </c>
      <c r="N19" s="17" t="n">
        <f aca="false">Model!CB19</f>
        <v>0.0716743461949075</v>
      </c>
      <c r="O19" s="18" t="n">
        <f aca="false">Model!CC19</f>
        <v>0.000195274360476469</v>
      </c>
      <c r="P19" s="12" t="n">
        <f aca="false">SUMPRODUCT((Engine!$B16:$BY16&lt;Engine!$CA16)*(Engine!$B$1:$BY$1&lt;=$I19))</f>
        <v>5</v>
      </c>
      <c r="Q19" s="12" t="n">
        <f aca="false">SUMPRODUCT((Engine!$B16:$BY16&gt;=Engine!$CA16)*(Engine!$B16:$BY16&lt;Engine!$CB16)*(Engine!$B$1:$BY$1&lt;=$I19))</f>
        <v>8</v>
      </c>
      <c r="R19" s="12" t="n">
        <f aca="false">SUMPRODUCT((Engine!$B16:$BY16&gt;=Engine!$CB16)*(Engine!$B16:$BY16&lt;Engine!$CC16)*(Engine!$B$1:$BY$1&lt;=$I19))</f>
        <v>0</v>
      </c>
      <c r="S19" s="12" t="n">
        <f aca="false">SUMPRODUCT((Engine!$B16:$BY16&gt;=Engine!$CC16)*(Engine!$B16:$BY16&lt;Engine!$CD16)*(Engine!$B$1:$BY$1&lt;=$I19))</f>
        <v>2</v>
      </c>
      <c r="T19" s="12" t="n">
        <f aca="false">SUMPRODUCT((Engine!$B16:$BY16&gt;=Engine!$CD16)*(Engine!$B16:$BY16&lt;Engine!$CE16)*(Engine!$B$1:$BY$1&lt;=$I19))</f>
        <v>0</v>
      </c>
      <c r="U19" s="12" t="n">
        <f aca="false">SUMPRODUCT((Engine!$B16:$BY16&gt;=Engine!$CE16)*(Engine!$B$1:$BY$1&lt;=$I19))</f>
        <v>0</v>
      </c>
      <c r="V19" s="12" t="str">
        <f aca="false">IF(COUNTIF(P19:U19,MAX(P19:U19))&gt;1,"Tie",INDEX($C$5:$C$10,MATCH(MAX(P19:U19),P19:U19,0)))</f>
        <v>Social-Democrats</v>
      </c>
      <c r="W19" s="10" t="n">
        <f aca="false">ROUND($H19*J19,0)</f>
        <v>829001</v>
      </c>
      <c r="X19" s="10" t="n">
        <f aca="false">ROUND($H19*K19,0)</f>
        <v>1554727</v>
      </c>
      <c r="Y19" s="10" t="n">
        <f aca="false">ROUND($H19*L19,0)</f>
        <v>644773</v>
      </c>
      <c r="Z19" s="10" t="n">
        <f aca="false">ROUND($H19*M19,0)</f>
        <v>534954</v>
      </c>
      <c r="AA19" s="10" t="n">
        <f aca="false">ROUND($H19*N19,0)</f>
        <v>275186</v>
      </c>
      <c r="AB19" s="10" t="n">
        <f aca="false">ROUND($H19*O19,0)</f>
        <v>750</v>
      </c>
    </row>
    <row r="20" customFormat="false" ht="15" hidden="false" customHeight="false" outlineLevel="0" collapsed="false">
      <c r="B20" s="41" t="str">
        <f aca="false">C9</f>
        <v>Independent</v>
      </c>
      <c r="C20" s="42" t="n">
        <f aca="false">T41</f>
        <v>4</v>
      </c>
      <c r="E20" s="21" t="s">
        <v>58</v>
      </c>
      <c r="F20" s="22" t="n">
        <v>5924067</v>
      </c>
      <c r="G20" s="11" t="n">
        <f aca="false">Model!AA20</f>
        <v>0.618973052353343</v>
      </c>
      <c r="H20" s="22" t="n">
        <f aca="false">ROUND(F20*G20,0)</f>
        <v>3666838</v>
      </c>
      <c r="I20" s="23" t="n">
        <v>14</v>
      </c>
      <c r="J20" s="13" t="n">
        <f aca="false">Model!BX20</f>
        <v>0.253623926478982</v>
      </c>
      <c r="K20" s="14" t="n">
        <f aca="false">Model!BY20</f>
        <v>0.336564539397139</v>
      </c>
      <c r="L20" s="15" t="n">
        <f aca="false">Model!BZ20</f>
        <v>0.110525371996784</v>
      </c>
      <c r="M20" s="16" t="n">
        <f aca="false">Model!CA20</f>
        <v>0.227706734416818</v>
      </c>
      <c r="N20" s="17" t="n">
        <f aca="false">Model!CB20</f>
        <v>0.0713841533498016</v>
      </c>
      <c r="O20" s="18" t="n">
        <f aca="false">Model!CC20</f>
        <v>0.000195274360476469</v>
      </c>
      <c r="P20" s="23" t="n">
        <f aca="false">SUMPRODUCT((Engine!$B17:$BY17&lt;Engine!$CA17)*(Engine!$B$1:$BY$1&lt;=$I20))</f>
        <v>5</v>
      </c>
      <c r="Q20" s="23" t="n">
        <f aca="false">SUMPRODUCT((Engine!$B17:$BY17&gt;=Engine!$CA17)*(Engine!$B17:$BY17&lt;Engine!$CB17)*(Engine!$B$1:$BY$1&lt;=$I20))</f>
        <v>8</v>
      </c>
      <c r="R20" s="23" t="n">
        <f aca="false">SUMPRODUCT((Engine!$B17:$BY17&gt;=Engine!$CB17)*(Engine!$B17:$BY17&lt;Engine!$CC17)*(Engine!$B$1:$BY$1&lt;=$I20))</f>
        <v>1</v>
      </c>
      <c r="S20" s="23" t="n">
        <f aca="false">SUMPRODUCT((Engine!$B17:$BY17&gt;=Engine!$CC17)*(Engine!$B17:$BY17&lt;Engine!$CD17)*(Engine!$B$1:$BY$1&lt;=$I20))</f>
        <v>0</v>
      </c>
      <c r="T20" s="23" t="n">
        <f aca="false">SUMPRODUCT((Engine!$B17:$BY17&gt;=Engine!$CD17)*(Engine!$B17:$BY17&lt;Engine!$CE17)*(Engine!$B$1:$BY$1&lt;=$I20))</f>
        <v>0</v>
      </c>
      <c r="U20" s="23" t="n">
        <f aca="false">SUMPRODUCT((Engine!$B17:$BY17&gt;=Engine!$CE17)*(Engine!$B$1:$BY$1&lt;=$I20))</f>
        <v>0</v>
      </c>
      <c r="V20" s="23" t="str">
        <f aca="false">IF(COUNTIF(P20:U20,MAX(P20:U20))&gt;1,"Tie",INDEX($C$5:$C$10,MATCH(MAX(P20:U20),P20:U20,0)))</f>
        <v>Social-Democrats</v>
      </c>
      <c r="W20" s="22" t="n">
        <f aca="false">ROUND($H20*J20,0)</f>
        <v>929998</v>
      </c>
      <c r="X20" s="22" t="n">
        <f aca="false">ROUND($H20*K20,0)</f>
        <v>1234128</v>
      </c>
      <c r="Y20" s="22" t="n">
        <f aca="false">ROUND($H20*L20,0)</f>
        <v>405279</v>
      </c>
      <c r="Z20" s="22" t="n">
        <f aca="false">ROUND($H20*M20,0)</f>
        <v>834964</v>
      </c>
      <c r="AA20" s="22" t="n">
        <f aca="false">ROUND($H20*N20,0)</f>
        <v>261754</v>
      </c>
      <c r="AB20" s="22" t="n">
        <f aca="false">ROUND($H20*O20,0)</f>
        <v>716</v>
      </c>
    </row>
    <row r="21" customFormat="false" ht="15" hidden="false" customHeight="false" outlineLevel="0" collapsed="false">
      <c r="B21" s="43" t="str">
        <f aca="false">C10</f>
        <v>BP First</v>
      </c>
      <c r="C21" s="44" t="n">
        <f aca="false">U41</f>
        <v>1</v>
      </c>
      <c r="E21" s="9" t="s">
        <v>59</v>
      </c>
      <c r="F21" s="10" t="n">
        <v>5641560</v>
      </c>
      <c r="G21" s="11" t="n">
        <f aca="false">Model!AA21</f>
        <v>0.635850479284169</v>
      </c>
      <c r="H21" s="10" t="n">
        <f aca="false">ROUND(F21*G21,0)</f>
        <v>3587189</v>
      </c>
      <c r="I21" s="12" t="n">
        <v>14</v>
      </c>
      <c r="J21" s="13" t="n">
        <f aca="false">Model!BX21</f>
        <v>0.226186289226609</v>
      </c>
      <c r="K21" s="14" t="n">
        <f aca="false">Model!BY21</f>
        <v>0.355122492840428</v>
      </c>
      <c r="L21" s="15" t="n">
        <f aca="false">Model!BZ21</f>
        <v>0.174672067091532</v>
      </c>
      <c r="M21" s="16" t="n">
        <f aca="false">Model!CA21</f>
        <v>0.173712094211343</v>
      </c>
      <c r="N21" s="17" t="n">
        <f aca="false">Model!CB21</f>
        <v>0.0701117822696118</v>
      </c>
      <c r="O21" s="18" t="n">
        <f aca="false">Model!CC21</f>
        <v>0.000195274360476469</v>
      </c>
      <c r="P21" s="12" t="n">
        <f aca="false">SUMPRODUCT((Engine!$B18:$BY18&lt;Engine!$CA18)*(Engine!$B$1:$BY$1&lt;=$I21))</f>
        <v>5</v>
      </c>
      <c r="Q21" s="12" t="n">
        <f aca="false">SUMPRODUCT((Engine!$B18:$BY18&gt;=Engine!$CA18)*(Engine!$B18:$BY18&lt;Engine!$CB18)*(Engine!$B$1:$BY$1&lt;=$I21))</f>
        <v>7</v>
      </c>
      <c r="R21" s="12" t="n">
        <f aca="false">SUMPRODUCT((Engine!$B18:$BY18&gt;=Engine!$CB18)*(Engine!$B18:$BY18&lt;Engine!$CC18)*(Engine!$B$1:$BY$1&lt;=$I21))</f>
        <v>1</v>
      </c>
      <c r="S21" s="12" t="n">
        <f aca="false">SUMPRODUCT((Engine!$B18:$BY18&gt;=Engine!$CC18)*(Engine!$B18:$BY18&lt;Engine!$CD18)*(Engine!$B$1:$BY$1&lt;=$I21))</f>
        <v>1</v>
      </c>
      <c r="T21" s="12" t="n">
        <f aca="false">SUMPRODUCT((Engine!$B18:$BY18&gt;=Engine!$CD18)*(Engine!$B18:$BY18&lt;Engine!$CE18)*(Engine!$B$1:$BY$1&lt;=$I21))</f>
        <v>0</v>
      </c>
      <c r="U21" s="12" t="n">
        <f aca="false">SUMPRODUCT((Engine!$B18:$BY18&gt;=Engine!$CE18)*(Engine!$B$1:$BY$1&lt;=$I21))</f>
        <v>0</v>
      </c>
      <c r="V21" s="12" t="str">
        <f aca="false">IF(COUNTIF(P21:U21,MAX(P21:U21))&gt;1,"Tie",INDEX($C$5:$C$10,MATCH(MAX(P21:U21),P21:U21,0)))</f>
        <v>Social-Democrats</v>
      </c>
      <c r="W21" s="10" t="n">
        <f aca="false">ROUND($H21*J21,0)</f>
        <v>811373</v>
      </c>
      <c r="X21" s="10" t="n">
        <f aca="false">ROUND($H21*K21,0)</f>
        <v>1273891</v>
      </c>
      <c r="Y21" s="10" t="n">
        <f aca="false">ROUND($H21*L21,0)</f>
        <v>626582</v>
      </c>
      <c r="Z21" s="10" t="n">
        <f aca="false">ROUND($H21*M21,0)</f>
        <v>623138</v>
      </c>
      <c r="AA21" s="10" t="n">
        <f aca="false">ROUND($H21*N21,0)</f>
        <v>251504</v>
      </c>
      <c r="AB21" s="10" t="n">
        <f aca="false">ROUND($H21*O21,0)</f>
        <v>700</v>
      </c>
    </row>
    <row r="22" customFormat="false" ht="15" hidden="false" customHeight="false" outlineLevel="0" collapsed="false">
      <c r="E22" s="21" t="s">
        <v>60</v>
      </c>
      <c r="F22" s="22" t="n">
        <v>5267271</v>
      </c>
      <c r="G22" s="11" t="n">
        <f aca="false">Model!AA22</f>
        <v>0.621211041522398</v>
      </c>
      <c r="H22" s="22" t="n">
        <f aca="false">ROUND(F22*G22,0)</f>
        <v>3272087</v>
      </c>
      <c r="I22" s="23" t="n">
        <v>13</v>
      </c>
      <c r="J22" s="13" t="n">
        <f aca="false">Model!BX22</f>
        <v>0.286249826160059</v>
      </c>
      <c r="K22" s="14" t="n">
        <f aca="false">Model!BY22</f>
        <v>0.225150326268314</v>
      </c>
      <c r="L22" s="15" t="n">
        <f aca="false">Model!BZ22</f>
        <v>0.114901191231907</v>
      </c>
      <c r="M22" s="16" t="n">
        <f aca="false">Model!CA22</f>
        <v>0.291446074286486</v>
      </c>
      <c r="N22" s="17" t="n">
        <f aca="false">Model!CB22</f>
        <v>0.0820573076927578</v>
      </c>
      <c r="O22" s="18" t="n">
        <f aca="false">Model!CC22</f>
        <v>0.000195274360476469</v>
      </c>
      <c r="P22" s="23" t="n">
        <f aca="false">SUMPRODUCT((Engine!$B19:$BY19&lt;Engine!$CA19)*(Engine!$B$1:$BY$1&lt;=$I22))</f>
        <v>5</v>
      </c>
      <c r="Q22" s="23" t="n">
        <f aca="false">SUMPRODUCT((Engine!$B19:$BY19&gt;=Engine!$CA19)*(Engine!$B19:$BY19&lt;Engine!$CB19)*(Engine!$B$1:$BY$1&lt;=$I22))</f>
        <v>5</v>
      </c>
      <c r="R22" s="23" t="n">
        <f aca="false">SUMPRODUCT((Engine!$B19:$BY19&gt;=Engine!$CB19)*(Engine!$B19:$BY19&lt;Engine!$CC19)*(Engine!$B$1:$BY$1&lt;=$I22))</f>
        <v>0</v>
      </c>
      <c r="S22" s="23" t="n">
        <f aca="false">SUMPRODUCT((Engine!$B19:$BY19&gt;=Engine!$CC19)*(Engine!$B19:$BY19&lt;Engine!$CD19)*(Engine!$B$1:$BY$1&lt;=$I22))</f>
        <v>3</v>
      </c>
      <c r="T22" s="23" t="n">
        <f aca="false">SUMPRODUCT((Engine!$B19:$BY19&gt;=Engine!$CD19)*(Engine!$B19:$BY19&lt;Engine!$CE19)*(Engine!$B$1:$BY$1&lt;=$I22))</f>
        <v>0</v>
      </c>
      <c r="U22" s="23" t="n">
        <f aca="false">SUMPRODUCT((Engine!$B19:$BY19&gt;=Engine!$CE19)*(Engine!$B$1:$BY$1&lt;=$I22))</f>
        <v>0</v>
      </c>
      <c r="V22" s="23" t="str">
        <f aca="false">IF(COUNTIF(P22:U22,MAX(P22:U22))&gt;1,"Tie",INDEX($C$5:$C$10,MATCH(MAX(P22:U22),P22:U22,0)))</f>
        <v>Tie</v>
      </c>
      <c r="W22" s="22" t="n">
        <f aca="false">ROUND($H22*J22,0)</f>
        <v>936634</v>
      </c>
      <c r="X22" s="22" t="n">
        <f aca="false">ROUND($H22*K22,0)</f>
        <v>736711</v>
      </c>
      <c r="Y22" s="22" t="n">
        <f aca="false">ROUND($H22*L22,0)</f>
        <v>375967</v>
      </c>
      <c r="Z22" s="22" t="n">
        <f aca="false">ROUND($H22*M22,0)</f>
        <v>953637</v>
      </c>
      <c r="AA22" s="22" t="n">
        <f aca="false">ROUND($H22*N22,0)</f>
        <v>268499</v>
      </c>
      <c r="AB22" s="22" t="n">
        <f aca="false">ROUND($H22*O22,0)</f>
        <v>639</v>
      </c>
    </row>
    <row r="23" customFormat="false" ht="15" hidden="false" customHeight="false" outlineLevel="0" collapsed="false">
      <c r="B23" s="6" t="s">
        <v>61</v>
      </c>
      <c r="C23" s="33" t="str">
        <f aca="false">IF(COUNTIF(C16:C21,MAX(C16:C21))&gt;1,"Tie",INDEX(C5:C10,MATCH(MAX(C16:C21),C16:C21,0)))</f>
        <v>Social-Democrats</v>
      </c>
      <c r="E23" s="9" t="s">
        <v>62</v>
      </c>
      <c r="F23" s="10" t="n">
        <v>4872525</v>
      </c>
      <c r="G23" s="11" t="n">
        <f aca="false">Model!AA23</f>
        <v>0.618146982672401</v>
      </c>
      <c r="H23" s="10" t="n">
        <f aca="false">ROUND(F23*G23,0)</f>
        <v>3011937</v>
      </c>
      <c r="I23" s="12" t="n">
        <v>12</v>
      </c>
      <c r="J23" s="13" t="n">
        <f aca="false">Model!BX23</f>
        <v>0.204760577240354</v>
      </c>
      <c r="K23" s="14" t="n">
        <f aca="false">Model!BY23</f>
        <v>0.370334672506853</v>
      </c>
      <c r="L23" s="15" t="n">
        <f aca="false">Model!BZ23</f>
        <v>0.137391137261278</v>
      </c>
      <c r="M23" s="16" t="n">
        <f aca="false">Model!CA23</f>
        <v>0.202358473721231</v>
      </c>
      <c r="N23" s="17" t="n">
        <f aca="false">Model!CB23</f>
        <v>0.0849598649098082</v>
      </c>
      <c r="O23" s="18" t="n">
        <f aca="false">Model!CC23</f>
        <v>0.000195274360476469</v>
      </c>
      <c r="P23" s="12" t="n">
        <f aca="false">SUMPRODUCT((Engine!$B20:$BY20&lt;Engine!$CA20)*(Engine!$B$1:$BY$1&lt;=$I23))</f>
        <v>3</v>
      </c>
      <c r="Q23" s="12" t="n">
        <f aca="false">SUMPRODUCT((Engine!$B20:$BY20&gt;=Engine!$CA20)*(Engine!$B20:$BY20&lt;Engine!$CB20)*(Engine!$B$1:$BY$1&lt;=$I23))</f>
        <v>8</v>
      </c>
      <c r="R23" s="12" t="n">
        <f aca="false">SUMPRODUCT((Engine!$B20:$BY20&gt;=Engine!$CB20)*(Engine!$B20:$BY20&lt;Engine!$CC20)*(Engine!$B$1:$BY$1&lt;=$I23))</f>
        <v>0</v>
      </c>
      <c r="S23" s="12" t="n">
        <f aca="false">SUMPRODUCT((Engine!$B20:$BY20&gt;=Engine!$CC20)*(Engine!$B20:$BY20&lt;Engine!$CD20)*(Engine!$B$1:$BY$1&lt;=$I23))</f>
        <v>0</v>
      </c>
      <c r="T23" s="12" t="n">
        <f aca="false">SUMPRODUCT((Engine!$B20:$BY20&gt;=Engine!$CD20)*(Engine!$B20:$BY20&lt;Engine!$CE20)*(Engine!$B$1:$BY$1&lt;=$I23))</f>
        <v>1</v>
      </c>
      <c r="U23" s="12" t="n">
        <f aca="false">SUMPRODUCT((Engine!$B20:$BY20&gt;=Engine!$CE20)*(Engine!$B$1:$BY$1&lt;=$I23))</f>
        <v>0</v>
      </c>
      <c r="V23" s="12" t="str">
        <f aca="false">IF(COUNTIF(P23:U23,MAX(P23:U23))&gt;1,"Tie",INDEX($C$5:$C$10,MATCH(MAX(P23:U23),P23:U23,0)))</f>
        <v>Social-Democrats</v>
      </c>
      <c r="W23" s="10" t="n">
        <f aca="false">ROUND($H23*J23,0)</f>
        <v>616726</v>
      </c>
      <c r="X23" s="10" t="n">
        <f aca="false">ROUND($H23*K23,0)</f>
        <v>1115425</v>
      </c>
      <c r="Y23" s="10" t="n">
        <f aca="false">ROUND($H23*L23,0)</f>
        <v>413813</v>
      </c>
      <c r="Z23" s="10" t="n">
        <f aca="false">ROUND($H23*M23,0)</f>
        <v>609491</v>
      </c>
      <c r="AA23" s="10" t="n">
        <f aca="false">ROUND($H23*N23,0)</f>
        <v>255894</v>
      </c>
      <c r="AB23" s="10" t="n">
        <f aca="false">ROUND($H23*O23,0)</f>
        <v>588</v>
      </c>
    </row>
    <row r="24" customFormat="false" ht="15" hidden="false" customHeight="false" outlineLevel="0" collapsed="false">
      <c r="B24" s="6" t="s">
        <v>63</v>
      </c>
      <c r="C24" s="45" t="str">
        <f aca="false">IF(MAX(C16:C21)&gt;=C14,INDEX(C5:C10,MATCH(MAX(C16:C21),C16:C21,0)),"No overall majority")</f>
        <v>Social-Democrats</v>
      </c>
      <c r="E24" s="21" t="s">
        <v>64</v>
      </c>
      <c r="F24" s="22" t="n">
        <v>4571742</v>
      </c>
      <c r="G24" s="11" t="n">
        <f aca="false">Model!AA24</f>
        <v>0.635761095542182</v>
      </c>
      <c r="H24" s="22" t="n">
        <f aca="false">ROUND(F24*G24,0)</f>
        <v>2906536</v>
      </c>
      <c r="I24" s="23" t="n">
        <v>12</v>
      </c>
      <c r="J24" s="13" t="n">
        <f aca="false">Model!BX24</f>
        <v>0.233254262917902</v>
      </c>
      <c r="K24" s="14" t="n">
        <f aca="false">Model!BY24</f>
        <v>0.373251174444829</v>
      </c>
      <c r="L24" s="15" t="n">
        <f aca="false">Model!BZ24</f>
        <v>0.175045766399493</v>
      </c>
      <c r="M24" s="16" t="n">
        <f aca="false">Model!CA24</f>
        <v>0.151049973569408</v>
      </c>
      <c r="N24" s="17" t="n">
        <f aca="false">Model!CB24</f>
        <v>0.0672035483078924</v>
      </c>
      <c r="O24" s="18" t="n">
        <f aca="false">Model!CC24</f>
        <v>0.000195274360476469</v>
      </c>
      <c r="P24" s="23" t="n">
        <f aca="false">SUMPRODUCT((Engine!$B21:$BY21&lt;Engine!$CA21)*(Engine!$B$1:$BY$1&lt;=$I24))</f>
        <v>4</v>
      </c>
      <c r="Q24" s="23" t="n">
        <f aca="false">SUMPRODUCT((Engine!$B21:$BY21&gt;=Engine!$CA21)*(Engine!$B21:$BY21&lt;Engine!$CB21)*(Engine!$B$1:$BY$1&lt;=$I24))</f>
        <v>6</v>
      </c>
      <c r="R24" s="23" t="n">
        <f aca="false">SUMPRODUCT((Engine!$B21:$BY21&gt;=Engine!$CB21)*(Engine!$B21:$BY21&lt;Engine!$CC21)*(Engine!$B$1:$BY$1&lt;=$I24))</f>
        <v>2</v>
      </c>
      <c r="S24" s="23" t="n">
        <f aca="false">SUMPRODUCT((Engine!$B21:$BY21&gt;=Engine!$CC21)*(Engine!$B21:$BY21&lt;Engine!$CD21)*(Engine!$B$1:$BY$1&lt;=$I24))</f>
        <v>0</v>
      </c>
      <c r="T24" s="23" t="n">
        <f aca="false">SUMPRODUCT((Engine!$B21:$BY21&gt;=Engine!$CD21)*(Engine!$B21:$BY21&lt;Engine!$CE21)*(Engine!$B$1:$BY$1&lt;=$I24))</f>
        <v>0</v>
      </c>
      <c r="U24" s="23" t="n">
        <f aca="false">SUMPRODUCT((Engine!$B21:$BY21&gt;=Engine!$CE21)*(Engine!$B$1:$BY$1&lt;=$I24))</f>
        <v>0</v>
      </c>
      <c r="V24" s="23" t="str">
        <f aca="false">IF(COUNTIF(P24:U24,MAX(P24:U24))&gt;1,"Tie",INDEX($C$5:$C$10,MATCH(MAX(P24:U24),P24:U24,0)))</f>
        <v>Social-Democrats</v>
      </c>
      <c r="W24" s="22" t="n">
        <f aca="false">ROUND($H24*J24,0)</f>
        <v>677962</v>
      </c>
      <c r="X24" s="22" t="n">
        <f aca="false">ROUND($H24*K24,0)</f>
        <v>1084868</v>
      </c>
      <c r="Y24" s="22" t="n">
        <f aca="false">ROUND($H24*L24,0)</f>
        <v>508777</v>
      </c>
      <c r="Z24" s="22" t="n">
        <f aca="false">ROUND($H24*M24,0)</f>
        <v>439032</v>
      </c>
      <c r="AA24" s="22" t="n">
        <f aca="false">ROUND($H24*N24,0)</f>
        <v>195330</v>
      </c>
      <c r="AB24" s="22" t="n">
        <f aca="false">ROUND($H24*O24,0)</f>
        <v>568</v>
      </c>
    </row>
    <row r="25" customFormat="false" ht="15" hidden="false" customHeight="false" outlineLevel="0" collapsed="false">
      <c r="E25" s="9" t="s">
        <v>65</v>
      </c>
      <c r="F25" s="10" t="n">
        <v>4570070</v>
      </c>
      <c r="G25" s="11" t="n">
        <f aca="false">Model!AA25</f>
        <v>0.608895828511053</v>
      </c>
      <c r="H25" s="10" t="n">
        <f aca="false">ROUND(F25*G25,0)</f>
        <v>2782697</v>
      </c>
      <c r="I25" s="12" t="n">
        <v>12</v>
      </c>
      <c r="J25" s="13" t="n">
        <f aca="false">Model!BX25</f>
        <v>0.230611273850618</v>
      </c>
      <c r="K25" s="14" t="n">
        <f aca="false">Model!BY25</f>
        <v>0.347661831352819</v>
      </c>
      <c r="L25" s="15" t="n">
        <f aca="false">Model!BZ25</f>
        <v>0.144732339868559</v>
      </c>
      <c r="M25" s="16" t="n">
        <f aca="false">Model!CA25</f>
        <v>0.199608184822349</v>
      </c>
      <c r="N25" s="17" t="n">
        <f aca="false">Model!CB25</f>
        <v>0.0771910957451786</v>
      </c>
      <c r="O25" s="18" t="n">
        <f aca="false">Model!CC25</f>
        <v>0.000195274360476469</v>
      </c>
      <c r="P25" s="12" t="n">
        <f aca="false">SUMPRODUCT((Engine!$B22:$BY22&lt;Engine!$CA22)*(Engine!$B$1:$BY$1&lt;=$I25))</f>
        <v>5</v>
      </c>
      <c r="Q25" s="12" t="n">
        <f aca="false">SUMPRODUCT((Engine!$B22:$BY22&gt;=Engine!$CA22)*(Engine!$B22:$BY22&lt;Engine!$CB22)*(Engine!$B$1:$BY$1&lt;=$I25))</f>
        <v>6</v>
      </c>
      <c r="R25" s="12" t="n">
        <f aca="false">SUMPRODUCT((Engine!$B22:$BY22&gt;=Engine!$CB22)*(Engine!$B22:$BY22&lt;Engine!$CC22)*(Engine!$B$1:$BY$1&lt;=$I25))</f>
        <v>1</v>
      </c>
      <c r="S25" s="12" t="n">
        <f aca="false">SUMPRODUCT((Engine!$B22:$BY22&gt;=Engine!$CC22)*(Engine!$B22:$BY22&lt;Engine!$CD22)*(Engine!$B$1:$BY$1&lt;=$I25))</f>
        <v>0</v>
      </c>
      <c r="T25" s="12" t="n">
        <f aca="false">SUMPRODUCT((Engine!$B22:$BY22&gt;=Engine!$CD22)*(Engine!$B22:$BY22&lt;Engine!$CE22)*(Engine!$B$1:$BY$1&lt;=$I25))</f>
        <v>0</v>
      </c>
      <c r="U25" s="12" t="n">
        <f aca="false">SUMPRODUCT((Engine!$B22:$BY22&gt;=Engine!$CE22)*(Engine!$B$1:$BY$1&lt;=$I25))</f>
        <v>0</v>
      </c>
      <c r="V25" s="12" t="str">
        <f aca="false">IF(COUNTIF(P25:U25,MAX(P25:U25))&gt;1,"Tie",INDEX($C$5:$C$10,MATCH(MAX(P25:U25),P25:U25,0)))</f>
        <v>Social-Democrats</v>
      </c>
      <c r="W25" s="10" t="n">
        <f aca="false">ROUND($H25*J25,0)</f>
        <v>641721</v>
      </c>
      <c r="X25" s="10" t="n">
        <f aca="false">ROUND($H25*K25,0)</f>
        <v>967438</v>
      </c>
      <c r="Y25" s="10" t="n">
        <f aca="false">ROUND($H25*L25,0)</f>
        <v>402746</v>
      </c>
      <c r="Z25" s="10" t="n">
        <f aca="false">ROUND($H25*M25,0)</f>
        <v>555449</v>
      </c>
      <c r="AA25" s="10" t="n">
        <f aca="false">ROUND($H25*N25,0)</f>
        <v>214799</v>
      </c>
      <c r="AB25" s="10" t="n">
        <f aca="false">ROUND($H25*O25,0)</f>
        <v>543</v>
      </c>
    </row>
    <row r="26" customFormat="false" ht="15" hidden="false" customHeight="false" outlineLevel="0" collapsed="false">
      <c r="B26" s="3" t="s">
        <v>66</v>
      </c>
      <c r="C26" s="3"/>
      <c r="E26" s="21" t="s">
        <v>67</v>
      </c>
      <c r="F26" s="22" t="n">
        <v>4173604</v>
      </c>
      <c r="G26" s="11" t="n">
        <f aca="false">Model!AA26</f>
        <v>0.627602853526237</v>
      </c>
      <c r="H26" s="22" t="n">
        <f aca="false">ROUND(F26*G26,0)</f>
        <v>2619366</v>
      </c>
      <c r="I26" s="23" t="n">
        <v>11</v>
      </c>
      <c r="J26" s="13" t="n">
        <f aca="false">Model!BX26</f>
        <v>0.272600851681827</v>
      </c>
      <c r="K26" s="14" t="n">
        <f aca="false">Model!BY26</f>
        <v>0.310079179890647</v>
      </c>
      <c r="L26" s="15" t="n">
        <f aca="false">Model!BZ26</f>
        <v>0.113440737832647</v>
      </c>
      <c r="M26" s="16" t="n">
        <f aca="false">Model!CA26</f>
        <v>0.227191493571028</v>
      </c>
      <c r="N26" s="17" t="n">
        <f aca="false">Model!CB26</f>
        <v>0.0764924626633747</v>
      </c>
      <c r="O26" s="18" t="n">
        <f aca="false">Model!CC26</f>
        <v>0.000195274360476469</v>
      </c>
      <c r="P26" s="23" t="n">
        <f aca="false">SUMPRODUCT((Engine!$B23:$BY23&lt;Engine!$CA23)*(Engine!$B$1:$BY$1&lt;=$I26))</f>
        <v>5</v>
      </c>
      <c r="Q26" s="23" t="n">
        <f aca="false">SUMPRODUCT((Engine!$B23:$BY23&gt;=Engine!$CA23)*(Engine!$B23:$BY23&lt;Engine!$CB23)*(Engine!$B$1:$BY$1&lt;=$I26))</f>
        <v>6</v>
      </c>
      <c r="R26" s="23" t="n">
        <f aca="false">SUMPRODUCT((Engine!$B23:$BY23&gt;=Engine!$CB23)*(Engine!$B23:$BY23&lt;Engine!$CC23)*(Engine!$B$1:$BY$1&lt;=$I26))</f>
        <v>0</v>
      </c>
      <c r="S26" s="23" t="n">
        <f aca="false">SUMPRODUCT((Engine!$B23:$BY23&gt;=Engine!$CC23)*(Engine!$B23:$BY23&lt;Engine!$CD23)*(Engine!$B$1:$BY$1&lt;=$I26))</f>
        <v>0</v>
      </c>
      <c r="T26" s="23" t="n">
        <f aca="false">SUMPRODUCT((Engine!$B23:$BY23&gt;=Engine!$CD23)*(Engine!$B23:$BY23&lt;Engine!$CE23)*(Engine!$B$1:$BY$1&lt;=$I26))</f>
        <v>0</v>
      </c>
      <c r="U26" s="23" t="n">
        <f aca="false">SUMPRODUCT((Engine!$B23:$BY23&gt;=Engine!$CE23)*(Engine!$B$1:$BY$1&lt;=$I26))</f>
        <v>0</v>
      </c>
      <c r="V26" s="23" t="str">
        <f aca="false">IF(COUNTIF(P26:U26,MAX(P26:U26))&gt;1,"Tie",INDEX($C$5:$C$10,MATCH(MAX(P26:U26),P26:U26,0)))</f>
        <v>Social-Democrats</v>
      </c>
      <c r="W26" s="22" t="n">
        <f aca="false">ROUND($H26*J26,0)</f>
        <v>714041</v>
      </c>
      <c r="X26" s="22" t="n">
        <f aca="false">ROUND($H26*K26,0)</f>
        <v>812211</v>
      </c>
      <c r="Y26" s="22" t="n">
        <f aca="false">ROUND($H26*L26,0)</f>
        <v>297143</v>
      </c>
      <c r="Z26" s="22" t="n">
        <f aca="false">ROUND($H26*M26,0)</f>
        <v>595098</v>
      </c>
      <c r="AA26" s="22" t="n">
        <f aca="false">ROUND($H26*N26,0)</f>
        <v>200362</v>
      </c>
      <c r="AB26" s="22" t="n">
        <f aca="false">ROUND($H26*O26,0)</f>
        <v>511</v>
      </c>
    </row>
    <row r="27" customFormat="false" ht="15" hidden="false" customHeight="false" outlineLevel="0" collapsed="false">
      <c r="B27" s="34" t="str">
        <f aca="false">C5</f>
        <v>Conservatives</v>
      </c>
      <c r="C27" s="46" t="n">
        <f aca="false">W41</f>
        <v>36802223</v>
      </c>
      <c r="E27" s="9" t="s">
        <v>68</v>
      </c>
      <c r="F27" s="10" t="n">
        <v>3960605</v>
      </c>
      <c r="G27" s="11" t="n">
        <f aca="false">Model!AA27</f>
        <v>0.625193400682226</v>
      </c>
      <c r="H27" s="10" t="n">
        <f aca="false">ROUND(F27*G27,0)</f>
        <v>2476144</v>
      </c>
      <c r="I27" s="12" t="n">
        <v>10</v>
      </c>
      <c r="J27" s="13" t="n">
        <f aca="false">Model!BX27</f>
        <v>0.266321777258643</v>
      </c>
      <c r="K27" s="14" t="n">
        <f aca="false">Model!BY27</f>
        <v>0.341023285459518</v>
      </c>
      <c r="L27" s="15" t="n">
        <f aca="false">Model!BZ27</f>
        <v>0.114645282509882</v>
      </c>
      <c r="M27" s="16" t="n">
        <f aca="false">Model!CA27</f>
        <v>0.208960571058561</v>
      </c>
      <c r="N27" s="17" t="n">
        <f aca="false">Model!CB27</f>
        <v>0.0688538093529199</v>
      </c>
      <c r="O27" s="18" t="n">
        <f aca="false">Model!CC27</f>
        <v>0.000195274360476469</v>
      </c>
      <c r="P27" s="12" t="n">
        <f aca="false">SUMPRODUCT((Engine!$B24:$BY24&lt;Engine!$CA24)*(Engine!$B$1:$BY$1&lt;=$I27))</f>
        <v>3</v>
      </c>
      <c r="Q27" s="12" t="n">
        <f aca="false">SUMPRODUCT((Engine!$B24:$BY24&gt;=Engine!$CA24)*(Engine!$B24:$BY24&lt;Engine!$CB24)*(Engine!$B$1:$BY$1&lt;=$I27))</f>
        <v>6</v>
      </c>
      <c r="R27" s="12" t="n">
        <f aca="false">SUMPRODUCT((Engine!$B24:$BY24&gt;=Engine!$CB24)*(Engine!$B24:$BY24&lt;Engine!$CC24)*(Engine!$B$1:$BY$1&lt;=$I27))</f>
        <v>0</v>
      </c>
      <c r="S27" s="12" t="n">
        <f aca="false">SUMPRODUCT((Engine!$B24:$BY24&gt;=Engine!$CC24)*(Engine!$B24:$BY24&lt;Engine!$CD24)*(Engine!$B$1:$BY$1&lt;=$I27))</f>
        <v>1</v>
      </c>
      <c r="T27" s="12" t="n">
        <f aca="false">SUMPRODUCT((Engine!$B24:$BY24&gt;=Engine!$CD24)*(Engine!$B24:$BY24&lt;Engine!$CE24)*(Engine!$B$1:$BY$1&lt;=$I27))</f>
        <v>0</v>
      </c>
      <c r="U27" s="12" t="n">
        <f aca="false">SUMPRODUCT((Engine!$B24:$BY24&gt;=Engine!$CE24)*(Engine!$B$1:$BY$1&lt;=$I27))</f>
        <v>0</v>
      </c>
      <c r="V27" s="12" t="str">
        <f aca="false">IF(COUNTIF(P27:U27,MAX(P27:U27))&gt;1,"Tie",INDEX($C$5:$C$10,MATCH(MAX(P27:U27),P27:U27,0)))</f>
        <v>Social-Democrats</v>
      </c>
      <c r="W27" s="10" t="n">
        <f aca="false">ROUND($H27*J27,0)</f>
        <v>659451</v>
      </c>
      <c r="X27" s="10" t="n">
        <f aca="false">ROUND($H27*K27,0)</f>
        <v>844423</v>
      </c>
      <c r="Y27" s="10" t="n">
        <f aca="false">ROUND($H27*L27,0)</f>
        <v>283878</v>
      </c>
      <c r="Z27" s="10" t="n">
        <f aca="false">ROUND($H27*M27,0)</f>
        <v>517416</v>
      </c>
      <c r="AA27" s="10" t="n">
        <f aca="false">ROUND($H27*N27,0)</f>
        <v>170492</v>
      </c>
      <c r="AB27" s="10" t="n">
        <f aca="false">ROUND($H27*O27,0)</f>
        <v>484</v>
      </c>
    </row>
    <row r="28" customFormat="false" ht="15" hidden="false" customHeight="false" outlineLevel="0" collapsed="false">
      <c r="B28" s="36" t="str">
        <f aca="false">C6</f>
        <v>Social-Democrats</v>
      </c>
      <c r="C28" s="47" t="n">
        <f aca="false">X41</f>
        <v>55385108</v>
      </c>
      <c r="E28" s="21" t="s">
        <v>69</v>
      </c>
      <c r="F28" s="22" t="n">
        <v>3687269</v>
      </c>
      <c r="G28" s="11" t="n">
        <f aca="false">Model!AA28</f>
        <v>0.638979821689476</v>
      </c>
      <c r="H28" s="22" t="n">
        <f aca="false">ROUND(F28*G28,0)</f>
        <v>2356090</v>
      </c>
      <c r="I28" s="23" t="n">
        <v>10</v>
      </c>
      <c r="J28" s="13" t="n">
        <f aca="false">Model!BX28</f>
        <v>0.295003631294186</v>
      </c>
      <c r="K28" s="14" t="n">
        <f aca="false">Model!BY28</f>
        <v>0.329175402938426</v>
      </c>
      <c r="L28" s="15" t="n">
        <f aca="false">Model!BZ28</f>
        <v>0.152465641136385</v>
      </c>
      <c r="M28" s="16" t="n">
        <f aca="false">Model!CA28</f>
        <v>0.157183048996496</v>
      </c>
      <c r="N28" s="17" t="n">
        <f aca="false">Model!CB28</f>
        <v>0.0659770012740318</v>
      </c>
      <c r="O28" s="18" t="n">
        <f aca="false">Model!CC28</f>
        <v>0.000195274360476469</v>
      </c>
      <c r="P28" s="23" t="n">
        <f aca="false">SUMPRODUCT((Engine!$B25:$BY25&lt;Engine!$CA25)*(Engine!$B$1:$BY$1&lt;=$I28))</f>
        <v>2</v>
      </c>
      <c r="Q28" s="23" t="n">
        <f aca="false">SUMPRODUCT((Engine!$B25:$BY25&gt;=Engine!$CA25)*(Engine!$B25:$BY25&lt;Engine!$CB25)*(Engine!$B$1:$BY$1&lt;=$I28))</f>
        <v>5</v>
      </c>
      <c r="R28" s="23" t="n">
        <f aca="false">SUMPRODUCT((Engine!$B25:$BY25&gt;=Engine!$CB25)*(Engine!$B25:$BY25&lt;Engine!$CC25)*(Engine!$B$1:$BY$1&lt;=$I28))</f>
        <v>2</v>
      </c>
      <c r="S28" s="23" t="n">
        <f aca="false">SUMPRODUCT((Engine!$B25:$BY25&gt;=Engine!$CC25)*(Engine!$B25:$BY25&lt;Engine!$CD25)*(Engine!$B$1:$BY$1&lt;=$I28))</f>
        <v>1</v>
      </c>
      <c r="T28" s="23" t="n">
        <f aca="false">SUMPRODUCT((Engine!$B25:$BY25&gt;=Engine!$CD25)*(Engine!$B25:$BY25&lt;Engine!$CE25)*(Engine!$B$1:$BY$1&lt;=$I28))</f>
        <v>0</v>
      </c>
      <c r="U28" s="23" t="n">
        <f aca="false">SUMPRODUCT((Engine!$B25:$BY25&gt;=Engine!$CE25)*(Engine!$B$1:$BY$1&lt;=$I28))</f>
        <v>0</v>
      </c>
      <c r="V28" s="23" t="str">
        <f aca="false">IF(COUNTIF(P28:U28,MAX(P28:U28))&gt;1,"Tie",INDEX($C$5:$C$10,MATCH(MAX(P28:U28),P28:U28,0)))</f>
        <v>Social-Democrats</v>
      </c>
      <c r="W28" s="22" t="n">
        <f aca="false">ROUND($H28*J28,0)</f>
        <v>695055</v>
      </c>
      <c r="X28" s="22" t="n">
        <f aca="false">ROUND($H28*K28,0)</f>
        <v>775567</v>
      </c>
      <c r="Y28" s="22" t="n">
        <f aca="false">ROUND($H28*L28,0)</f>
        <v>359223</v>
      </c>
      <c r="Z28" s="22" t="n">
        <f aca="false">ROUND($H28*M28,0)</f>
        <v>370337</v>
      </c>
      <c r="AA28" s="22" t="n">
        <f aca="false">ROUND($H28*N28,0)</f>
        <v>155448</v>
      </c>
      <c r="AB28" s="22" t="n">
        <f aca="false">ROUND($H28*O28,0)</f>
        <v>460</v>
      </c>
    </row>
    <row r="29" customFormat="false" ht="15" hidden="false" customHeight="false" outlineLevel="0" collapsed="false">
      <c r="B29" s="38" t="str">
        <f aca="false">C7</f>
        <v>Liberals</v>
      </c>
      <c r="C29" s="48" t="n">
        <f aca="false">Y41</f>
        <v>25766600</v>
      </c>
      <c r="E29" s="9" t="s">
        <v>70</v>
      </c>
      <c r="F29" s="10" t="n">
        <v>3404578</v>
      </c>
      <c r="G29" s="11" t="n">
        <f aca="false">Model!AA29</f>
        <v>0.6201950401239</v>
      </c>
      <c r="H29" s="10" t="n">
        <f aca="false">ROUND(F29*G29,0)</f>
        <v>2111502</v>
      </c>
      <c r="I29" s="12" t="n">
        <v>9</v>
      </c>
      <c r="J29" s="13" t="n">
        <f aca="false">Model!BX29</f>
        <v>0.230344449406759</v>
      </c>
      <c r="K29" s="14" t="n">
        <f aca="false">Model!BY29</f>
        <v>0.348831828804871</v>
      </c>
      <c r="L29" s="15" t="n">
        <f aca="false">Model!BZ29</f>
        <v>0.143785064854183</v>
      </c>
      <c r="M29" s="16" t="n">
        <f aca="false">Model!CA29</f>
        <v>0.206300570327159</v>
      </c>
      <c r="N29" s="17" t="n">
        <f aca="false">Model!CB29</f>
        <v>0.0705428122465521</v>
      </c>
      <c r="O29" s="18" t="n">
        <f aca="false">Model!CC29</f>
        <v>0.000195274360476469</v>
      </c>
      <c r="P29" s="12" t="n">
        <f aca="false">SUMPRODUCT((Engine!$B26:$BY26&lt;Engine!$CA26)*(Engine!$B$1:$BY$1&lt;=$I29))</f>
        <v>3</v>
      </c>
      <c r="Q29" s="12" t="n">
        <f aca="false">SUMPRODUCT((Engine!$B26:$BY26&gt;=Engine!$CA26)*(Engine!$B26:$BY26&lt;Engine!$CB26)*(Engine!$B$1:$BY$1&lt;=$I29))</f>
        <v>6</v>
      </c>
      <c r="R29" s="12" t="n">
        <f aca="false">SUMPRODUCT((Engine!$B26:$BY26&gt;=Engine!$CB26)*(Engine!$B26:$BY26&lt;Engine!$CC26)*(Engine!$B$1:$BY$1&lt;=$I29))</f>
        <v>0</v>
      </c>
      <c r="S29" s="12" t="n">
        <f aca="false">SUMPRODUCT((Engine!$B26:$BY26&gt;=Engine!$CC26)*(Engine!$B26:$BY26&lt;Engine!$CD26)*(Engine!$B$1:$BY$1&lt;=$I29))</f>
        <v>0</v>
      </c>
      <c r="T29" s="12" t="n">
        <f aca="false">SUMPRODUCT((Engine!$B26:$BY26&gt;=Engine!$CD26)*(Engine!$B26:$BY26&lt;Engine!$CE26)*(Engine!$B$1:$BY$1&lt;=$I29))</f>
        <v>0</v>
      </c>
      <c r="U29" s="12" t="n">
        <f aca="false">SUMPRODUCT((Engine!$B26:$BY26&gt;=Engine!$CE26)*(Engine!$B$1:$BY$1&lt;=$I29))</f>
        <v>0</v>
      </c>
      <c r="V29" s="12" t="str">
        <f aca="false">IF(COUNTIF(P29:U29,MAX(P29:U29))&gt;1,"Tie",INDEX($C$5:$C$10,MATCH(MAX(P29:U29),P29:U29,0)))</f>
        <v>Social-Democrats</v>
      </c>
      <c r="W29" s="10" t="n">
        <f aca="false">ROUND($H29*J29,0)</f>
        <v>486373</v>
      </c>
      <c r="X29" s="10" t="n">
        <f aca="false">ROUND($H29*K29,0)</f>
        <v>736559</v>
      </c>
      <c r="Y29" s="10" t="n">
        <f aca="false">ROUND($H29*L29,0)</f>
        <v>303602</v>
      </c>
      <c r="Z29" s="10" t="n">
        <f aca="false">ROUND($H29*M29,0)</f>
        <v>435604</v>
      </c>
      <c r="AA29" s="10" t="n">
        <f aca="false">ROUND($H29*N29,0)</f>
        <v>148951</v>
      </c>
      <c r="AB29" s="10" t="n">
        <f aca="false">ROUND($H29*O29,0)</f>
        <v>412</v>
      </c>
    </row>
    <row r="30" customFormat="false" ht="15" hidden="false" customHeight="false" outlineLevel="0" collapsed="false">
      <c r="B30" s="6" t="str">
        <f aca="false">C8</f>
        <v>Nationalist</v>
      </c>
      <c r="C30" s="49" t="n">
        <f aca="false">Z41</f>
        <v>27950024</v>
      </c>
      <c r="E30" s="21" t="s">
        <v>71</v>
      </c>
      <c r="F30" s="22" t="n">
        <v>2932849</v>
      </c>
      <c r="G30" s="11" t="n">
        <f aca="false">Model!AA30</f>
        <v>0.634249200681392</v>
      </c>
      <c r="H30" s="22" t="n">
        <f aca="false">ROUND(F30*G30,0)</f>
        <v>1860157</v>
      </c>
      <c r="I30" s="23" t="n">
        <v>8</v>
      </c>
      <c r="J30" s="13" t="n">
        <f aca="false">Model!BX30</f>
        <v>0.250836404839164</v>
      </c>
      <c r="K30" s="14" t="n">
        <f aca="false">Model!BY30</f>
        <v>0.378973447884553</v>
      </c>
      <c r="L30" s="15" t="n">
        <f aca="false">Model!BZ30</f>
        <v>0.157592464539257</v>
      </c>
      <c r="M30" s="16" t="n">
        <f aca="false">Model!CA30</f>
        <v>0.140499163169465</v>
      </c>
      <c r="N30" s="17" t="n">
        <f aca="false">Model!CB30</f>
        <v>0.0719032452070853</v>
      </c>
      <c r="O30" s="18" t="n">
        <f aca="false">Model!CC30</f>
        <v>0.000195274360476469</v>
      </c>
      <c r="P30" s="23" t="n">
        <f aca="false">SUMPRODUCT((Engine!$B27:$BY27&lt;Engine!$CA27)*(Engine!$B$1:$BY$1&lt;=$I30))</f>
        <v>0</v>
      </c>
      <c r="Q30" s="23" t="n">
        <f aca="false">SUMPRODUCT((Engine!$B27:$BY27&gt;=Engine!$CA27)*(Engine!$B27:$BY27&lt;Engine!$CB27)*(Engine!$B$1:$BY$1&lt;=$I30))</f>
        <v>7</v>
      </c>
      <c r="R30" s="23" t="n">
        <f aca="false">SUMPRODUCT((Engine!$B27:$BY27&gt;=Engine!$CB27)*(Engine!$B27:$BY27&lt;Engine!$CC27)*(Engine!$B$1:$BY$1&lt;=$I30))</f>
        <v>1</v>
      </c>
      <c r="S30" s="23" t="n">
        <f aca="false">SUMPRODUCT((Engine!$B27:$BY27&gt;=Engine!$CC27)*(Engine!$B27:$BY27&lt;Engine!$CD27)*(Engine!$B$1:$BY$1&lt;=$I30))</f>
        <v>0</v>
      </c>
      <c r="T30" s="23" t="n">
        <f aca="false">SUMPRODUCT((Engine!$B27:$BY27&gt;=Engine!$CD27)*(Engine!$B27:$BY27&lt;Engine!$CE27)*(Engine!$B$1:$BY$1&lt;=$I30))</f>
        <v>0</v>
      </c>
      <c r="U30" s="23" t="n">
        <f aca="false">SUMPRODUCT((Engine!$B27:$BY27&gt;=Engine!$CE27)*(Engine!$B$1:$BY$1&lt;=$I30))</f>
        <v>0</v>
      </c>
      <c r="V30" s="23" t="str">
        <f aca="false">IF(COUNTIF(P30:U30,MAX(P30:U30))&gt;1,"Tie",INDEX($C$5:$C$10,MATCH(MAX(P30:U30),P30:U30,0)))</f>
        <v>Social-Democrats</v>
      </c>
      <c r="W30" s="22" t="n">
        <f aca="false">ROUND($H30*J30,0)</f>
        <v>466595</v>
      </c>
      <c r="X30" s="22" t="n">
        <f aca="false">ROUND($H30*K30,0)</f>
        <v>704950</v>
      </c>
      <c r="Y30" s="22" t="n">
        <f aca="false">ROUND($H30*L30,0)</f>
        <v>293147</v>
      </c>
      <c r="Z30" s="22" t="n">
        <f aca="false">ROUND($H30*M30,0)</f>
        <v>261351</v>
      </c>
      <c r="AA30" s="22" t="n">
        <f aca="false">ROUND($H30*N30,0)</f>
        <v>133751</v>
      </c>
      <c r="AB30" s="22" t="n">
        <f aca="false">ROUND($H30*O30,0)</f>
        <v>363</v>
      </c>
    </row>
    <row r="31" customFormat="false" ht="15" hidden="false" customHeight="false" outlineLevel="0" collapsed="false">
      <c r="B31" s="41" t="str">
        <f aca="false">C9</f>
        <v>Independent</v>
      </c>
      <c r="C31" s="50" t="n">
        <f aca="false">AA41</f>
        <v>11855630</v>
      </c>
      <c r="E31" s="9" t="s">
        <v>72</v>
      </c>
      <c r="F31" s="10" t="n">
        <v>2408155</v>
      </c>
      <c r="G31" s="11" t="n">
        <f aca="false">Model!AA31</f>
        <v>0.624664825666292</v>
      </c>
      <c r="H31" s="10" t="n">
        <f aca="false">ROUND(F31*G31,0)</f>
        <v>1504290</v>
      </c>
      <c r="I31" s="12" t="n">
        <v>7</v>
      </c>
      <c r="J31" s="13" t="n">
        <f aca="false">Model!BX31</f>
        <v>0.270735022324034</v>
      </c>
      <c r="K31" s="14" t="n">
        <f aca="false">Model!BY31</f>
        <v>0.283343712456083</v>
      </c>
      <c r="L31" s="15" t="n">
        <f aca="false">Model!BZ31</f>
        <v>0.122369775692316</v>
      </c>
      <c r="M31" s="16" t="n">
        <f aca="false">Model!CA31</f>
        <v>0.246041570188291</v>
      </c>
      <c r="N31" s="17" t="n">
        <f aca="false">Model!CB31</f>
        <v>0.0773146449787999</v>
      </c>
      <c r="O31" s="18" t="n">
        <f aca="false">Model!CC31</f>
        <v>0.000195274360476469</v>
      </c>
      <c r="P31" s="12" t="n">
        <f aca="false">SUMPRODUCT((Engine!$B28:$BY28&lt;Engine!$CA28)*(Engine!$B$1:$BY$1&lt;=$I31))</f>
        <v>1</v>
      </c>
      <c r="Q31" s="12" t="n">
        <f aca="false">SUMPRODUCT((Engine!$B28:$BY28&gt;=Engine!$CA28)*(Engine!$B28:$BY28&lt;Engine!$CB28)*(Engine!$B$1:$BY$1&lt;=$I31))</f>
        <v>4</v>
      </c>
      <c r="R31" s="12" t="n">
        <f aca="false">SUMPRODUCT((Engine!$B28:$BY28&gt;=Engine!$CB28)*(Engine!$B28:$BY28&lt;Engine!$CC28)*(Engine!$B$1:$BY$1&lt;=$I31))</f>
        <v>1</v>
      </c>
      <c r="S31" s="12" t="n">
        <f aca="false">SUMPRODUCT((Engine!$B28:$BY28&gt;=Engine!$CC28)*(Engine!$B28:$BY28&lt;Engine!$CD28)*(Engine!$B$1:$BY$1&lt;=$I31))</f>
        <v>1</v>
      </c>
      <c r="T31" s="12" t="n">
        <f aca="false">SUMPRODUCT((Engine!$B28:$BY28&gt;=Engine!$CD28)*(Engine!$B28:$BY28&lt;Engine!$CE28)*(Engine!$B$1:$BY$1&lt;=$I31))</f>
        <v>0</v>
      </c>
      <c r="U31" s="12" t="n">
        <f aca="false">SUMPRODUCT((Engine!$B28:$BY28&gt;=Engine!$CE28)*(Engine!$B$1:$BY$1&lt;=$I31))</f>
        <v>0</v>
      </c>
      <c r="V31" s="12" t="str">
        <f aca="false">IF(COUNTIF(P31:U31,MAX(P31:U31))&gt;1,"Tie",INDEX($C$5:$C$10,MATCH(MAX(P31:U31),P31:U31,0)))</f>
        <v>Social-Democrats</v>
      </c>
      <c r="W31" s="10" t="n">
        <f aca="false">ROUND($H31*J31,0)</f>
        <v>407264</v>
      </c>
      <c r="X31" s="10" t="n">
        <f aca="false">ROUND($H31*K31,0)</f>
        <v>426231</v>
      </c>
      <c r="Y31" s="10" t="n">
        <f aca="false">ROUND($H31*L31,0)</f>
        <v>184080</v>
      </c>
      <c r="Z31" s="10" t="n">
        <f aca="false">ROUND($H31*M31,0)</f>
        <v>370118</v>
      </c>
      <c r="AA31" s="10" t="n">
        <f aca="false">ROUND($H31*N31,0)</f>
        <v>116304</v>
      </c>
      <c r="AB31" s="10" t="n">
        <f aca="false">ROUND($H31*O31,0)</f>
        <v>294</v>
      </c>
    </row>
    <row r="32" customFormat="false" ht="15" hidden="false" customHeight="false" outlineLevel="0" collapsed="false">
      <c r="B32" s="43" t="str">
        <f aca="false">C10</f>
        <v>BP First</v>
      </c>
      <c r="C32" s="51" t="n">
        <f aca="false">AB41</f>
        <v>59111</v>
      </c>
      <c r="E32" s="21" t="s">
        <v>73</v>
      </c>
      <c r="F32" s="22" t="n">
        <v>2051253</v>
      </c>
      <c r="G32" s="11" t="n">
        <f aca="false">Model!AA32</f>
        <v>0.603233074092578</v>
      </c>
      <c r="H32" s="22" t="n">
        <f aca="false">ROUND(F32*G32,0)</f>
        <v>1237384</v>
      </c>
      <c r="I32" s="23" t="n">
        <v>6</v>
      </c>
      <c r="J32" s="13" t="n">
        <f aca="false">Model!BX32</f>
        <v>0.18655914801023</v>
      </c>
      <c r="K32" s="14" t="n">
        <f aca="false">Model!BY32</f>
        <v>0.385451829127134</v>
      </c>
      <c r="L32" s="15" t="n">
        <f aca="false">Model!BZ32</f>
        <v>0.218629068906841</v>
      </c>
      <c r="M32" s="16" t="n">
        <f aca="false">Model!CA32</f>
        <v>0.128164990717155</v>
      </c>
      <c r="N32" s="17" t="n">
        <f aca="false">Model!CB32</f>
        <v>0.0809996888781635</v>
      </c>
      <c r="O32" s="18" t="n">
        <f aca="false">Model!CC32</f>
        <v>0.000195274360476469</v>
      </c>
      <c r="P32" s="23" t="n">
        <f aca="false">SUMPRODUCT((Engine!$B29:$BY29&lt;Engine!$CA29)*(Engine!$B$1:$BY$1&lt;=$I32))</f>
        <v>0</v>
      </c>
      <c r="Q32" s="23" t="n">
        <f aca="false">SUMPRODUCT((Engine!$B29:$BY29&gt;=Engine!$CA29)*(Engine!$B29:$BY29&lt;Engine!$CB29)*(Engine!$B$1:$BY$1&lt;=$I32))</f>
        <v>5</v>
      </c>
      <c r="R32" s="23" t="n">
        <f aca="false">SUMPRODUCT((Engine!$B29:$BY29&gt;=Engine!$CB29)*(Engine!$B29:$BY29&lt;Engine!$CC29)*(Engine!$B$1:$BY$1&lt;=$I32))</f>
        <v>0</v>
      </c>
      <c r="S32" s="23" t="n">
        <f aca="false">SUMPRODUCT((Engine!$B29:$BY29&gt;=Engine!$CC29)*(Engine!$B29:$BY29&lt;Engine!$CD29)*(Engine!$B$1:$BY$1&lt;=$I32))</f>
        <v>1</v>
      </c>
      <c r="T32" s="23" t="n">
        <f aca="false">SUMPRODUCT((Engine!$B29:$BY29&gt;=Engine!$CD29)*(Engine!$B29:$BY29&lt;Engine!$CE29)*(Engine!$B$1:$BY$1&lt;=$I32))</f>
        <v>0</v>
      </c>
      <c r="U32" s="23" t="n">
        <f aca="false">SUMPRODUCT((Engine!$B29:$BY29&gt;=Engine!$CE29)*(Engine!$B$1:$BY$1&lt;=$I32))</f>
        <v>0</v>
      </c>
      <c r="V32" s="23" t="str">
        <f aca="false">IF(COUNTIF(P32:U32,MAX(P32:U32))&gt;1,"Tie",INDEX($C$5:$C$10,MATCH(MAX(P32:U32),P32:U32,0)))</f>
        <v>Social-Democrats</v>
      </c>
      <c r="W32" s="22" t="n">
        <f aca="false">ROUND($H32*J32,0)</f>
        <v>230845</v>
      </c>
      <c r="X32" s="22" t="n">
        <f aca="false">ROUND($H32*K32,0)</f>
        <v>476952</v>
      </c>
      <c r="Y32" s="22" t="n">
        <f aca="false">ROUND($H32*L32,0)</f>
        <v>270528</v>
      </c>
      <c r="Z32" s="22" t="n">
        <f aca="false">ROUND($H32*M32,0)</f>
        <v>158589</v>
      </c>
      <c r="AA32" s="22" t="n">
        <f aca="false">ROUND($H32*N32,0)</f>
        <v>100228</v>
      </c>
      <c r="AB32" s="22" t="n">
        <f aca="false">ROUND($H32*O32,0)</f>
        <v>242</v>
      </c>
    </row>
    <row r="33" customFormat="false" ht="15" hidden="false" customHeight="false" outlineLevel="0" collapsed="false">
      <c r="E33" s="9" t="s">
        <v>74</v>
      </c>
      <c r="F33" s="10" t="n">
        <v>1660518</v>
      </c>
      <c r="G33" s="11" t="n">
        <f aca="false">Model!AA33</f>
        <v>0.608276801172938</v>
      </c>
      <c r="H33" s="10" t="n">
        <f aca="false">ROUND(F33*G33,0)</f>
        <v>1010055</v>
      </c>
      <c r="I33" s="12" t="n">
        <v>5</v>
      </c>
      <c r="J33" s="13" t="n">
        <f aca="false">Model!BX33</f>
        <v>0.183381993812091</v>
      </c>
      <c r="K33" s="14" t="n">
        <f aca="false">Model!BY33</f>
        <v>0.398268445574585</v>
      </c>
      <c r="L33" s="15" t="n">
        <f aca="false">Model!BZ33</f>
        <v>0.214310305562215</v>
      </c>
      <c r="M33" s="16" t="n">
        <f aca="false">Model!CA33</f>
        <v>0.132559110639698</v>
      </c>
      <c r="N33" s="17" t="n">
        <f aca="false">Model!CB33</f>
        <v>0.0712848700509344</v>
      </c>
      <c r="O33" s="18" t="n">
        <f aca="false">Model!CC33</f>
        <v>0.000195274360476469</v>
      </c>
      <c r="P33" s="12" t="n">
        <f aca="false">SUMPRODUCT((Engine!$B30:$BY30&lt;Engine!$CA30)*(Engine!$B$1:$BY$1&lt;=$I33))</f>
        <v>2</v>
      </c>
      <c r="Q33" s="12" t="n">
        <f aca="false">SUMPRODUCT((Engine!$B30:$BY30&gt;=Engine!$CA30)*(Engine!$B30:$BY30&lt;Engine!$CB30)*(Engine!$B$1:$BY$1&lt;=$I33))</f>
        <v>2</v>
      </c>
      <c r="R33" s="12" t="n">
        <f aca="false">SUMPRODUCT((Engine!$B30:$BY30&gt;=Engine!$CB30)*(Engine!$B30:$BY30&lt;Engine!$CC30)*(Engine!$B$1:$BY$1&lt;=$I33))</f>
        <v>1</v>
      </c>
      <c r="S33" s="12" t="n">
        <f aca="false">SUMPRODUCT((Engine!$B30:$BY30&gt;=Engine!$CC30)*(Engine!$B30:$BY30&lt;Engine!$CD30)*(Engine!$B$1:$BY$1&lt;=$I33))</f>
        <v>0</v>
      </c>
      <c r="T33" s="12" t="n">
        <f aca="false">SUMPRODUCT((Engine!$B30:$BY30&gt;=Engine!$CD30)*(Engine!$B30:$BY30&lt;Engine!$CE30)*(Engine!$B$1:$BY$1&lt;=$I33))</f>
        <v>0</v>
      </c>
      <c r="U33" s="12" t="n">
        <f aca="false">SUMPRODUCT((Engine!$B30:$BY30&gt;=Engine!$CE30)*(Engine!$B$1:$BY$1&lt;=$I33))</f>
        <v>0</v>
      </c>
      <c r="V33" s="12" t="str">
        <f aca="false">IF(COUNTIF(P33:U33,MAX(P33:U33))&gt;1,"Tie",INDEX($C$5:$C$10,MATCH(MAX(P33:U33),P33:U33,0)))</f>
        <v>Tie</v>
      </c>
      <c r="W33" s="10" t="n">
        <f aca="false">ROUND($H33*J33,0)</f>
        <v>185226</v>
      </c>
      <c r="X33" s="10" t="n">
        <f aca="false">ROUND($H33*K33,0)</f>
        <v>402273</v>
      </c>
      <c r="Y33" s="10" t="n">
        <f aca="false">ROUND($H33*L33,0)</f>
        <v>216465</v>
      </c>
      <c r="Z33" s="10" t="n">
        <f aca="false">ROUND($H33*M33,0)</f>
        <v>133892</v>
      </c>
      <c r="AA33" s="10" t="n">
        <f aca="false">ROUND($H33*N33,0)</f>
        <v>72002</v>
      </c>
      <c r="AB33" s="10" t="n">
        <f aca="false">ROUND($H33*O33,0)</f>
        <v>197</v>
      </c>
    </row>
    <row r="34" customFormat="false" ht="15" hidden="false" customHeight="false" outlineLevel="0" collapsed="false">
      <c r="B34" s="6" t="s">
        <v>75</v>
      </c>
      <c r="C34" s="33" t="str">
        <f aca="false">IF(COUNTIF(C27:C32,MAX(C27:C32))&gt;1,"Tie",INDEX(C5:C10,MATCH(MAX(C27:C32),C27:C32,0)))</f>
        <v>Social-Democrats</v>
      </c>
      <c r="E34" s="21" t="s">
        <v>76</v>
      </c>
      <c r="F34" s="22" t="n">
        <v>1532243</v>
      </c>
      <c r="G34" s="11" t="n">
        <f aca="false">Model!AA34</f>
        <v>0.618989913480541</v>
      </c>
      <c r="H34" s="22" t="n">
        <f aca="false">ROUND(F34*G34,0)</f>
        <v>948443</v>
      </c>
      <c r="I34" s="23" t="n">
        <v>5</v>
      </c>
      <c r="J34" s="13" t="n">
        <f aca="false">Model!BX34</f>
        <v>0.270257212655479</v>
      </c>
      <c r="K34" s="14" t="n">
        <f aca="false">Model!BY34</f>
        <v>0.330821651536667</v>
      </c>
      <c r="L34" s="15" t="n">
        <f aca="false">Model!BZ34</f>
        <v>0.138153961267931</v>
      </c>
      <c r="M34" s="16" t="n">
        <f aca="false">Model!CA34</f>
        <v>0.192502236088064</v>
      </c>
      <c r="N34" s="17" t="n">
        <f aca="false">Model!CB34</f>
        <v>0.0680696640913828</v>
      </c>
      <c r="O34" s="18" t="n">
        <f aca="false">Model!CC34</f>
        <v>0.000195274360476469</v>
      </c>
      <c r="P34" s="23" t="n">
        <f aca="false">SUMPRODUCT((Engine!$B31:$BY31&lt;Engine!$CA31)*(Engine!$B$1:$BY$1&lt;=$I34))</f>
        <v>1</v>
      </c>
      <c r="Q34" s="23" t="n">
        <f aca="false">SUMPRODUCT((Engine!$B31:$BY31&gt;=Engine!$CA31)*(Engine!$B31:$BY31&lt;Engine!$CB31)*(Engine!$B$1:$BY$1&lt;=$I34))</f>
        <v>3</v>
      </c>
      <c r="R34" s="23" t="n">
        <f aca="false">SUMPRODUCT((Engine!$B31:$BY31&gt;=Engine!$CB31)*(Engine!$B31:$BY31&lt;Engine!$CC31)*(Engine!$B$1:$BY$1&lt;=$I34))</f>
        <v>0</v>
      </c>
      <c r="S34" s="23" t="n">
        <f aca="false">SUMPRODUCT((Engine!$B31:$BY31&gt;=Engine!$CC31)*(Engine!$B31:$BY31&lt;Engine!$CD31)*(Engine!$B$1:$BY$1&lt;=$I34))</f>
        <v>1</v>
      </c>
      <c r="T34" s="23" t="n">
        <f aca="false">SUMPRODUCT((Engine!$B31:$BY31&gt;=Engine!$CD31)*(Engine!$B31:$BY31&lt;Engine!$CE31)*(Engine!$B$1:$BY$1&lt;=$I34))</f>
        <v>0</v>
      </c>
      <c r="U34" s="23" t="n">
        <f aca="false">SUMPRODUCT((Engine!$B31:$BY31&gt;=Engine!$CE31)*(Engine!$B$1:$BY$1&lt;=$I34))</f>
        <v>0</v>
      </c>
      <c r="V34" s="23" t="str">
        <f aca="false">IF(COUNTIF(P34:U34,MAX(P34:U34))&gt;1,"Tie",INDEX($C$5:$C$10,MATCH(MAX(P34:U34),P34:U34,0)))</f>
        <v>Social-Democrats</v>
      </c>
      <c r="W34" s="22" t="n">
        <f aca="false">ROUND($H34*J34,0)</f>
        <v>256324</v>
      </c>
      <c r="X34" s="22" t="n">
        <f aca="false">ROUND($H34*K34,0)</f>
        <v>313765</v>
      </c>
      <c r="Y34" s="22" t="n">
        <f aca="false">ROUND($H34*L34,0)</f>
        <v>131031</v>
      </c>
      <c r="Z34" s="22" t="n">
        <f aca="false">ROUND($H34*M34,0)</f>
        <v>182577</v>
      </c>
      <c r="AA34" s="22" t="n">
        <f aca="false">ROUND($H34*N34,0)</f>
        <v>64560</v>
      </c>
      <c r="AB34" s="22" t="n">
        <f aca="false">ROUND($H34*O34,0)</f>
        <v>185</v>
      </c>
    </row>
    <row r="35" customFormat="false" ht="15" hidden="false" customHeight="false" outlineLevel="0" collapsed="false">
      <c r="B35" s="6" t="s">
        <v>77</v>
      </c>
      <c r="C35" s="12" t="str">
        <f aca="false">IF(C34=C23,"Yes","No - split result")</f>
        <v>Yes</v>
      </c>
      <c r="E35" s="9" t="s">
        <v>78</v>
      </c>
      <c r="F35" s="10" t="n">
        <v>1329163</v>
      </c>
      <c r="G35" s="11" t="n">
        <f aca="false">Model!AA35</f>
        <v>0.607309263630757</v>
      </c>
      <c r="H35" s="10" t="n">
        <f aca="false">ROUND(F35*G35,0)</f>
        <v>807213</v>
      </c>
      <c r="I35" s="12" t="n">
        <v>5</v>
      </c>
      <c r="J35" s="13" t="n">
        <f aca="false">Model!BX35</f>
        <v>0.193659824293435</v>
      </c>
      <c r="K35" s="14" t="n">
        <f aca="false">Model!BY35</f>
        <v>0.390803515082572</v>
      </c>
      <c r="L35" s="15" t="n">
        <f aca="false">Model!BZ35</f>
        <v>0.209567914242692</v>
      </c>
      <c r="M35" s="16" t="n">
        <f aca="false">Model!CA35</f>
        <v>0.120567831416319</v>
      </c>
      <c r="N35" s="17" t="n">
        <f aca="false">Model!CB35</f>
        <v>0.0852056406045054</v>
      </c>
      <c r="O35" s="18" t="n">
        <f aca="false">Model!CC35</f>
        <v>0.000195274360476469</v>
      </c>
      <c r="P35" s="12" t="n">
        <f aca="false">SUMPRODUCT((Engine!$B32:$BY32&lt;Engine!$CA32)*(Engine!$B$1:$BY$1&lt;=$I35))</f>
        <v>1</v>
      </c>
      <c r="Q35" s="12" t="n">
        <f aca="false">SUMPRODUCT((Engine!$B32:$BY32&gt;=Engine!$CA32)*(Engine!$B32:$BY32&lt;Engine!$CB32)*(Engine!$B$1:$BY$1&lt;=$I35))</f>
        <v>4</v>
      </c>
      <c r="R35" s="12" t="n">
        <f aca="false">SUMPRODUCT((Engine!$B32:$BY32&gt;=Engine!$CB32)*(Engine!$B32:$BY32&lt;Engine!$CC32)*(Engine!$B$1:$BY$1&lt;=$I35))</f>
        <v>0</v>
      </c>
      <c r="S35" s="12" t="n">
        <f aca="false">SUMPRODUCT((Engine!$B32:$BY32&gt;=Engine!$CC32)*(Engine!$B32:$BY32&lt;Engine!$CD32)*(Engine!$B$1:$BY$1&lt;=$I35))</f>
        <v>0</v>
      </c>
      <c r="T35" s="12" t="n">
        <f aca="false">SUMPRODUCT((Engine!$B32:$BY32&gt;=Engine!$CD32)*(Engine!$B32:$BY32&lt;Engine!$CE32)*(Engine!$B$1:$BY$1&lt;=$I35))</f>
        <v>0</v>
      </c>
      <c r="U35" s="12" t="n">
        <f aca="false">SUMPRODUCT((Engine!$B32:$BY32&gt;=Engine!$CE32)*(Engine!$B$1:$BY$1&lt;=$I35))</f>
        <v>0</v>
      </c>
      <c r="V35" s="12" t="str">
        <f aca="false">IF(COUNTIF(P35:U35,MAX(P35:U35))&gt;1,"Tie",INDEX($C$5:$C$10,MATCH(MAX(P35:U35),P35:U35,0)))</f>
        <v>Social-Democrats</v>
      </c>
      <c r="W35" s="10" t="n">
        <f aca="false">ROUND($H35*J35,0)</f>
        <v>156325</v>
      </c>
      <c r="X35" s="10" t="n">
        <f aca="false">ROUND($H35*K35,0)</f>
        <v>315462</v>
      </c>
      <c r="Y35" s="10" t="n">
        <f aca="false">ROUND($H35*L35,0)</f>
        <v>169166</v>
      </c>
      <c r="Z35" s="10" t="n">
        <f aca="false">ROUND($H35*M35,0)</f>
        <v>97324</v>
      </c>
      <c r="AA35" s="10" t="n">
        <f aca="false">ROUND($H35*N35,0)</f>
        <v>68779</v>
      </c>
      <c r="AB35" s="10" t="n">
        <f aca="false">ROUND($H35*O35,0)</f>
        <v>158</v>
      </c>
    </row>
    <row r="36" customFormat="false" ht="15" hidden="false" customHeight="false" outlineLevel="0" collapsed="false">
      <c r="B36" s="32" t="s">
        <v>79</v>
      </c>
      <c r="C36" s="52" t="n">
        <f aca="false">H41</f>
        <v>157818695</v>
      </c>
      <c r="E36" s="21" t="s">
        <v>80</v>
      </c>
      <c r="F36" s="22" t="n">
        <v>1198271</v>
      </c>
      <c r="G36" s="11" t="n">
        <f aca="false">Model!AA36</f>
        <v>0.640834552513208</v>
      </c>
      <c r="H36" s="22" t="n">
        <f aca="false">ROUND(F36*G36,0)</f>
        <v>767893</v>
      </c>
      <c r="I36" s="23" t="n">
        <v>5</v>
      </c>
      <c r="J36" s="13" t="n">
        <f aca="false">Model!BX36</f>
        <v>0.270758954195344</v>
      </c>
      <c r="K36" s="14" t="n">
        <f aca="false">Model!BY36</f>
        <v>0.294392657487627</v>
      </c>
      <c r="L36" s="15" t="n">
        <f aca="false">Model!BZ36</f>
        <v>0.147125002856748</v>
      </c>
      <c r="M36" s="16" t="n">
        <f aca="false">Model!CA36</f>
        <v>0.212837126392359</v>
      </c>
      <c r="N36" s="17" t="n">
        <f aca="false">Model!CB36</f>
        <v>0.074690984707445</v>
      </c>
      <c r="O36" s="18" t="n">
        <f aca="false">Model!CC36</f>
        <v>0.000195274360476469</v>
      </c>
      <c r="P36" s="23" t="n">
        <f aca="false">SUMPRODUCT((Engine!$B33:$BY33&lt;Engine!$CA33)*(Engine!$B$1:$BY$1&lt;=$I36))</f>
        <v>3</v>
      </c>
      <c r="Q36" s="23" t="n">
        <f aca="false">SUMPRODUCT((Engine!$B33:$BY33&gt;=Engine!$CA33)*(Engine!$B33:$BY33&lt;Engine!$CB33)*(Engine!$B$1:$BY$1&lt;=$I36))</f>
        <v>2</v>
      </c>
      <c r="R36" s="23" t="n">
        <f aca="false">SUMPRODUCT((Engine!$B33:$BY33&gt;=Engine!$CB33)*(Engine!$B33:$BY33&lt;Engine!$CC33)*(Engine!$B$1:$BY$1&lt;=$I36))</f>
        <v>0</v>
      </c>
      <c r="S36" s="23" t="n">
        <f aca="false">SUMPRODUCT((Engine!$B33:$BY33&gt;=Engine!$CC33)*(Engine!$B33:$BY33&lt;Engine!$CD33)*(Engine!$B$1:$BY$1&lt;=$I36))</f>
        <v>0</v>
      </c>
      <c r="T36" s="23" t="n">
        <f aca="false">SUMPRODUCT((Engine!$B33:$BY33&gt;=Engine!$CD33)*(Engine!$B33:$BY33&lt;Engine!$CE33)*(Engine!$B$1:$BY$1&lt;=$I36))</f>
        <v>0</v>
      </c>
      <c r="U36" s="23" t="n">
        <f aca="false">SUMPRODUCT((Engine!$B33:$BY33&gt;=Engine!$CE33)*(Engine!$B$1:$BY$1&lt;=$I36))</f>
        <v>0</v>
      </c>
      <c r="V36" s="23" t="str">
        <f aca="false">IF(COUNTIF(P36:U36,MAX(P36:U36))&gt;1,"Tie",INDEX($C$5:$C$10,MATCH(MAX(P36:U36),P36:U36,0)))</f>
        <v>Conservatives</v>
      </c>
      <c r="W36" s="22" t="n">
        <f aca="false">ROUND($H36*J36,0)</f>
        <v>207914</v>
      </c>
      <c r="X36" s="22" t="n">
        <f aca="false">ROUND($H36*K36,0)</f>
        <v>226062</v>
      </c>
      <c r="Y36" s="22" t="n">
        <f aca="false">ROUND($H36*L36,0)</f>
        <v>112976</v>
      </c>
      <c r="Z36" s="22" t="n">
        <f aca="false">ROUND($H36*M36,0)</f>
        <v>163436</v>
      </c>
      <c r="AA36" s="22" t="n">
        <f aca="false">ROUND($H36*N36,0)</f>
        <v>57355</v>
      </c>
      <c r="AB36" s="22" t="n">
        <f aca="false">ROUND($H36*O36,0)</f>
        <v>150</v>
      </c>
    </row>
    <row r="37" customFormat="false" ht="15" hidden="false" customHeight="false" outlineLevel="0" collapsed="false">
      <c r="B37" s="32" t="s">
        <v>81</v>
      </c>
      <c r="C37" s="53" t="n">
        <f aca="false">H41/F41</f>
        <v>0.626158394673717</v>
      </c>
      <c r="E37" s="9" t="s">
        <v>82</v>
      </c>
      <c r="F37" s="10" t="n">
        <v>823502</v>
      </c>
      <c r="G37" s="11" t="n">
        <f aca="false">Model!AA37</f>
        <v>0.636611219667272</v>
      </c>
      <c r="H37" s="10" t="n">
        <f aca="false">ROUND(F37*G37,0)</f>
        <v>524251</v>
      </c>
      <c r="I37" s="12" t="n">
        <v>4</v>
      </c>
      <c r="J37" s="13" t="n">
        <f aca="false">Model!BX37</f>
        <v>0.223611662008858</v>
      </c>
      <c r="K37" s="14" t="n">
        <f aca="false">Model!BY37</f>
        <v>0.384371431301298</v>
      </c>
      <c r="L37" s="15" t="n">
        <f aca="false">Model!BZ37</f>
        <v>0.158208251588956</v>
      </c>
      <c r="M37" s="16" t="n">
        <f aca="false">Model!CA37</f>
        <v>0.16345290784063</v>
      </c>
      <c r="N37" s="17" t="n">
        <f aca="false">Model!CB37</f>
        <v>0.0701604728997805</v>
      </c>
      <c r="O37" s="18" t="n">
        <f aca="false">Model!CC37</f>
        <v>0.000195274360476469</v>
      </c>
      <c r="P37" s="12" t="n">
        <f aca="false">SUMPRODUCT((Engine!$B34:$BY34&lt;Engine!$CA34)*(Engine!$B$1:$BY$1&lt;=$I37))</f>
        <v>1</v>
      </c>
      <c r="Q37" s="12" t="n">
        <f aca="false">SUMPRODUCT((Engine!$B34:$BY34&gt;=Engine!$CA34)*(Engine!$B34:$BY34&lt;Engine!$CB34)*(Engine!$B$1:$BY$1&lt;=$I37))</f>
        <v>2</v>
      </c>
      <c r="R37" s="12" t="n">
        <f aca="false">SUMPRODUCT((Engine!$B34:$BY34&gt;=Engine!$CB34)*(Engine!$B34:$BY34&lt;Engine!$CC34)*(Engine!$B$1:$BY$1&lt;=$I37))</f>
        <v>1</v>
      </c>
      <c r="S37" s="12" t="n">
        <f aca="false">SUMPRODUCT((Engine!$B34:$BY34&gt;=Engine!$CC34)*(Engine!$B34:$BY34&lt;Engine!$CD34)*(Engine!$B$1:$BY$1&lt;=$I37))</f>
        <v>0</v>
      </c>
      <c r="T37" s="12" t="n">
        <f aca="false">SUMPRODUCT((Engine!$B34:$BY34&gt;=Engine!$CD34)*(Engine!$B34:$BY34&lt;Engine!$CE34)*(Engine!$B$1:$BY$1&lt;=$I37))</f>
        <v>0</v>
      </c>
      <c r="U37" s="12" t="n">
        <f aca="false">SUMPRODUCT((Engine!$B34:$BY34&gt;=Engine!$CE34)*(Engine!$B$1:$BY$1&lt;=$I37))</f>
        <v>0</v>
      </c>
      <c r="V37" s="12" t="str">
        <f aca="false">IF(COUNTIF(P37:U37,MAX(P37:U37))&gt;1,"Tie",INDEX($C$5:$C$10,MATCH(MAX(P37:U37),P37:U37,0)))</f>
        <v>Social-Democrats</v>
      </c>
      <c r="W37" s="10" t="n">
        <f aca="false">ROUND($H37*J37,0)</f>
        <v>117229</v>
      </c>
      <c r="X37" s="10" t="n">
        <f aca="false">ROUND($H37*K37,0)</f>
        <v>201507</v>
      </c>
      <c r="Y37" s="10" t="n">
        <f aca="false">ROUND($H37*L37,0)</f>
        <v>82941</v>
      </c>
      <c r="Z37" s="10" t="n">
        <f aca="false">ROUND($H37*M37,0)</f>
        <v>85690</v>
      </c>
      <c r="AA37" s="10" t="n">
        <f aca="false">ROUND($H37*N37,0)</f>
        <v>36782</v>
      </c>
      <c r="AB37" s="10" t="n">
        <f aca="false">ROUND($H37*O37,0)</f>
        <v>102</v>
      </c>
    </row>
    <row r="38" customFormat="false" ht="15" hidden="false" customHeight="false" outlineLevel="0" collapsed="false">
      <c r="E38" s="21" t="s">
        <v>83</v>
      </c>
      <c r="F38" s="22" t="n">
        <v>624473</v>
      </c>
      <c r="G38" s="11" t="n">
        <f aca="false">Model!AA38</f>
        <v>0.628918631117452</v>
      </c>
      <c r="H38" s="22" t="n">
        <f aca="false">ROUND(F38*G38,0)</f>
        <v>392743</v>
      </c>
      <c r="I38" s="23" t="n">
        <v>3</v>
      </c>
      <c r="J38" s="13" t="n">
        <f aca="false">Model!BX38</f>
        <v>0.248834086812958</v>
      </c>
      <c r="K38" s="14" t="n">
        <f aca="false">Model!BY38</f>
        <v>0.385663007073791</v>
      </c>
      <c r="L38" s="15" t="n">
        <f aca="false">Model!BZ38</f>
        <v>0.163185086362983</v>
      </c>
      <c r="M38" s="16" t="n">
        <f aca="false">Model!CA38</f>
        <v>0.13567897601638</v>
      </c>
      <c r="N38" s="17" t="n">
        <f aca="false">Model!CB38</f>
        <v>0.0664435693734126</v>
      </c>
      <c r="O38" s="18" t="n">
        <f aca="false">Model!CC38</f>
        <v>0.000195274360476469</v>
      </c>
      <c r="P38" s="23" t="n">
        <f aca="false">SUMPRODUCT((Engine!$B35:$BY35&lt;Engine!$CA35)*(Engine!$B$1:$BY$1&lt;=$I38))</f>
        <v>1</v>
      </c>
      <c r="Q38" s="23" t="n">
        <f aca="false">SUMPRODUCT((Engine!$B35:$BY35&gt;=Engine!$CA35)*(Engine!$B35:$BY35&lt;Engine!$CB35)*(Engine!$B$1:$BY$1&lt;=$I38))</f>
        <v>2</v>
      </c>
      <c r="R38" s="23" t="n">
        <f aca="false">SUMPRODUCT((Engine!$B35:$BY35&gt;=Engine!$CB35)*(Engine!$B35:$BY35&lt;Engine!$CC35)*(Engine!$B$1:$BY$1&lt;=$I38))</f>
        <v>0</v>
      </c>
      <c r="S38" s="23" t="n">
        <f aca="false">SUMPRODUCT((Engine!$B35:$BY35&gt;=Engine!$CC35)*(Engine!$B35:$BY35&lt;Engine!$CD35)*(Engine!$B$1:$BY$1&lt;=$I38))</f>
        <v>0</v>
      </c>
      <c r="T38" s="23" t="n">
        <f aca="false">SUMPRODUCT((Engine!$B35:$BY35&gt;=Engine!$CD35)*(Engine!$B35:$BY35&lt;Engine!$CE35)*(Engine!$B$1:$BY$1&lt;=$I38))</f>
        <v>0</v>
      </c>
      <c r="U38" s="23" t="n">
        <f aca="false">SUMPRODUCT((Engine!$B35:$BY35&gt;=Engine!$CE35)*(Engine!$B$1:$BY$1&lt;=$I38))</f>
        <v>0</v>
      </c>
      <c r="V38" s="23" t="str">
        <f aca="false">IF(COUNTIF(P38:U38,MAX(P38:U38))&gt;1,"Tie",INDEX($C$5:$C$10,MATCH(MAX(P38:U38),P38:U38,0)))</f>
        <v>Social-Democrats</v>
      </c>
      <c r="W38" s="22" t="n">
        <f aca="false">ROUND($H38*J38,0)</f>
        <v>97728</v>
      </c>
      <c r="X38" s="22" t="n">
        <f aca="false">ROUND($H38*K38,0)</f>
        <v>151466</v>
      </c>
      <c r="Y38" s="22" t="n">
        <f aca="false">ROUND($H38*L38,0)</f>
        <v>64090</v>
      </c>
      <c r="Z38" s="22" t="n">
        <f aca="false">ROUND($H38*M38,0)</f>
        <v>53287</v>
      </c>
      <c r="AA38" s="22" t="n">
        <f aca="false">ROUND($H38*N38,0)</f>
        <v>26095</v>
      </c>
      <c r="AB38" s="22" t="n">
        <f aca="false">ROUND($H38*O38,0)</f>
        <v>77</v>
      </c>
    </row>
    <row r="39" customFormat="false" ht="15" hidden="false" customHeight="false" outlineLevel="0" collapsed="false">
      <c r="B39" s="3" t="s">
        <v>84</v>
      </c>
      <c r="C39" s="3"/>
      <c r="E39" s="9" t="s">
        <v>85</v>
      </c>
      <c r="F39" s="10" t="n">
        <v>332741</v>
      </c>
      <c r="G39" s="11" t="n">
        <f aca="false">Model!AA39</f>
        <v>0.68628890939946</v>
      </c>
      <c r="H39" s="10" t="n">
        <f aca="false">ROUND(F39*G39,0)</f>
        <v>228356</v>
      </c>
      <c r="I39" s="12" t="n">
        <v>3</v>
      </c>
      <c r="J39" s="13" t="n">
        <f aca="false">Model!BX39</f>
        <v>0.335269727810189</v>
      </c>
      <c r="K39" s="14" t="n">
        <f aca="false">Model!BY39</f>
        <v>0.260348931563062</v>
      </c>
      <c r="L39" s="15" t="n">
        <f aca="false">Model!BZ39</f>
        <v>0.219792680378539</v>
      </c>
      <c r="M39" s="16" t="n">
        <f aca="false">Model!CA39</f>
        <v>0.103458976656265</v>
      </c>
      <c r="N39" s="17" t="n">
        <f aca="false">Model!CB39</f>
        <v>0.0809344092314678</v>
      </c>
      <c r="O39" s="18" t="n">
        <f aca="false">Model!CC39</f>
        <v>0.000195274360476469</v>
      </c>
      <c r="P39" s="12" t="n">
        <f aca="false">SUMPRODUCT((Engine!$B36:$BY36&lt;Engine!$CA36)*(Engine!$B$1:$BY$1&lt;=$I39))</f>
        <v>2</v>
      </c>
      <c r="Q39" s="12" t="n">
        <f aca="false">SUMPRODUCT((Engine!$B36:$BY36&gt;=Engine!$CA36)*(Engine!$B36:$BY36&lt;Engine!$CB36)*(Engine!$B$1:$BY$1&lt;=$I39))</f>
        <v>0</v>
      </c>
      <c r="R39" s="12" t="n">
        <f aca="false">SUMPRODUCT((Engine!$B36:$BY36&gt;=Engine!$CB36)*(Engine!$B36:$BY36&lt;Engine!$CC36)*(Engine!$B$1:$BY$1&lt;=$I39))</f>
        <v>0</v>
      </c>
      <c r="S39" s="12" t="n">
        <f aca="false">SUMPRODUCT((Engine!$B36:$BY36&gt;=Engine!$CC36)*(Engine!$B36:$BY36&lt;Engine!$CD36)*(Engine!$B$1:$BY$1&lt;=$I39))</f>
        <v>1</v>
      </c>
      <c r="T39" s="12" t="n">
        <f aca="false">SUMPRODUCT((Engine!$B36:$BY36&gt;=Engine!$CD36)*(Engine!$B36:$BY36&lt;Engine!$CE36)*(Engine!$B$1:$BY$1&lt;=$I39))</f>
        <v>0</v>
      </c>
      <c r="U39" s="12" t="n">
        <f aca="false">SUMPRODUCT((Engine!$B36:$BY36&gt;=Engine!$CE36)*(Engine!$B$1:$BY$1&lt;=$I39))</f>
        <v>0</v>
      </c>
      <c r="V39" s="12" t="str">
        <f aca="false">IF(COUNTIF(P39:U39,MAX(P39:U39))&gt;1,"Tie",INDEX($C$5:$C$10,MATCH(MAX(P39:U39),P39:U39,0)))</f>
        <v>Conservatives</v>
      </c>
      <c r="W39" s="10" t="n">
        <f aca="false">ROUND($H39*J39,0)</f>
        <v>76561</v>
      </c>
      <c r="X39" s="10" t="n">
        <f aca="false">ROUND($H39*K39,0)</f>
        <v>59452</v>
      </c>
      <c r="Y39" s="10" t="n">
        <f aca="false">ROUND($H39*L39,0)</f>
        <v>50191</v>
      </c>
      <c r="Z39" s="10" t="n">
        <f aca="false">ROUND($H39*M39,0)</f>
        <v>23625</v>
      </c>
      <c r="AA39" s="10" t="n">
        <f aca="false">ROUND($H39*N39,0)</f>
        <v>18482</v>
      </c>
      <c r="AB39" s="10" t="n">
        <f aca="false">ROUND($H39*O39,0)</f>
        <v>45</v>
      </c>
    </row>
    <row r="40" customFormat="false" ht="15" hidden="false" customHeight="false" outlineLevel="0" collapsed="false">
      <c r="B40" s="32" t="s">
        <v>86</v>
      </c>
      <c r="C40" s="33" t="str">
        <f aca="false">Incumbency!C4</f>
        <v>Social-Democrats</v>
      </c>
      <c r="E40" s="21" t="s">
        <v>87</v>
      </c>
      <c r="F40" s="22" t="n">
        <v>138786</v>
      </c>
      <c r="G40" s="11" t="n">
        <f aca="false">Model!AA40</f>
        <v>0.573652228497667</v>
      </c>
      <c r="H40" s="22" t="n">
        <f aca="false">ROUND(F40*G40,0)</f>
        <v>79615</v>
      </c>
      <c r="I40" s="23" t="n">
        <v>2</v>
      </c>
      <c r="J40" s="13" t="n">
        <f aca="false">Model!BX40</f>
        <v>0.119185931002222</v>
      </c>
      <c r="K40" s="14" t="n">
        <f aca="false">Model!BY40</f>
        <v>0.24650362221953</v>
      </c>
      <c r="L40" s="15" t="n">
        <f aca="false">Model!BZ40</f>
        <v>0.0829894553677879</v>
      </c>
      <c r="M40" s="16" t="n">
        <f aca="false">Model!CA40</f>
        <v>0.132582841594738</v>
      </c>
      <c r="N40" s="17" t="n">
        <f aca="false">Model!CB40</f>
        <v>0.0631740267199523</v>
      </c>
      <c r="O40" s="18" t="n">
        <f aca="false">Model!CC40</f>
        <v>0.35556412309577</v>
      </c>
      <c r="P40" s="23" t="n">
        <f aca="false">SUMPRODUCT((Engine!$B37:$BY37&lt;Engine!$CA37)*(Engine!$B$1:$BY$1&lt;=$I40))</f>
        <v>0</v>
      </c>
      <c r="Q40" s="23" t="n">
        <f aca="false">SUMPRODUCT((Engine!$B37:$BY37&gt;=Engine!$CA37)*(Engine!$B37:$BY37&lt;Engine!$CB37)*(Engine!$B$1:$BY$1&lt;=$I40))</f>
        <v>1</v>
      </c>
      <c r="R40" s="23" t="n">
        <f aca="false">SUMPRODUCT((Engine!$B37:$BY37&gt;=Engine!$CB37)*(Engine!$B37:$BY37&lt;Engine!$CC37)*(Engine!$B$1:$BY$1&lt;=$I40))</f>
        <v>0</v>
      </c>
      <c r="S40" s="23" t="n">
        <f aca="false">SUMPRODUCT((Engine!$B37:$BY37&gt;=Engine!$CC37)*(Engine!$B37:$BY37&lt;Engine!$CD37)*(Engine!$B$1:$BY$1&lt;=$I40))</f>
        <v>0</v>
      </c>
      <c r="T40" s="23" t="n">
        <f aca="false">SUMPRODUCT((Engine!$B37:$BY37&gt;=Engine!$CD37)*(Engine!$B37:$BY37&lt;Engine!$CE37)*(Engine!$B$1:$BY$1&lt;=$I40))</f>
        <v>0</v>
      </c>
      <c r="U40" s="23" t="n">
        <f aca="false">SUMPRODUCT((Engine!$B37:$BY37&gt;=Engine!$CE37)*(Engine!$B$1:$BY$1&lt;=$I40))</f>
        <v>1</v>
      </c>
      <c r="V40" s="23" t="str">
        <f aca="false">IF(COUNTIF(P40:U40,MAX(P40:U40))&gt;1,"Tie",INDEX($C$5:$C$10,MATCH(MAX(P40:U40),P40:U40,0)))</f>
        <v>Tie</v>
      </c>
      <c r="W40" s="22" t="n">
        <f aca="false">ROUND($H40*J40,0)</f>
        <v>9489</v>
      </c>
      <c r="X40" s="22" t="n">
        <f aca="false">ROUND($H40*K40,0)</f>
        <v>19625</v>
      </c>
      <c r="Y40" s="22" t="n">
        <f aca="false">ROUND($H40*L40,0)</f>
        <v>6607</v>
      </c>
      <c r="Z40" s="22" t="n">
        <f aca="false">ROUND($H40*M40,0)</f>
        <v>10556</v>
      </c>
      <c r="AA40" s="22" t="n">
        <f aca="false">ROUND($H40*N40,0)</f>
        <v>5030</v>
      </c>
      <c r="AB40" s="22" t="n">
        <f aca="false">ROUND($H40*O40,0)</f>
        <v>28308</v>
      </c>
    </row>
    <row r="41" customFormat="false" ht="15" hidden="false" customHeight="false" outlineLevel="0" collapsed="false">
      <c r="B41" s="32" t="s">
        <v>88</v>
      </c>
      <c r="C41" s="54" t="n">
        <f aca="false">Incumbency!E18</f>
        <v>2.4</v>
      </c>
      <c r="E41" s="55" t="s">
        <v>89</v>
      </c>
      <c r="F41" s="56" t="n">
        <f aca="false">SUM(F5:F40)</f>
        <v>252042768</v>
      </c>
      <c r="G41" s="57"/>
      <c r="H41" s="56" t="n">
        <f aca="false">SUM(H5:H40)</f>
        <v>157818695</v>
      </c>
      <c r="I41" s="58" t="n">
        <f aca="false">SUM(I5:I40)</f>
        <v>602</v>
      </c>
      <c r="J41" s="57"/>
      <c r="K41" s="57"/>
      <c r="L41" s="57"/>
      <c r="M41" s="57"/>
      <c r="N41" s="57"/>
      <c r="O41" s="57"/>
      <c r="P41" s="58" t="n">
        <f aca="false">SUM(P5:P40)</f>
        <v>202</v>
      </c>
      <c r="Q41" s="58" t="n">
        <f aca="false">SUM(Q5:Q40)</f>
        <v>320</v>
      </c>
      <c r="R41" s="58" t="n">
        <f aca="false">SUM(R5:R40)</f>
        <v>31</v>
      </c>
      <c r="S41" s="58" t="n">
        <f aca="false">SUM(S5:S40)</f>
        <v>44</v>
      </c>
      <c r="T41" s="58" t="n">
        <f aca="false">SUM(T5:T40)</f>
        <v>4</v>
      </c>
      <c r="U41" s="58" t="n">
        <f aca="false">SUM(U5:U40)</f>
        <v>1</v>
      </c>
      <c r="V41" s="57"/>
      <c r="W41" s="56" t="n">
        <f aca="false">SUM(W5:W40)</f>
        <v>36802223</v>
      </c>
      <c r="X41" s="56" t="n">
        <f aca="false">SUM(X5:X40)</f>
        <v>55385108</v>
      </c>
      <c r="Y41" s="56" t="n">
        <f aca="false">SUM(Y5:Y40)</f>
        <v>25766600</v>
      </c>
      <c r="Z41" s="56" t="n">
        <f aca="false">SUM(Z5:Z40)</f>
        <v>27950024</v>
      </c>
      <c r="AA41" s="56" t="n">
        <f aca="false">SUM(AA5:AA40)</f>
        <v>11855630</v>
      </c>
      <c r="AB41" s="56" t="n">
        <f aca="false">SUM(AB5:AB40)</f>
        <v>59111</v>
      </c>
    </row>
    <row r="42" customFormat="false" ht="15" hidden="false" customHeight="false" outlineLevel="0" collapsed="false">
      <c r="B42" s="32" t="s">
        <v>90</v>
      </c>
      <c r="C42" s="45" t="str">
        <f aca="false">Incumbency!C25</f>
        <v>Held majority</v>
      </c>
    </row>
    <row r="43" customFormat="false" ht="15" hidden="false" customHeight="false" outlineLevel="0" collapsed="false">
      <c r="B43" s="6" t="s">
        <v>91</v>
      </c>
      <c r="C43" s="33" t="str">
        <f aca="false">Coalition!C21</f>
        <v>Social-Democrats - single-party majority</v>
      </c>
    </row>
    <row r="45" customFormat="false" ht="15.75" hidden="false" customHeight="true" outlineLevel="0" collapsed="false">
      <c r="B45" s="59" t="s">
        <v>92</v>
      </c>
      <c r="C45" s="59"/>
    </row>
    <row r="46" customFormat="false" ht="15.75" hidden="false" customHeight="true" outlineLevel="0" collapsed="false">
      <c r="B46" s="59"/>
      <c r="C46" s="59"/>
    </row>
    <row r="47" customFormat="false" ht="15.75" hidden="false" customHeight="true" outlineLevel="0" collapsed="false">
      <c r="B47" s="59"/>
      <c r="C47" s="59"/>
    </row>
  </sheetData>
  <mergeCells count="7">
    <mergeCell ref="B1:AB1"/>
    <mergeCell ref="B2:AB2"/>
    <mergeCell ref="B4:C4"/>
    <mergeCell ref="B12:C12"/>
    <mergeCell ref="B26:C26"/>
    <mergeCell ref="B39:C39"/>
    <mergeCell ref="B45:C47"/>
  </mergeCells>
  <conditionalFormatting sqref="C42">
    <cfRule type="expression" priority="2" aboveAverage="0" equalAverage="0" bottom="0" percent="0" rank="0" text="" dxfId="0">
      <formula>$C$42="Held majority"</formula>
    </cfRule>
    <cfRule type="expression" priority="3" aboveAverage="0" equalAverage="0" bottom="0" percent="0" rank="0" text="" dxfId="1">
      <formula>$C$42="Lost power"</formula>
    </cfRule>
  </conditionalFormatting>
  <conditionalFormatting sqref="V5:V40">
    <cfRule type="expression" priority="4" aboveAverage="0" equalAverage="0" bottom="0" percent="0" rank="0" text="" dxfId="2">
      <formula>$V5=$C$5</formula>
    </cfRule>
    <cfRule type="expression" priority="5" aboveAverage="0" equalAverage="0" bottom="0" percent="0" rank="0" text="" dxfId="1">
      <formula>$V5=$C$6</formula>
    </cfRule>
    <cfRule type="expression" priority="6" aboveAverage="0" equalAverage="0" bottom="0" percent="0" rank="0" text="" dxfId="3">
      <formula>$V5=$C$7</formula>
    </cfRule>
    <cfRule type="expression" priority="7" aboveAverage="0" equalAverage="0" bottom="0" percent="0" rank="0" text="" dxfId="4">
      <formula>$V5=$C$8</formula>
    </cfRule>
    <cfRule type="expression" priority="8" aboveAverage="0" equalAverage="0" bottom="0" percent="0" rank="0" text="" dxfId="5">
      <formula>$V5=$C$9</formula>
    </cfRule>
    <cfRule type="expression" priority="9" aboveAverage="0" equalAverage="0" bottom="0" percent="0" rank="0" text="" dxfId="6">
      <formula>$V5=$C$10</formula>
    </cfRule>
  </conditionalFormatting>
  <conditionalFormatting sqref="C24">
    <cfRule type="expression" priority="10" aboveAverage="0" equalAverage="0" bottom="0" percent="0" rank="0" text="" dxfId="0">
      <formula>$C$24&lt;&gt;"No overall majority"</formula>
    </cfRule>
  </conditionalFormatting>
  <conditionalFormatting sqref="C35">
    <cfRule type="expression" priority="11" aboveAverage="0" equalAverage="0" bottom="0" percent="0" rank="0" text="" dxfId="7">
      <formula>LEFT($C$35,2)="No"</formula>
    </cfRule>
  </conditionalFormatting>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K5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4" topLeftCell="C5" activePane="bottomRight" state="frozen"/>
      <selection pane="topLeft" activeCell="A1" activeCellId="0" sqref="A1"/>
      <selection pane="topRight" activeCell="C1" activeCellId="0" sqref="C1"/>
      <selection pane="bottomLeft" activeCell="A5" activeCellId="0" sqref="A5"/>
      <selection pane="bottomRigh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20"/>
    <col collapsed="false" customWidth="true" hidden="false" outlineLevel="0" max="9" min="3" style="0" width="13"/>
    <col collapsed="false" customWidth="true" hidden="false" outlineLevel="0" max="10" min="10" style="0" width="9"/>
    <col collapsed="false" customWidth="true" hidden="false" outlineLevel="0" max="11" min="11" style="0" width="15"/>
  </cols>
  <sheetData>
    <row r="1" customFormat="false" ht="25.5" hidden="false" customHeight="true" outlineLevel="0" collapsed="false">
      <c r="B1" s="60" t="s">
        <v>93</v>
      </c>
      <c r="C1" s="60"/>
      <c r="D1" s="60"/>
      <c r="E1" s="60"/>
      <c r="F1" s="60"/>
      <c r="G1" s="60"/>
      <c r="H1" s="60"/>
      <c r="I1" s="60"/>
      <c r="J1" s="60"/>
      <c r="K1" s="60"/>
    </row>
    <row r="2" customFormat="false" ht="15" hidden="false" customHeight="true" outlineLevel="0" collapsed="false">
      <c r="B2" s="61" t="s">
        <v>94</v>
      </c>
      <c r="C2" s="61"/>
      <c r="D2" s="61"/>
      <c r="E2" s="61"/>
      <c r="F2" s="61"/>
      <c r="G2" s="61"/>
      <c r="H2" s="61"/>
      <c r="I2" s="61"/>
      <c r="J2" s="61"/>
      <c r="K2" s="61"/>
    </row>
    <row r="4" customFormat="false" ht="27.75" hidden="false" customHeight="true" outlineLevel="0" collapsed="false">
      <c r="B4" s="5" t="s">
        <v>4</v>
      </c>
      <c r="C4" s="5" t="s">
        <v>95</v>
      </c>
      <c r="D4" s="5" t="s">
        <v>96</v>
      </c>
      <c r="E4" s="5" t="s">
        <v>97</v>
      </c>
      <c r="F4" s="5" t="s">
        <v>98</v>
      </c>
      <c r="G4" s="5" t="s">
        <v>99</v>
      </c>
      <c r="H4" s="5" t="s">
        <v>100</v>
      </c>
      <c r="I4" s="5" t="s">
        <v>101</v>
      </c>
      <c r="J4" s="5" t="s">
        <v>102</v>
      </c>
      <c r="K4" s="5" t="s">
        <v>103</v>
      </c>
    </row>
    <row r="5" customFormat="false" ht="15" hidden="false" customHeight="false" outlineLevel="0" collapsed="false">
      <c r="B5" s="9" t="s">
        <v>30</v>
      </c>
      <c r="C5" s="62" t="n">
        <v>0.281210214490948</v>
      </c>
      <c r="D5" s="62" t="n">
        <v>0.316227171096533</v>
      </c>
      <c r="E5" s="62" t="n">
        <v>0.175218409131349</v>
      </c>
      <c r="F5" s="62" t="n">
        <v>0.0863600177900299</v>
      </c>
      <c r="G5" s="62" t="n">
        <v>0.101960052578907</v>
      </c>
      <c r="H5" s="62" t="n">
        <v>0</v>
      </c>
      <c r="I5" s="62" t="n">
        <v>0.0390241349122339</v>
      </c>
      <c r="J5" s="53" t="n">
        <f aca="false">SUM(C5:I5)</f>
        <v>1</v>
      </c>
      <c r="K5" s="63" t="s">
        <v>104</v>
      </c>
    </row>
    <row r="6" customFormat="false" ht="15" hidden="false" customHeight="false" outlineLevel="0" collapsed="false">
      <c r="B6" s="21" t="s">
        <v>33</v>
      </c>
      <c r="C6" s="62" t="n">
        <v>0.321528236241138</v>
      </c>
      <c r="D6" s="62" t="n">
        <v>0.23988617805087</v>
      </c>
      <c r="E6" s="62" t="n">
        <v>0.0798364913655227</v>
      </c>
      <c r="F6" s="62" t="n">
        <v>0.218132234771418</v>
      </c>
      <c r="G6" s="62" t="n">
        <v>0.0970160975750422</v>
      </c>
      <c r="H6" s="62" t="n">
        <v>0</v>
      </c>
      <c r="I6" s="62" t="n">
        <v>0.0436007619960097</v>
      </c>
      <c r="J6" s="64" t="n">
        <f aca="false">SUM(C6:I6)</f>
        <v>1</v>
      </c>
      <c r="K6" s="65" t="s">
        <v>105</v>
      </c>
    </row>
    <row r="7" customFormat="false" ht="15" hidden="false" customHeight="false" outlineLevel="0" collapsed="false">
      <c r="B7" s="9" t="s">
        <v>36</v>
      </c>
      <c r="C7" s="62" t="n">
        <v>0.257082014271274</v>
      </c>
      <c r="D7" s="62" t="n">
        <v>0.366187381083077</v>
      </c>
      <c r="E7" s="62" t="n">
        <v>0.138386163092805</v>
      </c>
      <c r="F7" s="62" t="n">
        <v>0.117492333976394</v>
      </c>
      <c r="G7" s="62" t="n">
        <v>0.0903860287428456</v>
      </c>
      <c r="H7" s="62" t="n">
        <v>0</v>
      </c>
      <c r="I7" s="62" t="n">
        <v>0.0304660788336051</v>
      </c>
      <c r="J7" s="53" t="n">
        <f aca="false">SUM(C7:I7)</f>
        <v>1</v>
      </c>
      <c r="K7" s="63" t="s">
        <v>104</v>
      </c>
    </row>
    <row r="8" customFormat="false" ht="15" hidden="false" customHeight="false" outlineLevel="0" collapsed="false">
      <c r="B8" s="21" t="s">
        <v>39</v>
      </c>
      <c r="C8" s="62" t="n">
        <v>0.295513217067469</v>
      </c>
      <c r="D8" s="62" t="n">
        <v>0.278590014024912</v>
      </c>
      <c r="E8" s="62" t="n">
        <v>0.181946612050135</v>
      </c>
      <c r="F8" s="62" t="n">
        <v>0.1116165347139</v>
      </c>
      <c r="G8" s="62" t="n">
        <v>0.0938942624299649</v>
      </c>
      <c r="H8" s="62" t="n">
        <v>0</v>
      </c>
      <c r="I8" s="62" t="n">
        <v>0.0384393597136192</v>
      </c>
      <c r="J8" s="64" t="n">
        <f aca="false">SUM(C8:I8)</f>
        <v>1</v>
      </c>
      <c r="K8" s="65" t="s">
        <v>104</v>
      </c>
    </row>
    <row r="9" customFormat="false" ht="15" hidden="false" customHeight="false" outlineLevel="0" collapsed="false">
      <c r="B9" s="9" t="s">
        <v>42</v>
      </c>
      <c r="C9" s="62" t="n">
        <v>0.211355258743496</v>
      </c>
      <c r="D9" s="62" t="n">
        <v>0.469497681442581</v>
      </c>
      <c r="E9" s="62" t="n">
        <v>0.0730532581784091</v>
      </c>
      <c r="F9" s="62" t="n">
        <v>0.157799381995102</v>
      </c>
      <c r="G9" s="62" t="n">
        <v>0.0489664172159852</v>
      </c>
      <c r="H9" s="62" t="n">
        <v>0</v>
      </c>
      <c r="I9" s="62" t="n">
        <v>0.0393280024244269</v>
      </c>
      <c r="J9" s="53" t="n">
        <f aca="false">SUM(C9:I9)</f>
        <v>1</v>
      </c>
      <c r="K9" s="63" t="s">
        <v>106</v>
      </c>
    </row>
    <row r="10" customFormat="false" ht="15" hidden="false" customHeight="false" outlineLevel="0" collapsed="false">
      <c r="B10" s="21" t="s">
        <v>45</v>
      </c>
      <c r="C10" s="62" t="n">
        <v>0.209309640457397</v>
      </c>
      <c r="D10" s="62" t="n">
        <v>0.44214063251671</v>
      </c>
      <c r="E10" s="62" t="n">
        <v>0.174179341163556</v>
      </c>
      <c r="F10" s="62" t="n">
        <v>0.103043680473795</v>
      </c>
      <c r="G10" s="62" t="n">
        <v>0.0457079617668334</v>
      </c>
      <c r="H10" s="62" t="n">
        <v>0</v>
      </c>
      <c r="I10" s="62" t="n">
        <v>0.0256187436217082</v>
      </c>
      <c r="J10" s="64" t="n">
        <f aca="false">SUM(C10:I10)</f>
        <v>1</v>
      </c>
      <c r="K10" s="65" t="s">
        <v>107</v>
      </c>
    </row>
    <row r="11" customFormat="false" ht="15" hidden="false" customHeight="false" outlineLevel="0" collapsed="false">
      <c r="B11" s="9" t="s">
        <v>46</v>
      </c>
      <c r="C11" s="62" t="n">
        <v>0.195599047344985</v>
      </c>
      <c r="D11" s="62" t="n">
        <v>0.27359776475974</v>
      </c>
      <c r="E11" s="62" t="n">
        <v>0.135682227531933</v>
      </c>
      <c r="F11" s="62" t="n">
        <v>0.313704655951064</v>
      </c>
      <c r="G11" s="62" t="n">
        <v>0.0380449490963193</v>
      </c>
      <c r="H11" s="62" t="n">
        <v>0</v>
      </c>
      <c r="I11" s="62" t="n">
        <v>0.0433713553159581</v>
      </c>
      <c r="J11" s="53" t="n">
        <f aca="false">SUM(C11:I11)</f>
        <v>1</v>
      </c>
      <c r="K11" s="63" t="s">
        <v>108</v>
      </c>
    </row>
    <row r="12" customFormat="false" ht="15" hidden="false" customHeight="false" outlineLevel="0" collapsed="false">
      <c r="B12" s="21" t="s">
        <v>48</v>
      </c>
      <c r="C12" s="62" t="n">
        <v>0.250638992786489</v>
      </c>
      <c r="D12" s="62" t="n">
        <v>0.31815291189556</v>
      </c>
      <c r="E12" s="62" t="n">
        <v>0.127675175579697</v>
      </c>
      <c r="F12" s="62" t="n">
        <v>0.232357247749999</v>
      </c>
      <c r="G12" s="62" t="n">
        <v>0.0393869099334798</v>
      </c>
      <c r="H12" s="62" t="n">
        <v>0</v>
      </c>
      <c r="I12" s="62" t="n">
        <v>0.0317887620547758</v>
      </c>
      <c r="J12" s="64" t="n">
        <f aca="false">SUM(C12:I12)</f>
        <v>1</v>
      </c>
      <c r="K12" s="65" t="s">
        <v>108</v>
      </c>
    </row>
    <row r="13" customFormat="false" ht="15" hidden="false" customHeight="false" outlineLevel="0" collapsed="false">
      <c r="B13" s="9" t="s">
        <v>50</v>
      </c>
      <c r="C13" s="62" t="n">
        <v>0.186185590829585</v>
      </c>
      <c r="D13" s="62" t="n">
        <v>0.54344290272785</v>
      </c>
      <c r="E13" s="62" t="n">
        <v>0.0749066579926587</v>
      </c>
      <c r="F13" s="62" t="n">
        <v>0.112902391313492</v>
      </c>
      <c r="G13" s="62" t="n">
        <v>0.042943511957342</v>
      </c>
      <c r="H13" s="62" t="n">
        <v>0</v>
      </c>
      <c r="I13" s="62" t="n">
        <v>0.0396189451790718</v>
      </c>
      <c r="J13" s="53" t="n">
        <f aca="false">SUM(C13:I13)</f>
        <v>1</v>
      </c>
      <c r="K13" s="63" t="s">
        <v>106</v>
      </c>
    </row>
    <row r="14" customFormat="false" ht="15" hidden="false" customHeight="false" outlineLevel="0" collapsed="false">
      <c r="B14" s="21" t="s">
        <v>52</v>
      </c>
      <c r="C14" s="62" t="n">
        <v>0.270819425581671</v>
      </c>
      <c r="D14" s="62" t="n">
        <v>0.327578613832454</v>
      </c>
      <c r="E14" s="62" t="n">
        <v>0.195261432452559</v>
      </c>
      <c r="F14" s="62" t="n">
        <v>0.0800253375249623</v>
      </c>
      <c r="G14" s="62" t="n">
        <v>0.0959770414059252</v>
      </c>
      <c r="H14" s="62" t="n">
        <v>0</v>
      </c>
      <c r="I14" s="62" t="n">
        <v>0.0303381492024292</v>
      </c>
      <c r="J14" s="64" t="n">
        <f aca="false">SUM(C14:I14)</f>
        <v>1</v>
      </c>
      <c r="K14" s="65" t="s">
        <v>104</v>
      </c>
    </row>
    <row r="15" customFormat="false" ht="15" hidden="false" customHeight="false" outlineLevel="0" collapsed="false">
      <c r="B15" s="9" t="s">
        <v>53</v>
      </c>
      <c r="C15" s="62" t="n">
        <v>0.342839185998485</v>
      </c>
      <c r="D15" s="62" t="n">
        <v>0.367557410750305</v>
      </c>
      <c r="E15" s="62" t="n">
        <v>0.0927527178529734</v>
      </c>
      <c r="F15" s="62" t="n">
        <v>0.0826138745551496</v>
      </c>
      <c r="G15" s="62" t="n">
        <v>0.0799375665455077</v>
      </c>
      <c r="H15" s="62" t="n">
        <v>0</v>
      </c>
      <c r="I15" s="62" t="n">
        <v>0.0342992442975794</v>
      </c>
      <c r="J15" s="53" t="n">
        <f aca="false">SUM(C15:I15)</f>
        <v>1</v>
      </c>
      <c r="K15" s="63" t="s">
        <v>109</v>
      </c>
    </row>
    <row r="16" customFormat="false" ht="15" hidden="false" customHeight="false" outlineLevel="0" collapsed="false">
      <c r="B16" s="21" t="s">
        <v>54</v>
      </c>
      <c r="C16" s="62" t="n">
        <v>0.419166008930976</v>
      </c>
      <c r="D16" s="62" t="n">
        <v>0.283383567361798</v>
      </c>
      <c r="E16" s="62" t="n">
        <v>0.0674112280044288</v>
      </c>
      <c r="F16" s="62" t="n">
        <v>0.0995860263917769</v>
      </c>
      <c r="G16" s="62" t="n">
        <v>0.0971510460107149</v>
      </c>
      <c r="H16" s="62" t="n">
        <v>0</v>
      </c>
      <c r="I16" s="62" t="n">
        <v>0.0333021233003055</v>
      </c>
      <c r="J16" s="64" t="n">
        <f aca="false">SUM(C16:I16)</f>
        <v>1</v>
      </c>
      <c r="K16" s="65" t="s">
        <v>109</v>
      </c>
    </row>
    <row r="17" customFormat="false" ht="15" hidden="false" customHeight="false" outlineLevel="0" collapsed="false">
      <c r="B17" s="9" t="s">
        <v>55</v>
      </c>
      <c r="C17" s="62" t="n">
        <v>0.287739675384249</v>
      </c>
      <c r="D17" s="62" t="n">
        <v>0.353396218777591</v>
      </c>
      <c r="E17" s="62" t="n">
        <v>0.134542217135612</v>
      </c>
      <c r="F17" s="62" t="n">
        <v>0.0921692045026126</v>
      </c>
      <c r="G17" s="62" t="n">
        <v>0.0788231955277144</v>
      </c>
      <c r="H17" s="62" t="n">
        <v>0</v>
      </c>
      <c r="I17" s="62" t="n">
        <v>0.0533294886722213</v>
      </c>
      <c r="J17" s="53" t="n">
        <f aca="false">SUM(C17:I17)</f>
        <v>1</v>
      </c>
      <c r="K17" s="63" t="s">
        <v>109</v>
      </c>
    </row>
    <row r="18" customFormat="false" ht="15" hidden="false" customHeight="false" outlineLevel="0" collapsed="false">
      <c r="B18" s="21" t="s">
        <v>56</v>
      </c>
      <c r="C18" s="62" t="n">
        <v>0.219051242902965</v>
      </c>
      <c r="D18" s="62" t="n">
        <v>0.322209237363508</v>
      </c>
      <c r="E18" s="62" t="n">
        <v>0.168177333173621</v>
      </c>
      <c r="F18" s="62" t="n">
        <v>0.187580797097946</v>
      </c>
      <c r="G18" s="62" t="n">
        <v>0.0699944906328219</v>
      </c>
      <c r="H18" s="62" t="n">
        <v>0</v>
      </c>
      <c r="I18" s="62" t="n">
        <v>0.0329868988291373</v>
      </c>
      <c r="J18" s="64" t="n">
        <f aca="false">SUM(C18:I18)</f>
        <v>1</v>
      </c>
      <c r="K18" s="65" t="s">
        <v>108</v>
      </c>
    </row>
    <row r="19" customFormat="false" ht="15" hidden="false" customHeight="false" outlineLevel="0" collapsed="false">
      <c r="B19" s="9" t="s">
        <v>57</v>
      </c>
      <c r="C19" s="62" t="n">
        <v>0.314931170983223</v>
      </c>
      <c r="D19" s="62" t="n">
        <v>0.270867672562307</v>
      </c>
      <c r="E19" s="62" t="n">
        <v>0.170231187169291</v>
      </c>
      <c r="F19" s="62" t="n">
        <v>0.101941213920533</v>
      </c>
      <c r="G19" s="62" t="n">
        <v>0.108780383147419</v>
      </c>
      <c r="H19" s="62" t="n">
        <v>0</v>
      </c>
      <c r="I19" s="62" t="n">
        <v>0.0332483722172272</v>
      </c>
      <c r="J19" s="53" t="n">
        <f aca="false">SUM(C19:I19)</f>
        <v>1</v>
      </c>
      <c r="K19" s="63" t="s">
        <v>104</v>
      </c>
    </row>
    <row r="20" customFormat="false" ht="15" hidden="false" customHeight="false" outlineLevel="0" collapsed="false">
      <c r="B20" s="21" t="s">
        <v>58</v>
      </c>
      <c r="C20" s="62" t="n">
        <v>0.143970380094425</v>
      </c>
      <c r="D20" s="62" t="n">
        <v>0.429495034961494</v>
      </c>
      <c r="E20" s="62" t="n">
        <v>0.291658314910139</v>
      </c>
      <c r="F20" s="62" t="n">
        <v>0.0743764305226468</v>
      </c>
      <c r="G20" s="62" t="n">
        <v>0.0355074951039132</v>
      </c>
      <c r="H20" s="62" t="n">
        <v>0</v>
      </c>
      <c r="I20" s="62" t="n">
        <v>0.0249923444073822</v>
      </c>
      <c r="J20" s="64" t="n">
        <f aca="false">SUM(C20:I20)</f>
        <v>1</v>
      </c>
      <c r="K20" s="65" t="s">
        <v>107</v>
      </c>
    </row>
    <row r="21" customFormat="false" ht="15" hidden="false" customHeight="false" outlineLevel="0" collapsed="false">
      <c r="B21" s="9" t="s">
        <v>59</v>
      </c>
      <c r="C21" s="62" t="n">
        <v>0.294867916805029</v>
      </c>
      <c r="D21" s="62" t="n">
        <v>0.35485085066239</v>
      </c>
      <c r="E21" s="62" t="n">
        <v>0.137286897295138</v>
      </c>
      <c r="F21" s="62" t="n">
        <v>0.074420837324477</v>
      </c>
      <c r="G21" s="62" t="n">
        <v>0.101707943855054</v>
      </c>
      <c r="H21" s="62" t="n">
        <v>0</v>
      </c>
      <c r="I21" s="62" t="n">
        <v>0.0368655540579132</v>
      </c>
      <c r="J21" s="53" t="n">
        <f aca="false">SUM(C21:I21)</f>
        <v>1</v>
      </c>
      <c r="K21" s="63" t="s">
        <v>104</v>
      </c>
    </row>
    <row r="22" customFormat="false" ht="15" hidden="false" customHeight="false" outlineLevel="0" collapsed="false">
      <c r="B22" s="21" t="s">
        <v>60</v>
      </c>
      <c r="C22" s="62" t="n">
        <v>0.145136039732538</v>
      </c>
      <c r="D22" s="62" t="n">
        <v>0.648298374126576</v>
      </c>
      <c r="E22" s="62" t="n">
        <v>0.0446997212202126</v>
      </c>
      <c r="F22" s="62" t="n">
        <v>0.0916182756545415</v>
      </c>
      <c r="G22" s="62" t="n">
        <v>0.0418767595576669</v>
      </c>
      <c r="H22" s="62" t="n">
        <v>0</v>
      </c>
      <c r="I22" s="62" t="n">
        <v>0.0283708297084652</v>
      </c>
      <c r="J22" s="64" t="n">
        <f aca="false">SUM(C22:I22)</f>
        <v>1</v>
      </c>
      <c r="K22" s="65" t="s">
        <v>106</v>
      </c>
    </row>
    <row r="23" customFormat="false" ht="15" hidden="false" customHeight="false" outlineLevel="0" collapsed="false">
      <c r="B23" s="9" t="s">
        <v>62</v>
      </c>
      <c r="C23" s="62" t="n">
        <v>0.210345938774332</v>
      </c>
      <c r="D23" s="62" t="n">
        <v>0.347524441772514</v>
      </c>
      <c r="E23" s="62" t="n">
        <v>0.213086504186924</v>
      </c>
      <c r="F23" s="62" t="n">
        <v>0.153154456543614</v>
      </c>
      <c r="G23" s="62" t="n">
        <v>0.0343713790990668</v>
      </c>
      <c r="H23" s="62" t="n">
        <v>0</v>
      </c>
      <c r="I23" s="62" t="n">
        <v>0.0415172796235496</v>
      </c>
      <c r="J23" s="53" t="n">
        <f aca="false">SUM(C23:I23)</f>
        <v>1</v>
      </c>
      <c r="K23" s="63" t="s">
        <v>108</v>
      </c>
    </row>
    <row r="24" customFormat="false" ht="15" hidden="false" customHeight="false" outlineLevel="0" collapsed="false">
      <c r="B24" s="21" t="s">
        <v>64</v>
      </c>
      <c r="C24" s="62" t="n">
        <v>0.294554714986649</v>
      </c>
      <c r="D24" s="62" t="n">
        <v>0.355265298753723</v>
      </c>
      <c r="E24" s="62" t="n">
        <v>0.132129676257783</v>
      </c>
      <c r="F24" s="62" t="n">
        <v>0.0770014893534973</v>
      </c>
      <c r="G24" s="62" t="n">
        <v>0.115221230210921</v>
      </c>
      <c r="H24" s="62" t="n">
        <v>0</v>
      </c>
      <c r="I24" s="62" t="n">
        <v>0.0258275904374277</v>
      </c>
      <c r="J24" s="64" t="n">
        <f aca="false">SUM(C24:I24)</f>
        <v>1</v>
      </c>
      <c r="K24" s="65" t="s">
        <v>109</v>
      </c>
    </row>
    <row r="25" customFormat="false" ht="15" hidden="false" customHeight="false" outlineLevel="0" collapsed="false">
      <c r="B25" s="9" t="s">
        <v>65</v>
      </c>
      <c r="C25" s="62" t="n">
        <v>0.184325901820805</v>
      </c>
      <c r="D25" s="62" t="n">
        <v>0.367361912622567</v>
      </c>
      <c r="E25" s="62" t="n">
        <v>0.154747201144558</v>
      </c>
      <c r="F25" s="62" t="n">
        <v>0.205421262820661</v>
      </c>
      <c r="G25" s="62" t="n">
        <v>0.0497776331619846</v>
      </c>
      <c r="H25" s="62" t="n">
        <v>0</v>
      </c>
      <c r="I25" s="62" t="n">
        <v>0.0383660884294251</v>
      </c>
      <c r="J25" s="53" t="n">
        <f aca="false">SUM(C25:I25)</f>
        <v>1</v>
      </c>
      <c r="K25" s="63" t="s">
        <v>108</v>
      </c>
    </row>
    <row r="26" customFormat="false" ht="15" hidden="false" customHeight="false" outlineLevel="0" collapsed="false">
      <c r="B26" s="21" t="s">
        <v>67</v>
      </c>
      <c r="C26" s="62" t="n">
        <v>0.21407085004781</v>
      </c>
      <c r="D26" s="62" t="n">
        <v>0.427128719783377</v>
      </c>
      <c r="E26" s="62" t="n">
        <v>0.209231616947836</v>
      </c>
      <c r="F26" s="62" t="n">
        <v>0.0998418285652097</v>
      </c>
      <c r="G26" s="62" t="n">
        <v>0.0303997750793475</v>
      </c>
      <c r="H26" s="62" t="n">
        <v>0</v>
      </c>
      <c r="I26" s="62" t="n">
        <v>0.0193272095764198</v>
      </c>
      <c r="J26" s="64" t="n">
        <f aca="false">SUM(C26:I26)</f>
        <v>1</v>
      </c>
      <c r="K26" s="65" t="s">
        <v>107</v>
      </c>
    </row>
    <row r="27" customFormat="false" ht="15" hidden="false" customHeight="false" outlineLevel="0" collapsed="false">
      <c r="B27" s="9" t="s">
        <v>68</v>
      </c>
      <c r="C27" s="62" t="n">
        <v>0.213092261134315</v>
      </c>
      <c r="D27" s="62" t="n">
        <v>0.325947878314336</v>
      </c>
      <c r="E27" s="62" t="n">
        <v>0.310948387006866</v>
      </c>
      <c r="F27" s="62" t="n">
        <v>0.102371495871408</v>
      </c>
      <c r="G27" s="62" t="n">
        <v>0.0252983915592802</v>
      </c>
      <c r="H27" s="62" t="n">
        <v>0</v>
      </c>
      <c r="I27" s="62" t="n">
        <v>0.0223415861137955</v>
      </c>
      <c r="J27" s="53" t="n">
        <f aca="false">SUM(C27:I27)</f>
        <v>1</v>
      </c>
      <c r="K27" s="63" t="s">
        <v>107</v>
      </c>
    </row>
    <row r="28" customFormat="false" ht="15" hidden="false" customHeight="false" outlineLevel="0" collapsed="false">
      <c r="B28" s="21" t="s">
        <v>69</v>
      </c>
      <c r="C28" s="62" t="n">
        <v>0.302944586499006</v>
      </c>
      <c r="D28" s="62" t="n">
        <v>0.42685446824477</v>
      </c>
      <c r="E28" s="62" t="n">
        <v>0.0709041912912573</v>
      </c>
      <c r="F28" s="62" t="n">
        <v>0.0866849487111472</v>
      </c>
      <c r="G28" s="62" t="n">
        <v>0.0892827880383178</v>
      </c>
      <c r="H28" s="62" t="n">
        <v>0</v>
      </c>
      <c r="I28" s="62" t="n">
        <v>0.0233290172155017</v>
      </c>
      <c r="J28" s="64" t="n">
        <f aca="false">SUM(C28:I28)</f>
        <v>1</v>
      </c>
      <c r="K28" s="65" t="s">
        <v>109</v>
      </c>
    </row>
    <row r="29" customFormat="false" ht="15" hidden="false" customHeight="false" outlineLevel="0" collapsed="false">
      <c r="B29" s="9" t="s">
        <v>70</v>
      </c>
      <c r="C29" s="62" t="n">
        <v>0.224795809351481</v>
      </c>
      <c r="D29" s="62" t="n">
        <v>0.352709688138265</v>
      </c>
      <c r="E29" s="62" t="n">
        <v>0.184918062633078</v>
      </c>
      <c r="F29" s="62" t="n">
        <v>0.140157609870405</v>
      </c>
      <c r="G29" s="62" t="n">
        <v>0.0410247448664857</v>
      </c>
      <c r="H29" s="62" t="n">
        <v>0</v>
      </c>
      <c r="I29" s="62" t="n">
        <v>0.0563940851402844</v>
      </c>
      <c r="J29" s="53" t="n">
        <f aca="false">SUM(C29:I29)</f>
        <v>1</v>
      </c>
      <c r="K29" s="63" t="s">
        <v>108</v>
      </c>
    </row>
    <row r="30" customFormat="false" ht="15" hidden="false" customHeight="false" outlineLevel="0" collapsed="false">
      <c r="B30" s="21" t="s">
        <v>71</v>
      </c>
      <c r="C30" s="62" t="n">
        <v>0.281238162113337</v>
      </c>
      <c r="D30" s="62" t="n">
        <v>0.352844037397447</v>
      </c>
      <c r="E30" s="62" t="n">
        <v>0.170317051850028</v>
      </c>
      <c r="F30" s="62" t="n">
        <v>0.0888902121447066</v>
      </c>
      <c r="G30" s="62" t="n">
        <v>0.0810819916824047</v>
      </c>
      <c r="H30" s="62" t="n">
        <v>0</v>
      </c>
      <c r="I30" s="62" t="n">
        <v>0.0256285448120778</v>
      </c>
      <c r="J30" s="64" t="n">
        <f aca="false">SUM(C30:I30)</f>
        <v>1</v>
      </c>
      <c r="K30" s="65" t="s">
        <v>109</v>
      </c>
    </row>
    <row r="31" customFormat="false" ht="15" hidden="false" customHeight="false" outlineLevel="0" collapsed="false">
      <c r="B31" s="9" t="s">
        <v>72</v>
      </c>
      <c r="C31" s="62" t="n">
        <v>0.178793028278692</v>
      </c>
      <c r="D31" s="62" t="n">
        <v>0.529571371158332</v>
      </c>
      <c r="E31" s="62" t="n">
        <v>0.138594494091316</v>
      </c>
      <c r="F31" s="62" t="n">
        <v>0.0910226817783712</v>
      </c>
      <c r="G31" s="62" t="n">
        <v>0.0439395384873951</v>
      </c>
      <c r="H31" s="62" t="n">
        <v>0</v>
      </c>
      <c r="I31" s="62" t="n">
        <v>0.0180788862058937</v>
      </c>
      <c r="J31" s="53" t="n">
        <f aca="false">SUM(C31:I31)</f>
        <v>1</v>
      </c>
      <c r="K31" s="63" t="s">
        <v>107</v>
      </c>
    </row>
    <row r="32" customFormat="false" ht="15" hidden="false" customHeight="false" outlineLevel="0" collapsed="false">
      <c r="B32" s="21" t="s">
        <v>73</v>
      </c>
      <c r="C32" s="62" t="n">
        <v>0.198684806744758</v>
      </c>
      <c r="D32" s="62" t="n">
        <v>0.325077727684231</v>
      </c>
      <c r="E32" s="62" t="n">
        <v>0.0833754408182383</v>
      </c>
      <c r="F32" s="62" t="n">
        <v>0.240772918119845</v>
      </c>
      <c r="G32" s="62" t="n">
        <v>0.105773962326626</v>
      </c>
      <c r="H32" s="62" t="n">
        <v>0</v>
      </c>
      <c r="I32" s="62" t="n">
        <v>0.0463151443063015</v>
      </c>
      <c r="J32" s="64" t="n">
        <f aca="false">SUM(C32:I32)</f>
        <v>1</v>
      </c>
      <c r="K32" s="65" t="s">
        <v>105</v>
      </c>
    </row>
    <row r="33" customFormat="false" ht="15" hidden="false" customHeight="false" outlineLevel="0" collapsed="false">
      <c r="B33" s="9" t="s">
        <v>74</v>
      </c>
      <c r="C33" s="62" t="n">
        <v>0.225875901874942</v>
      </c>
      <c r="D33" s="62" t="n">
        <v>0.285731399325209</v>
      </c>
      <c r="E33" s="62" t="n">
        <v>0.0964504091694294</v>
      </c>
      <c r="F33" s="62" t="n">
        <v>0.215690317986376</v>
      </c>
      <c r="G33" s="62" t="n">
        <v>0.144999247845116</v>
      </c>
      <c r="H33" s="62" t="n">
        <v>0</v>
      </c>
      <c r="I33" s="62" t="n">
        <v>0.0312527237989273</v>
      </c>
      <c r="J33" s="53" t="n">
        <f aca="false">SUM(C33:I33)</f>
        <v>1</v>
      </c>
      <c r="K33" s="63" t="s">
        <v>105</v>
      </c>
    </row>
    <row r="34" customFormat="false" ht="15" hidden="false" customHeight="false" outlineLevel="0" collapsed="false">
      <c r="B34" s="21" t="s">
        <v>76</v>
      </c>
      <c r="C34" s="62" t="n">
        <v>0.190345670777863</v>
      </c>
      <c r="D34" s="62" t="n">
        <v>0.363391707173384</v>
      </c>
      <c r="E34" s="62" t="n">
        <v>0.259684772953071</v>
      </c>
      <c r="F34" s="62" t="n">
        <v>0.138172789167467</v>
      </c>
      <c r="G34" s="62" t="n">
        <v>0.0286637477132683</v>
      </c>
      <c r="H34" s="62" t="n">
        <v>0</v>
      </c>
      <c r="I34" s="62" t="n">
        <v>0.0197413122149468</v>
      </c>
      <c r="J34" s="64" t="n">
        <f aca="false">SUM(C34:I34)</f>
        <v>1</v>
      </c>
      <c r="K34" s="65" t="s">
        <v>107</v>
      </c>
    </row>
    <row r="35" customFormat="false" ht="15" hidden="false" customHeight="false" outlineLevel="0" collapsed="false">
      <c r="B35" s="9" t="s">
        <v>78</v>
      </c>
      <c r="C35" s="62" t="n">
        <v>0.264803216793007</v>
      </c>
      <c r="D35" s="62" t="n">
        <v>0.221012541024967</v>
      </c>
      <c r="E35" s="62" t="n">
        <v>0.0824987831232787</v>
      </c>
      <c r="F35" s="62" t="n">
        <v>0.287417628678426</v>
      </c>
      <c r="G35" s="62" t="n">
        <v>0.115057319652497</v>
      </c>
      <c r="H35" s="62" t="n">
        <v>0</v>
      </c>
      <c r="I35" s="62" t="n">
        <v>0.0292105107278246</v>
      </c>
      <c r="J35" s="53" t="n">
        <f aca="false">SUM(C35:I35)</f>
        <v>1</v>
      </c>
      <c r="K35" s="63" t="s">
        <v>105</v>
      </c>
    </row>
    <row r="36" customFormat="false" ht="15" hidden="false" customHeight="false" outlineLevel="0" collapsed="false">
      <c r="B36" s="21" t="s">
        <v>80</v>
      </c>
      <c r="C36" s="62" t="n">
        <v>0.308134720085666</v>
      </c>
      <c r="D36" s="62" t="n">
        <v>0.337650405996941</v>
      </c>
      <c r="E36" s="62" t="n">
        <v>0.219336314001009</v>
      </c>
      <c r="F36" s="62" t="n">
        <v>0.0958414416349059</v>
      </c>
      <c r="G36" s="62" t="n">
        <v>0.0189483335476104</v>
      </c>
      <c r="H36" s="62" t="n">
        <v>0</v>
      </c>
      <c r="I36" s="62" t="n">
        <v>0.0200887847338682</v>
      </c>
      <c r="J36" s="64" t="n">
        <f aca="false">SUM(C36:I36)</f>
        <v>1</v>
      </c>
      <c r="K36" s="65" t="s">
        <v>107</v>
      </c>
    </row>
    <row r="37" customFormat="false" ht="15" hidden="false" customHeight="false" outlineLevel="0" collapsed="false">
      <c r="B37" s="9" t="s">
        <v>82</v>
      </c>
      <c r="C37" s="62" t="n">
        <v>0.298511470745587</v>
      </c>
      <c r="D37" s="62" t="n">
        <v>0.333230851180981</v>
      </c>
      <c r="E37" s="62" t="n">
        <v>0.157523516910912</v>
      </c>
      <c r="F37" s="62" t="n">
        <v>0.0637361144070275</v>
      </c>
      <c r="G37" s="62" t="n">
        <v>0.110111240431872</v>
      </c>
      <c r="H37" s="62" t="n">
        <v>0</v>
      </c>
      <c r="I37" s="62" t="n">
        <v>0.0368868063236213</v>
      </c>
      <c r="J37" s="53" t="n">
        <f aca="false">SUM(C37:I37)</f>
        <v>1</v>
      </c>
      <c r="K37" s="63" t="s">
        <v>104</v>
      </c>
    </row>
    <row r="38" customFormat="false" ht="15" hidden="false" customHeight="false" outlineLevel="0" collapsed="false">
      <c r="B38" s="21" t="s">
        <v>83</v>
      </c>
      <c r="C38" s="62" t="n">
        <v>0.271148634456602</v>
      </c>
      <c r="D38" s="62" t="n">
        <v>0.331901421340883</v>
      </c>
      <c r="E38" s="62" t="n">
        <v>0.153296548225898</v>
      </c>
      <c r="F38" s="62" t="n">
        <v>0.109386550117321</v>
      </c>
      <c r="G38" s="62" t="n">
        <v>0.109610340087339</v>
      </c>
      <c r="H38" s="62" t="n">
        <v>0</v>
      </c>
      <c r="I38" s="62" t="n">
        <v>0.0246565057719576</v>
      </c>
      <c r="J38" s="64" t="n">
        <f aca="false">SUM(C38:I38)</f>
        <v>1</v>
      </c>
      <c r="K38" s="65" t="s">
        <v>109</v>
      </c>
    </row>
    <row r="39" customFormat="false" ht="15" hidden="false" customHeight="false" outlineLevel="0" collapsed="false">
      <c r="B39" s="9" t="s">
        <v>85</v>
      </c>
      <c r="C39" s="62" t="n">
        <v>0.66081137951783</v>
      </c>
      <c r="D39" s="62" t="n">
        <v>0.108625964134069</v>
      </c>
      <c r="E39" s="62" t="n">
        <v>0.0607274201440266</v>
      </c>
      <c r="F39" s="62" t="n">
        <v>0.113239529212616</v>
      </c>
      <c r="G39" s="62" t="n">
        <v>0.0282097556560913</v>
      </c>
      <c r="H39" s="62" t="n">
        <v>0</v>
      </c>
      <c r="I39" s="62" t="n">
        <v>0.0283859513353674</v>
      </c>
      <c r="J39" s="53" t="n">
        <f aca="false">SUM(C39:I39)</f>
        <v>1</v>
      </c>
      <c r="K39" s="63" t="s">
        <v>85</v>
      </c>
    </row>
    <row r="40" customFormat="false" ht="15" hidden="false" customHeight="false" outlineLevel="0" collapsed="false">
      <c r="B40" s="21" t="s">
        <v>87</v>
      </c>
      <c r="C40" s="62" t="n">
        <v>0.133671254704234</v>
      </c>
      <c r="D40" s="62" t="n">
        <v>0.347034478337249</v>
      </c>
      <c r="E40" s="62" t="n">
        <v>0.0320877794870076</v>
      </c>
      <c r="F40" s="62" t="n">
        <v>0.109709593209499</v>
      </c>
      <c r="G40" s="62" t="n">
        <v>0.0331714822394078</v>
      </c>
      <c r="H40" s="62" t="n">
        <v>0.329089571999617</v>
      </c>
      <c r="I40" s="62" t="n">
        <v>0.0152358400229855</v>
      </c>
      <c r="J40" s="64" t="n">
        <f aca="false">SUM(C40:I40)</f>
        <v>1</v>
      </c>
      <c r="K40" s="65" t="s">
        <v>87</v>
      </c>
    </row>
    <row r="42" customFormat="false" ht="15" hidden="false" customHeight="false" outlineLevel="0" collapsed="false">
      <c r="B42" s="3" t="s">
        <v>110</v>
      </c>
      <c r="C42" s="3"/>
      <c r="D42" s="3"/>
      <c r="E42" s="3"/>
      <c r="F42" s="3"/>
      <c r="G42" s="3"/>
      <c r="H42" s="3"/>
      <c r="I42" s="3"/>
      <c r="J42" s="3"/>
      <c r="K42" s="3"/>
    </row>
    <row r="43" customFormat="false" ht="15" hidden="false" customHeight="false" outlineLevel="0" collapsed="false">
      <c r="B43" s="6" t="s">
        <v>111</v>
      </c>
      <c r="C43" s="66" t="n">
        <v>0.75</v>
      </c>
      <c r="D43" s="66" t="n">
        <v>0.62</v>
      </c>
      <c r="E43" s="66" t="n">
        <v>0.6</v>
      </c>
      <c r="F43" s="66" t="n">
        <v>0.5</v>
      </c>
      <c r="G43" s="66" t="n">
        <v>0.55</v>
      </c>
      <c r="H43" s="66" t="n">
        <v>0.48</v>
      </c>
      <c r="I43" s="66" t="n">
        <v>0.52</v>
      </c>
    </row>
    <row r="44" customFormat="false" ht="15" hidden="false" customHeight="false" outlineLevel="0" collapsed="false">
      <c r="B44" s="34" t="s">
        <v>112</v>
      </c>
      <c r="C44" s="67" t="n">
        <v>0.248847926267281</v>
      </c>
      <c r="D44" s="67" t="n">
        <v>0.263636363636364</v>
      </c>
      <c r="E44" s="67" t="n">
        <v>0.0875912408759124</v>
      </c>
      <c r="F44" s="67" t="n">
        <v>0.19811320754717</v>
      </c>
      <c r="G44" s="67" t="n">
        <v>0.192660550458716</v>
      </c>
      <c r="H44" s="67" t="n">
        <v>0.0363636363636364</v>
      </c>
      <c r="I44" s="67" t="n">
        <v>0.190476190476191</v>
      </c>
    </row>
    <row r="45" customFormat="false" ht="15" hidden="false" customHeight="false" outlineLevel="0" collapsed="false">
      <c r="B45" s="36" t="s">
        <v>113</v>
      </c>
      <c r="C45" s="68" t="n">
        <v>0.267281105990783</v>
      </c>
      <c r="D45" s="68" t="n">
        <v>0.190909090909091</v>
      </c>
      <c r="E45" s="68" t="n">
        <v>0.681265206812652</v>
      </c>
      <c r="F45" s="68" t="n">
        <v>0.424528301886793</v>
      </c>
      <c r="G45" s="68" t="n">
        <v>0.302752293577982</v>
      </c>
      <c r="H45" s="68" t="n">
        <v>0.145454545454545</v>
      </c>
      <c r="I45" s="68" t="n">
        <v>0.380952380952381</v>
      </c>
    </row>
    <row r="46" customFormat="false" ht="15" hidden="false" customHeight="false" outlineLevel="0" collapsed="false">
      <c r="B46" s="38" t="s">
        <v>114</v>
      </c>
      <c r="C46" s="69" t="n">
        <v>0.276497695852535</v>
      </c>
      <c r="D46" s="69" t="n">
        <v>0.0818181818181818</v>
      </c>
      <c r="E46" s="69" t="n">
        <v>0.116788321167883</v>
      </c>
      <c r="F46" s="69" t="n">
        <v>0.141509433962264</v>
      </c>
      <c r="G46" s="69" t="n">
        <v>0.311926605504587</v>
      </c>
      <c r="H46" s="69" t="n">
        <v>0.0272727272727273</v>
      </c>
      <c r="I46" s="69" t="n">
        <v>0.2</v>
      </c>
    </row>
    <row r="47" customFormat="false" ht="15" hidden="false" customHeight="false" outlineLevel="0" collapsed="false">
      <c r="B47" s="6" t="s">
        <v>115</v>
      </c>
      <c r="C47" s="66" t="n">
        <v>0.110599078341014</v>
      </c>
      <c r="D47" s="66" t="n">
        <v>0.354545454545455</v>
      </c>
      <c r="E47" s="66" t="n">
        <v>0.0681265206812652</v>
      </c>
      <c r="F47" s="66" t="n">
        <v>0.160377358490566</v>
      </c>
      <c r="G47" s="66" t="n">
        <v>0.0917431192660551</v>
      </c>
      <c r="H47" s="66" t="n">
        <v>0.0454545454545455</v>
      </c>
      <c r="I47" s="66" t="n">
        <v>0.142857142857143</v>
      </c>
    </row>
    <row r="48" customFormat="false" ht="15" hidden="false" customHeight="false" outlineLevel="0" collapsed="false">
      <c r="B48" s="41" t="s">
        <v>116</v>
      </c>
      <c r="C48" s="70" t="n">
        <v>0.0967741935483871</v>
      </c>
      <c r="D48" s="70" t="n">
        <v>0.109090909090909</v>
      </c>
      <c r="E48" s="70" t="n">
        <v>0.0462287104622871</v>
      </c>
      <c r="F48" s="70" t="n">
        <v>0.0754716981132075</v>
      </c>
      <c r="G48" s="70" t="n">
        <v>0.100917431192661</v>
      </c>
      <c r="H48" s="70" t="n">
        <v>0.0909090909090909</v>
      </c>
      <c r="I48" s="70" t="n">
        <v>0.0857142857142857</v>
      </c>
    </row>
    <row r="49" customFormat="false" ht="15" hidden="false" customHeight="false" outlineLevel="0" collapsed="false">
      <c r="B49" s="43" t="s">
        <v>117</v>
      </c>
      <c r="C49" s="71" t="n">
        <v>0</v>
      </c>
      <c r="D49" s="71" t="n">
        <v>0</v>
      </c>
      <c r="E49" s="71" t="n">
        <v>0</v>
      </c>
      <c r="F49" s="71" t="n">
        <v>0</v>
      </c>
      <c r="G49" s="71" t="n">
        <v>0</v>
      </c>
      <c r="H49" s="71" t="n">
        <v>0.654545454545454</v>
      </c>
      <c r="I49" s="71" t="n">
        <v>0</v>
      </c>
    </row>
    <row r="50" customFormat="false" ht="15" hidden="false" customHeight="false" outlineLevel="0" collapsed="false">
      <c r="B50" s="72" t="s">
        <v>118</v>
      </c>
      <c r="C50" s="73" t="n">
        <f aca="false">SUM(C44:C49)</f>
        <v>1</v>
      </c>
      <c r="D50" s="73" t="n">
        <f aca="false">SUM(D44:D49)</f>
        <v>1</v>
      </c>
      <c r="E50" s="73" t="n">
        <f aca="false">SUM(E44:E49)</f>
        <v>1</v>
      </c>
      <c r="F50" s="73" t="n">
        <f aca="false">SUM(F44:F49)</f>
        <v>1</v>
      </c>
      <c r="G50" s="73" t="n">
        <f aca="false">SUM(G44:G49)</f>
        <v>1</v>
      </c>
      <c r="H50" s="73" t="n">
        <f aca="false">SUM(H44:H49)</f>
        <v>1</v>
      </c>
      <c r="I50" s="73" t="n">
        <f aca="false">SUM(I44:I49)</f>
        <v>1</v>
      </c>
    </row>
  </sheetData>
  <mergeCells count="3">
    <mergeCell ref="B1:K1"/>
    <mergeCell ref="B2:K2"/>
    <mergeCell ref="B42:K4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T4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4" topLeftCell="C5" activePane="bottomRight" state="frozen"/>
      <selection pane="topLeft" activeCell="A1" activeCellId="0" sqref="A1"/>
      <selection pane="topRight" activeCell="C1" activeCellId="0" sqref="C1"/>
      <selection pane="bottomLeft" activeCell="A5" activeCellId="0" sqref="A5"/>
      <selection pane="bottomRigh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20"/>
    <col collapsed="false" customWidth="true" hidden="false" outlineLevel="0" max="20" min="3" style="0" width="5"/>
  </cols>
  <sheetData>
    <row r="1" customFormat="false" ht="25.5" hidden="false" customHeight="true" outlineLevel="0" collapsed="false">
      <c r="B1" s="60" t="s">
        <v>119</v>
      </c>
      <c r="C1" s="60"/>
      <c r="D1" s="60"/>
      <c r="E1" s="60"/>
      <c r="F1" s="60"/>
      <c r="G1" s="60"/>
      <c r="H1" s="60"/>
      <c r="I1" s="60"/>
      <c r="J1" s="60"/>
      <c r="K1" s="60"/>
      <c r="L1" s="60"/>
      <c r="M1" s="60"/>
      <c r="N1" s="60"/>
      <c r="O1" s="60"/>
      <c r="P1" s="60"/>
      <c r="Q1" s="60"/>
      <c r="R1" s="60"/>
      <c r="S1" s="60"/>
      <c r="T1" s="60"/>
    </row>
    <row r="2" customFormat="false" ht="15" hidden="false" customHeight="true" outlineLevel="0" collapsed="false">
      <c r="B2" s="61" t="s">
        <v>120</v>
      </c>
      <c r="C2" s="61"/>
      <c r="D2" s="61"/>
      <c r="E2" s="61"/>
      <c r="F2" s="61"/>
      <c r="G2" s="61"/>
      <c r="H2" s="61"/>
      <c r="I2" s="61"/>
      <c r="J2" s="61"/>
      <c r="K2" s="61"/>
      <c r="L2" s="61"/>
      <c r="M2" s="61"/>
      <c r="N2" s="61"/>
      <c r="O2" s="61"/>
      <c r="P2" s="61"/>
      <c r="Q2" s="61"/>
      <c r="R2" s="61"/>
      <c r="S2" s="61"/>
      <c r="T2" s="61"/>
    </row>
    <row r="3" customFormat="false" ht="15" hidden="false" customHeight="false" outlineLevel="0" collapsed="false">
      <c r="B3" s="74"/>
      <c r="C3" s="75" t="s">
        <v>121</v>
      </c>
      <c r="D3" s="75"/>
      <c r="E3" s="75"/>
      <c r="F3" s="75"/>
      <c r="G3" s="75"/>
      <c r="H3" s="75"/>
      <c r="I3" s="75" t="s">
        <v>122</v>
      </c>
      <c r="J3" s="75"/>
      <c r="K3" s="75"/>
      <c r="L3" s="75"/>
      <c r="M3" s="75"/>
      <c r="N3" s="75"/>
      <c r="O3" s="75" t="s">
        <v>123</v>
      </c>
      <c r="P3" s="75"/>
      <c r="Q3" s="75"/>
      <c r="R3" s="75"/>
      <c r="S3" s="75"/>
      <c r="T3" s="75"/>
    </row>
    <row r="4" customFormat="false" ht="15" hidden="false" customHeight="false" outlineLevel="0" collapsed="false">
      <c r="B4" s="76" t="s">
        <v>4</v>
      </c>
      <c r="C4" s="77" t="s">
        <v>124</v>
      </c>
      <c r="D4" s="77" t="s">
        <v>125</v>
      </c>
      <c r="E4" s="77" t="s">
        <v>126</v>
      </c>
      <c r="F4" s="77" t="s">
        <v>127</v>
      </c>
      <c r="G4" s="77" t="s">
        <v>128</v>
      </c>
      <c r="H4" s="77" t="s">
        <v>129</v>
      </c>
      <c r="I4" s="77" t="s">
        <v>124</v>
      </c>
      <c r="J4" s="77" t="s">
        <v>125</v>
      </c>
      <c r="K4" s="77" t="s">
        <v>126</v>
      </c>
      <c r="L4" s="77" t="s">
        <v>127</v>
      </c>
      <c r="M4" s="77" t="s">
        <v>128</v>
      </c>
      <c r="N4" s="77" t="s">
        <v>129</v>
      </c>
      <c r="O4" s="77" t="s">
        <v>124</v>
      </c>
      <c r="P4" s="77" t="s">
        <v>125</v>
      </c>
      <c r="Q4" s="77" t="s">
        <v>126</v>
      </c>
      <c r="R4" s="77" t="s">
        <v>127</v>
      </c>
      <c r="S4" s="77" t="s">
        <v>128</v>
      </c>
      <c r="T4" s="77" t="s">
        <v>129</v>
      </c>
    </row>
    <row r="5" customFormat="false" ht="15" hidden="false" customHeight="false" outlineLevel="0" collapsed="false">
      <c r="B5" s="9" t="s">
        <v>30</v>
      </c>
      <c r="C5" s="78" t="n">
        <v>0.206792240987018</v>
      </c>
      <c r="D5" s="79" t="n">
        <v>0.362385639766346</v>
      </c>
      <c r="E5" s="80" t="n">
        <v>0.193741059479744</v>
      </c>
      <c r="F5" s="81" t="n">
        <v>0.166049428492657</v>
      </c>
      <c r="G5" s="82" t="n">
        <v>0.0710316312742353</v>
      </c>
      <c r="H5" s="83" t="n">
        <v>0</v>
      </c>
      <c r="I5" s="78" t="n">
        <v>0.210673227257203</v>
      </c>
      <c r="J5" s="79" t="n">
        <v>0.339984475761172</v>
      </c>
      <c r="K5" s="80" t="n">
        <v>0.236085845069689</v>
      </c>
      <c r="L5" s="81" t="n">
        <v>0.139203109870701</v>
      </c>
      <c r="M5" s="82" t="n">
        <v>0.0740533420412343</v>
      </c>
      <c r="N5" s="83" t="n">
        <v>0</v>
      </c>
      <c r="O5" s="78" t="n">
        <v>0.175131784780983</v>
      </c>
      <c r="P5" s="79" t="n">
        <v>0.391076411435925</v>
      </c>
      <c r="Q5" s="80" t="n">
        <v>0.241882846044235</v>
      </c>
      <c r="R5" s="81" t="n">
        <v>0.127997138990382</v>
      </c>
      <c r="S5" s="82" t="n">
        <v>0.0639118187484759</v>
      </c>
      <c r="T5" s="83" t="n">
        <v>0</v>
      </c>
    </row>
    <row r="6" customFormat="false" ht="15" hidden="false" customHeight="false" outlineLevel="0" collapsed="false">
      <c r="B6" s="21" t="s">
        <v>33</v>
      </c>
      <c r="C6" s="84" t="n">
        <v>0.185772336851962</v>
      </c>
      <c r="D6" s="85" t="n">
        <v>0.400201400693721</v>
      </c>
      <c r="E6" s="86" t="n">
        <v>0.217143196762606</v>
      </c>
      <c r="F6" s="87" t="n">
        <v>0.0932211218850523</v>
      </c>
      <c r="G6" s="88" t="n">
        <v>0.103661943806659</v>
      </c>
      <c r="H6" s="89" t="n">
        <v>0</v>
      </c>
      <c r="I6" s="84" t="n">
        <v>0.182142415510094</v>
      </c>
      <c r="J6" s="85" t="n">
        <v>0.420227592158653</v>
      </c>
      <c r="K6" s="86" t="n">
        <v>0.220901322831437</v>
      </c>
      <c r="L6" s="87" t="n">
        <v>0.10084835221593</v>
      </c>
      <c r="M6" s="88" t="n">
        <v>0.0758803172838855</v>
      </c>
      <c r="N6" s="89" t="n">
        <v>0</v>
      </c>
      <c r="O6" s="84" t="n">
        <v>0.172323247439218</v>
      </c>
      <c r="P6" s="85" t="n">
        <v>0.417274009391587</v>
      </c>
      <c r="Q6" s="86" t="n">
        <v>0.230521532885639</v>
      </c>
      <c r="R6" s="87" t="n">
        <v>0.103847892056681</v>
      </c>
      <c r="S6" s="88" t="n">
        <v>0.0760333182268738</v>
      </c>
      <c r="T6" s="89" t="n">
        <v>0</v>
      </c>
    </row>
    <row r="7" customFormat="false" ht="15" hidden="false" customHeight="false" outlineLevel="0" collapsed="false">
      <c r="B7" s="9" t="s">
        <v>36</v>
      </c>
      <c r="C7" s="78" t="n">
        <v>0.235198917388473</v>
      </c>
      <c r="D7" s="79" t="n">
        <v>0.352236634798248</v>
      </c>
      <c r="E7" s="80" t="n">
        <v>0.191261513452992</v>
      </c>
      <c r="F7" s="81" t="n">
        <v>0.164902486135203</v>
      </c>
      <c r="G7" s="82" t="n">
        <v>0.0564004482250837</v>
      </c>
      <c r="H7" s="83" t="n">
        <v>0</v>
      </c>
      <c r="I7" s="78" t="n">
        <v>0.241492844984782</v>
      </c>
      <c r="J7" s="79" t="n">
        <v>0.368914747398954</v>
      </c>
      <c r="K7" s="80" t="n">
        <v>0.171367714676165</v>
      </c>
      <c r="L7" s="81" t="n">
        <v>0.163306912932896</v>
      </c>
      <c r="M7" s="82" t="n">
        <v>0.0549177800072031</v>
      </c>
      <c r="N7" s="83" t="n">
        <v>0</v>
      </c>
      <c r="O7" s="78" t="n">
        <v>0.190654949385718</v>
      </c>
      <c r="P7" s="79" t="n">
        <v>0.374728741003044</v>
      </c>
      <c r="Q7" s="80" t="n">
        <v>0.198315169904538</v>
      </c>
      <c r="R7" s="81" t="n">
        <v>0.171370811943901</v>
      </c>
      <c r="S7" s="82" t="n">
        <v>0.0649303277627996</v>
      </c>
      <c r="T7" s="83" t="n">
        <v>0</v>
      </c>
    </row>
    <row r="8" customFormat="false" ht="15" hidden="false" customHeight="false" outlineLevel="0" collapsed="false">
      <c r="B8" s="21" t="s">
        <v>39</v>
      </c>
      <c r="C8" s="84" t="n">
        <v>0.184970778358393</v>
      </c>
      <c r="D8" s="85" t="n">
        <v>0.406029578827793</v>
      </c>
      <c r="E8" s="86" t="n">
        <v>0.196927015690667</v>
      </c>
      <c r="F8" s="87" t="n">
        <v>0.149974624396117</v>
      </c>
      <c r="G8" s="88" t="n">
        <v>0.0620980027270308</v>
      </c>
      <c r="H8" s="89" t="n">
        <v>0</v>
      </c>
      <c r="I8" s="84" t="n">
        <v>0.20147042185935</v>
      </c>
      <c r="J8" s="85" t="n">
        <v>0.386504318925898</v>
      </c>
      <c r="K8" s="86" t="n">
        <v>0.210575225342647</v>
      </c>
      <c r="L8" s="87" t="n">
        <v>0.130709012050556</v>
      </c>
      <c r="M8" s="88" t="n">
        <v>0.0707410218215499</v>
      </c>
      <c r="N8" s="89" t="n">
        <v>0</v>
      </c>
      <c r="O8" s="84" t="n">
        <v>0.19318695438083</v>
      </c>
      <c r="P8" s="85" t="n">
        <v>0.395162112783342</v>
      </c>
      <c r="Q8" s="86" t="n">
        <v>0.223298278060929</v>
      </c>
      <c r="R8" s="87" t="n">
        <v>0.133454695982085</v>
      </c>
      <c r="S8" s="88" t="n">
        <v>0.0548979587928136</v>
      </c>
      <c r="T8" s="89" t="n">
        <v>0</v>
      </c>
    </row>
    <row r="9" customFormat="false" ht="15" hidden="false" customHeight="false" outlineLevel="0" collapsed="false">
      <c r="B9" s="9" t="s">
        <v>42</v>
      </c>
      <c r="C9" s="78" t="n">
        <v>0.347279674999796</v>
      </c>
      <c r="D9" s="79" t="n">
        <v>0.182499495275447</v>
      </c>
      <c r="E9" s="80" t="n">
        <v>0.08125092333835</v>
      </c>
      <c r="F9" s="81" t="n">
        <v>0.333513250985996</v>
      </c>
      <c r="G9" s="82" t="n">
        <v>0.0554566554004112</v>
      </c>
      <c r="H9" s="83" t="n">
        <v>0</v>
      </c>
      <c r="I9" s="78" t="n">
        <v>0.339614696058683</v>
      </c>
      <c r="J9" s="79" t="n">
        <v>0.18182917107648</v>
      </c>
      <c r="K9" s="80" t="n">
        <v>0.110461726060389</v>
      </c>
      <c r="L9" s="81" t="n">
        <v>0.284928538012132</v>
      </c>
      <c r="M9" s="82" t="n">
        <v>0.0831658687923167</v>
      </c>
      <c r="N9" s="83" t="n">
        <v>0</v>
      </c>
      <c r="O9" s="78" t="n">
        <v>0.295174898974165</v>
      </c>
      <c r="P9" s="79" t="n">
        <v>0.23569387260607</v>
      </c>
      <c r="Q9" s="80" t="n">
        <v>0.104412609439237</v>
      </c>
      <c r="R9" s="81" t="n">
        <v>0.296800318209571</v>
      </c>
      <c r="S9" s="82" t="n">
        <v>0.0679183007709573</v>
      </c>
      <c r="T9" s="83" t="n">
        <v>0</v>
      </c>
    </row>
    <row r="10" customFormat="false" ht="15" hidden="false" customHeight="false" outlineLevel="0" collapsed="false">
      <c r="B10" s="21" t="s">
        <v>45</v>
      </c>
      <c r="C10" s="84" t="n">
        <v>0.369650443371817</v>
      </c>
      <c r="D10" s="85" t="n">
        <v>0.199620544830742</v>
      </c>
      <c r="E10" s="86" t="n">
        <v>0.124337718089676</v>
      </c>
      <c r="F10" s="87" t="n">
        <v>0.2390028332545</v>
      </c>
      <c r="G10" s="88" t="n">
        <v>0.0673884604532653</v>
      </c>
      <c r="H10" s="89" t="n">
        <v>0</v>
      </c>
      <c r="I10" s="84" t="n">
        <v>0.391289994924523</v>
      </c>
      <c r="J10" s="85" t="n">
        <v>0.228235304530928</v>
      </c>
      <c r="K10" s="86" t="n">
        <v>0.108427908636452</v>
      </c>
      <c r="L10" s="87" t="n">
        <v>0.199799472033299</v>
      </c>
      <c r="M10" s="88" t="n">
        <v>0.0722473198747977</v>
      </c>
      <c r="N10" s="89" t="n">
        <v>0</v>
      </c>
      <c r="O10" s="84" t="n">
        <v>0.313840966090251</v>
      </c>
      <c r="P10" s="85" t="n">
        <v>0.21579357995339</v>
      </c>
      <c r="Q10" s="86" t="n">
        <v>0.130510306797288</v>
      </c>
      <c r="R10" s="87" t="n">
        <v>0.278129041783151</v>
      </c>
      <c r="S10" s="88" t="n">
        <v>0.0617261053759207</v>
      </c>
      <c r="T10" s="89" t="n">
        <v>0</v>
      </c>
    </row>
    <row r="11" customFormat="false" ht="15" hidden="false" customHeight="false" outlineLevel="0" collapsed="false">
      <c r="B11" s="9" t="s">
        <v>46</v>
      </c>
      <c r="C11" s="78" t="n">
        <v>0.278947786927961</v>
      </c>
      <c r="D11" s="79" t="n">
        <v>0.315103104759988</v>
      </c>
      <c r="E11" s="80" t="n">
        <v>0.126821527784949</v>
      </c>
      <c r="F11" s="81" t="n">
        <v>0.203112483324946</v>
      </c>
      <c r="G11" s="82" t="n">
        <v>0.0760150972021558</v>
      </c>
      <c r="H11" s="83" t="n">
        <v>0</v>
      </c>
      <c r="I11" s="78" t="n">
        <v>0.228962864255255</v>
      </c>
      <c r="J11" s="79" t="n">
        <v>0.331814799625993</v>
      </c>
      <c r="K11" s="80" t="n">
        <v>0.160311984670967</v>
      </c>
      <c r="L11" s="81" t="n">
        <v>0.205908315419075</v>
      </c>
      <c r="M11" s="82" t="n">
        <v>0.0730020360287092</v>
      </c>
      <c r="N11" s="83" t="n">
        <v>0</v>
      </c>
      <c r="O11" s="78" t="n">
        <v>0.212764852738342</v>
      </c>
      <c r="P11" s="79" t="n">
        <v>0.294393049819179</v>
      </c>
      <c r="Q11" s="80" t="n">
        <v>0.153934073382236</v>
      </c>
      <c r="R11" s="81" t="n">
        <v>0.274588677217558</v>
      </c>
      <c r="S11" s="82" t="n">
        <v>0.064319346842686</v>
      </c>
      <c r="T11" s="83" t="n">
        <v>0</v>
      </c>
    </row>
    <row r="12" customFormat="false" ht="15" hidden="false" customHeight="false" outlineLevel="0" collapsed="false">
      <c r="B12" s="21" t="s">
        <v>48</v>
      </c>
      <c r="C12" s="84" t="n">
        <v>0.257687325994064</v>
      </c>
      <c r="D12" s="85" t="n">
        <v>0.313111665360464</v>
      </c>
      <c r="E12" s="86" t="n">
        <v>0.161617071812777</v>
      </c>
      <c r="F12" s="87" t="n">
        <v>0.196769575941443</v>
      </c>
      <c r="G12" s="88" t="n">
        <v>0.0708143608912531</v>
      </c>
      <c r="H12" s="89" t="n">
        <v>0</v>
      </c>
      <c r="I12" s="84" t="n">
        <v>0.2795534985805</v>
      </c>
      <c r="J12" s="85" t="n">
        <v>0.351514671147781</v>
      </c>
      <c r="K12" s="86" t="n">
        <v>0.138528983920418</v>
      </c>
      <c r="L12" s="87" t="n">
        <v>0.161328341211326</v>
      </c>
      <c r="M12" s="88" t="n">
        <v>0.0690745051399756</v>
      </c>
      <c r="N12" s="89" t="n">
        <v>0</v>
      </c>
      <c r="O12" s="84" t="n">
        <v>0.181084136385179</v>
      </c>
      <c r="P12" s="85" t="n">
        <v>0.392501728951718</v>
      </c>
      <c r="Q12" s="86" t="n">
        <v>0.164269716306081</v>
      </c>
      <c r="R12" s="87" t="n">
        <v>0.201023901801977</v>
      </c>
      <c r="S12" s="88" t="n">
        <v>0.0611205165550444</v>
      </c>
      <c r="T12" s="89" t="n">
        <v>0</v>
      </c>
    </row>
    <row r="13" customFormat="false" ht="15" hidden="false" customHeight="false" outlineLevel="0" collapsed="false">
      <c r="B13" s="9" t="s">
        <v>50</v>
      </c>
      <c r="C13" s="78" t="n">
        <v>0.288177343958771</v>
      </c>
      <c r="D13" s="79" t="n">
        <v>0.181487056358961</v>
      </c>
      <c r="E13" s="80" t="n">
        <v>0.117924875751236</v>
      </c>
      <c r="F13" s="81" t="n">
        <v>0.335892879335905</v>
      </c>
      <c r="G13" s="82" t="n">
        <v>0.0765178445951278</v>
      </c>
      <c r="H13" s="83" t="n">
        <v>0</v>
      </c>
      <c r="I13" s="78" t="n">
        <v>0.331978288069567</v>
      </c>
      <c r="J13" s="79" t="n">
        <v>0.175205982101943</v>
      </c>
      <c r="K13" s="80" t="n">
        <v>0.0943370494890539</v>
      </c>
      <c r="L13" s="81" t="n">
        <v>0.314692019465178</v>
      </c>
      <c r="M13" s="82" t="n">
        <v>0.0837866608742593</v>
      </c>
      <c r="N13" s="83" t="n">
        <v>0</v>
      </c>
      <c r="O13" s="78" t="n">
        <v>0.219533316660038</v>
      </c>
      <c r="P13" s="79" t="n">
        <v>0.299379526204587</v>
      </c>
      <c r="Q13" s="80" t="n">
        <v>0.122318734701005</v>
      </c>
      <c r="R13" s="81" t="n">
        <v>0.291625180672061</v>
      </c>
      <c r="S13" s="82" t="n">
        <v>0.0671432417623083</v>
      </c>
      <c r="T13" s="83" t="n">
        <v>0</v>
      </c>
    </row>
    <row r="14" customFormat="false" ht="15" hidden="false" customHeight="false" outlineLevel="0" collapsed="false">
      <c r="B14" s="21" t="s">
        <v>52</v>
      </c>
      <c r="C14" s="84" t="n">
        <v>0.2095449348404</v>
      </c>
      <c r="D14" s="85" t="n">
        <v>0.42224526332277</v>
      </c>
      <c r="E14" s="86" t="n">
        <v>0.158739996952408</v>
      </c>
      <c r="F14" s="87" t="n">
        <v>0.143680680032891</v>
      </c>
      <c r="G14" s="88" t="n">
        <v>0.0657891248515316</v>
      </c>
      <c r="H14" s="89" t="n">
        <v>0</v>
      </c>
      <c r="I14" s="84" t="n">
        <v>0.22010993374511</v>
      </c>
      <c r="J14" s="85" t="n">
        <v>0.405709300035866</v>
      </c>
      <c r="K14" s="86" t="n">
        <v>0.129692865072524</v>
      </c>
      <c r="L14" s="87" t="n">
        <v>0.168130660839589</v>
      </c>
      <c r="M14" s="88" t="n">
        <v>0.0763572403069111</v>
      </c>
      <c r="N14" s="89" t="n">
        <v>0</v>
      </c>
      <c r="O14" s="84" t="n">
        <v>0.176688341841087</v>
      </c>
      <c r="P14" s="85" t="n">
        <v>0.452533724912353</v>
      </c>
      <c r="Q14" s="86" t="n">
        <v>0.176225413567801</v>
      </c>
      <c r="R14" s="87" t="n">
        <v>0.147371386964499</v>
      </c>
      <c r="S14" s="88" t="n">
        <v>0.0471811327142599</v>
      </c>
      <c r="T14" s="89" t="n">
        <v>0</v>
      </c>
    </row>
    <row r="15" customFormat="false" ht="15" hidden="false" customHeight="false" outlineLevel="0" collapsed="false">
      <c r="B15" s="9" t="s">
        <v>53</v>
      </c>
      <c r="C15" s="78" t="n">
        <v>0.320814050269284</v>
      </c>
      <c r="D15" s="79" t="n">
        <v>0.347567618950696</v>
      </c>
      <c r="E15" s="80" t="n">
        <v>0.146949917382551</v>
      </c>
      <c r="F15" s="81" t="n">
        <v>0.111428419378217</v>
      </c>
      <c r="G15" s="82" t="n">
        <v>0.0732399940192517</v>
      </c>
      <c r="H15" s="83" t="n">
        <v>0</v>
      </c>
      <c r="I15" s="78" t="n">
        <v>0.299609409429488</v>
      </c>
      <c r="J15" s="79" t="n">
        <v>0.326587397223634</v>
      </c>
      <c r="K15" s="80" t="n">
        <v>0.194799252506403</v>
      </c>
      <c r="L15" s="81" t="n">
        <v>0.113884317247897</v>
      </c>
      <c r="M15" s="82" t="n">
        <v>0.0651196235925784</v>
      </c>
      <c r="N15" s="83" t="n">
        <v>0</v>
      </c>
      <c r="O15" s="78" t="n">
        <v>0.297659049018685</v>
      </c>
      <c r="P15" s="79" t="n">
        <v>0.329356961548796</v>
      </c>
      <c r="Q15" s="80" t="n">
        <v>0.161535671528595</v>
      </c>
      <c r="R15" s="81" t="n">
        <v>0.143738684897044</v>
      </c>
      <c r="S15" s="82" t="n">
        <v>0.0677096330068796</v>
      </c>
      <c r="T15" s="83" t="n">
        <v>0</v>
      </c>
    </row>
    <row r="16" customFormat="false" ht="15" hidden="false" customHeight="false" outlineLevel="0" collapsed="false">
      <c r="B16" s="21" t="s">
        <v>54</v>
      </c>
      <c r="C16" s="84" t="n">
        <v>0.308489993554393</v>
      </c>
      <c r="D16" s="85" t="n">
        <v>0.347681799236841</v>
      </c>
      <c r="E16" s="86" t="n">
        <v>0.165260817603093</v>
      </c>
      <c r="F16" s="87" t="n">
        <v>0.11877580689875</v>
      </c>
      <c r="G16" s="88" t="n">
        <v>0.0597915827069233</v>
      </c>
      <c r="H16" s="89" t="n">
        <v>0</v>
      </c>
      <c r="I16" s="84" t="n">
        <v>0.234578624054792</v>
      </c>
      <c r="J16" s="85" t="n">
        <v>0.386238583111776</v>
      </c>
      <c r="K16" s="86" t="n">
        <v>0.209252859357874</v>
      </c>
      <c r="L16" s="87" t="n">
        <v>0.107589643589199</v>
      </c>
      <c r="M16" s="88" t="n">
        <v>0.0623402898863598</v>
      </c>
      <c r="N16" s="89" t="n">
        <v>0</v>
      </c>
      <c r="O16" s="84" t="n">
        <v>0.269718158228886</v>
      </c>
      <c r="P16" s="85" t="n">
        <v>0.370012947054927</v>
      </c>
      <c r="Q16" s="86" t="n">
        <v>0.18030328360778</v>
      </c>
      <c r="R16" s="87" t="n">
        <v>0.12424053776007</v>
      </c>
      <c r="S16" s="88" t="n">
        <v>0.0557250733483379</v>
      </c>
      <c r="T16" s="89" t="n">
        <v>0</v>
      </c>
    </row>
    <row r="17" customFormat="false" ht="15" hidden="false" customHeight="false" outlineLevel="0" collapsed="false">
      <c r="B17" s="9" t="s">
        <v>55</v>
      </c>
      <c r="C17" s="78" t="n">
        <v>0.293091244104943</v>
      </c>
      <c r="D17" s="79" t="n">
        <v>0.390592780712886</v>
      </c>
      <c r="E17" s="80" t="n">
        <v>0.119856176859176</v>
      </c>
      <c r="F17" s="81" t="n">
        <v>0.130267842887991</v>
      </c>
      <c r="G17" s="82" t="n">
        <v>0.0661919554350058</v>
      </c>
      <c r="H17" s="83" t="n">
        <v>0</v>
      </c>
      <c r="I17" s="78" t="n">
        <v>0.314041918720896</v>
      </c>
      <c r="J17" s="79" t="n">
        <v>0.359029939221219</v>
      </c>
      <c r="K17" s="80" t="n">
        <v>0.135063434498005</v>
      </c>
      <c r="L17" s="81" t="n">
        <v>0.130778167188101</v>
      </c>
      <c r="M17" s="82" t="n">
        <v>0.06108654037178</v>
      </c>
      <c r="N17" s="83" t="n">
        <v>0</v>
      </c>
      <c r="O17" s="78" t="n">
        <v>0.288229203856103</v>
      </c>
      <c r="P17" s="79" t="n">
        <v>0.371908112730101</v>
      </c>
      <c r="Q17" s="80" t="n">
        <v>0.143809075506063</v>
      </c>
      <c r="R17" s="81" t="n">
        <v>0.138750478862478</v>
      </c>
      <c r="S17" s="82" t="n">
        <v>0.0573031290452553</v>
      </c>
      <c r="T17" s="83" t="n">
        <v>0</v>
      </c>
    </row>
    <row r="18" customFormat="false" ht="15" hidden="false" customHeight="false" outlineLevel="0" collapsed="false">
      <c r="B18" s="21" t="s">
        <v>56</v>
      </c>
      <c r="C18" s="84" t="n">
        <v>0.255111735596992</v>
      </c>
      <c r="D18" s="85" t="n">
        <v>0.35231850060898</v>
      </c>
      <c r="E18" s="86" t="n">
        <v>0.15927055298108</v>
      </c>
      <c r="F18" s="87" t="n">
        <v>0.181095005529435</v>
      </c>
      <c r="G18" s="88" t="n">
        <v>0.0522042052835132</v>
      </c>
      <c r="H18" s="89" t="n">
        <v>0</v>
      </c>
      <c r="I18" s="84" t="n">
        <v>0.263579774893572</v>
      </c>
      <c r="J18" s="85" t="n">
        <v>0.376286882780003</v>
      </c>
      <c r="K18" s="86" t="n">
        <v>0.125579326268782</v>
      </c>
      <c r="L18" s="87" t="n">
        <v>0.169094031635173</v>
      </c>
      <c r="M18" s="88" t="n">
        <v>0.0654599844224702</v>
      </c>
      <c r="N18" s="89" t="n">
        <v>0</v>
      </c>
      <c r="O18" s="84" t="n">
        <v>0.238454999045745</v>
      </c>
      <c r="P18" s="85" t="n">
        <v>0.334909771843209</v>
      </c>
      <c r="Q18" s="86" t="n">
        <v>0.175295008843594</v>
      </c>
      <c r="R18" s="87" t="n">
        <v>0.19363140312164</v>
      </c>
      <c r="S18" s="88" t="n">
        <v>0.0577088171458125</v>
      </c>
      <c r="T18" s="89" t="n">
        <v>0</v>
      </c>
    </row>
    <row r="19" customFormat="false" ht="15" hidden="false" customHeight="false" outlineLevel="0" collapsed="false">
      <c r="B19" s="9" t="s">
        <v>57</v>
      </c>
      <c r="C19" s="78" t="n">
        <v>0.203721163487371</v>
      </c>
      <c r="D19" s="79" t="n">
        <v>0.451214158239221</v>
      </c>
      <c r="E19" s="80" t="n">
        <v>0.169405050348372</v>
      </c>
      <c r="F19" s="81" t="n">
        <v>0.101951950741777</v>
      </c>
      <c r="G19" s="82" t="n">
        <v>0.0737076771832592</v>
      </c>
      <c r="H19" s="83" t="n">
        <v>0</v>
      </c>
      <c r="I19" s="78" t="n">
        <v>0.258723420198534</v>
      </c>
      <c r="J19" s="79" t="n">
        <v>0.382289195315521</v>
      </c>
      <c r="K19" s="80" t="n">
        <v>0.175355716908746</v>
      </c>
      <c r="L19" s="81" t="n">
        <v>0.100546607690839</v>
      </c>
      <c r="M19" s="82" t="n">
        <v>0.0830850598863598</v>
      </c>
      <c r="N19" s="83" t="n">
        <v>0</v>
      </c>
      <c r="O19" s="78" t="n">
        <v>0.198498565805888</v>
      </c>
      <c r="P19" s="79" t="n">
        <v>0.40787303278045</v>
      </c>
      <c r="Q19" s="80" t="n">
        <v>0.162012245034659</v>
      </c>
      <c r="R19" s="81" t="n">
        <v>0.167094350129283</v>
      </c>
      <c r="S19" s="82" t="n">
        <v>0.0645218062497206</v>
      </c>
      <c r="T19" s="83" t="n">
        <v>0</v>
      </c>
    </row>
    <row r="20" customFormat="false" ht="15" hidden="false" customHeight="false" outlineLevel="0" collapsed="false">
      <c r="B20" s="21" t="s">
        <v>58</v>
      </c>
      <c r="C20" s="84" t="n">
        <v>0.293041731381382</v>
      </c>
      <c r="D20" s="85" t="n">
        <v>0.314753909035358</v>
      </c>
      <c r="E20" s="86" t="n">
        <v>0.113615311817709</v>
      </c>
      <c r="F20" s="87" t="n">
        <v>0.213205966665778</v>
      </c>
      <c r="G20" s="88" t="n">
        <v>0.0653830810997727</v>
      </c>
      <c r="H20" s="89" t="n">
        <v>0</v>
      </c>
      <c r="I20" s="84" t="n">
        <v>0.321480878737695</v>
      </c>
      <c r="J20" s="85" t="n">
        <v>0.269502663441914</v>
      </c>
      <c r="K20" s="86" t="n">
        <v>0.106109270523246</v>
      </c>
      <c r="L20" s="87" t="n">
        <v>0.234474819292343</v>
      </c>
      <c r="M20" s="88" t="n">
        <v>0.0684323680048018</v>
      </c>
      <c r="N20" s="89" t="n">
        <v>0</v>
      </c>
      <c r="O20" s="84" t="n">
        <v>0.264827032580522</v>
      </c>
      <c r="P20" s="85" t="n">
        <v>0.299710591277163</v>
      </c>
      <c r="Q20" s="86" t="n">
        <v>0.0998548550175604</v>
      </c>
      <c r="R20" s="87" t="n">
        <v>0.269629105261464</v>
      </c>
      <c r="S20" s="88" t="n">
        <v>0.065978415863291</v>
      </c>
      <c r="T20" s="89" t="n">
        <v>0</v>
      </c>
    </row>
    <row r="21" customFormat="false" ht="15" hidden="false" customHeight="false" outlineLevel="0" collapsed="false">
      <c r="B21" s="9" t="s">
        <v>59</v>
      </c>
      <c r="C21" s="78" t="n">
        <v>0.210499531188303</v>
      </c>
      <c r="D21" s="79" t="n">
        <v>0.39852049970951</v>
      </c>
      <c r="E21" s="80" t="n">
        <v>0.164027723636533</v>
      </c>
      <c r="F21" s="81" t="n">
        <v>0.176696979595803</v>
      </c>
      <c r="G21" s="82" t="n">
        <v>0.0502552658698518</v>
      </c>
      <c r="H21" s="83" t="n">
        <v>0</v>
      </c>
      <c r="I21" s="78" t="n">
        <v>0.249369635370911</v>
      </c>
      <c r="J21" s="79" t="n">
        <v>0.285743727124891</v>
      </c>
      <c r="K21" s="80" t="n">
        <v>0.217295478130801</v>
      </c>
      <c r="L21" s="81" t="n">
        <v>0.19617117927939</v>
      </c>
      <c r="M21" s="82" t="n">
        <v>0.0514199800940073</v>
      </c>
      <c r="N21" s="83" t="n">
        <v>0</v>
      </c>
      <c r="O21" s="78" t="n">
        <v>0.21230163067576</v>
      </c>
      <c r="P21" s="79" t="n">
        <v>0.390798224883012</v>
      </c>
      <c r="Q21" s="80" t="n">
        <v>0.188823768484525</v>
      </c>
      <c r="R21" s="81" t="n">
        <v>0.152396484148521</v>
      </c>
      <c r="S21" s="82" t="n">
        <v>0.0556798918081815</v>
      </c>
      <c r="T21" s="83" t="n">
        <v>0</v>
      </c>
    </row>
    <row r="22" customFormat="false" ht="15" hidden="false" customHeight="false" outlineLevel="0" collapsed="false">
      <c r="B22" s="21" t="s">
        <v>60</v>
      </c>
      <c r="C22" s="84" t="n">
        <v>0.321941519735741</v>
      </c>
      <c r="D22" s="85" t="n">
        <v>0.212137652115456</v>
      </c>
      <c r="E22" s="86" t="n">
        <v>0.11175038310505</v>
      </c>
      <c r="F22" s="87" t="n">
        <v>0.300628439507451</v>
      </c>
      <c r="G22" s="88" t="n">
        <v>0.0535420055363021</v>
      </c>
      <c r="H22" s="89" t="n">
        <v>0</v>
      </c>
      <c r="I22" s="84" t="n">
        <v>0.313597287991815</v>
      </c>
      <c r="J22" s="85" t="n">
        <v>0.158682423235224</v>
      </c>
      <c r="K22" s="86" t="n">
        <v>0.107290715444162</v>
      </c>
      <c r="L22" s="87" t="n">
        <v>0.336389580839968</v>
      </c>
      <c r="M22" s="88" t="n">
        <v>0.0840399924888296</v>
      </c>
      <c r="N22" s="89" t="n">
        <v>0</v>
      </c>
      <c r="O22" s="84" t="n">
        <v>0.293664982733834</v>
      </c>
      <c r="P22" s="85" t="n">
        <v>0.175419844800474</v>
      </c>
      <c r="Q22" s="86" t="n">
        <v>0.127341220622885</v>
      </c>
      <c r="R22" s="87" t="n">
        <v>0.335537445802492</v>
      </c>
      <c r="S22" s="88" t="n">
        <v>0.0680365060403147</v>
      </c>
      <c r="T22" s="89" t="n">
        <v>0</v>
      </c>
    </row>
    <row r="23" customFormat="false" ht="15" hidden="false" customHeight="false" outlineLevel="0" collapsed="false">
      <c r="B23" s="9" t="s">
        <v>62</v>
      </c>
      <c r="C23" s="78" t="n">
        <v>0.301869788537921</v>
      </c>
      <c r="D23" s="79" t="n">
        <v>0.305213861564398</v>
      </c>
      <c r="E23" s="80" t="n">
        <v>0.124647919476171</v>
      </c>
      <c r="F23" s="81" t="n">
        <v>0.187537556778622</v>
      </c>
      <c r="G23" s="82" t="n">
        <v>0.0807308736428876</v>
      </c>
      <c r="H23" s="83" t="n">
        <v>0</v>
      </c>
      <c r="I23" s="78" t="n">
        <v>0.191177952523251</v>
      </c>
      <c r="J23" s="79" t="n">
        <v>0.351745949693643</v>
      </c>
      <c r="K23" s="80" t="n">
        <v>0.147204098973027</v>
      </c>
      <c r="L23" s="81" t="n">
        <v>0.204182579367639</v>
      </c>
      <c r="M23" s="82" t="n">
        <v>0.10568941944244</v>
      </c>
      <c r="N23" s="83" t="n">
        <v>0</v>
      </c>
      <c r="O23" s="78" t="n">
        <v>0.210696504304154</v>
      </c>
      <c r="P23" s="79" t="n">
        <v>0.368309424668971</v>
      </c>
      <c r="Q23" s="80" t="n">
        <v>0.132974476663841</v>
      </c>
      <c r="R23" s="81" t="n">
        <v>0.230481619372647</v>
      </c>
      <c r="S23" s="82" t="n">
        <v>0.0575379749903865</v>
      </c>
      <c r="T23" s="83" t="n">
        <v>0</v>
      </c>
    </row>
    <row r="24" customFormat="false" ht="15" hidden="false" customHeight="false" outlineLevel="0" collapsed="false">
      <c r="B24" s="21" t="s">
        <v>64</v>
      </c>
      <c r="C24" s="84" t="n">
        <v>0.283862637572411</v>
      </c>
      <c r="D24" s="85" t="n">
        <v>0.33724326395987</v>
      </c>
      <c r="E24" s="86" t="n">
        <v>0.178622811976754</v>
      </c>
      <c r="F24" s="87" t="n">
        <v>0.148217705330215</v>
      </c>
      <c r="G24" s="88" t="n">
        <v>0.0520535811607502</v>
      </c>
      <c r="H24" s="89" t="n">
        <v>0</v>
      </c>
      <c r="I24" s="84" t="n">
        <v>0.268136919692776</v>
      </c>
      <c r="J24" s="85" t="n">
        <v>0.353324749024525</v>
      </c>
      <c r="K24" s="86" t="n">
        <v>0.15090149748754</v>
      </c>
      <c r="L24" s="87" t="n">
        <v>0.163798385807777</v>
      </c>
      <c r="M24" s="88" t="n">
        <v>0.0638384479873814</v>
      </c>
      <c r="N24" s="89" t="n">
        <v>0</v>
      </c>
      <c r="O24" s="84" t="n">
        <v>0.248541158160292</v>
      </c>
      <c r="P24" s="85" t="n">
        <v>0.33827416086677</v>
      </c>
      <c r="Q24" s="86" t="n">
        <v>0.193643118649126</v>
      </c>
      <c r="R24" s="87" t="n">
        <v>0.150053441005159</v>
      </c>
      <c r="S24" s="88" t="n">
        <v>0.0694881213186541</v>
      </c>
      <c r="T24" s="89" t="n">
        <v>0</v>
      </c>
    </row>
    <row r="25" customFormat="false" ht="15" hidden="false" customHeight="false" outlineLevel="0" collapsed="false">
      <c r="B25" s="9" t="s">
        <v>65</v>
      </c>
      <c r="C25" s="78" t="n">
        <v>0.233485815535465</v>
      </c>
      <c r="D25" s="79" t="n">
        <v>0.342580300540688</v>
      </c>
      <c r="E25" s="80" t="n">
        <v>0.159373264884449</v>
      </c>
      <c r="F25" s="81" t="n">
        <v>0.181095180349716</v>
      </c>
      <c r="G25" s="82" t="n">
        <v>0.0834654386896812</v>
      </c>
      <c r="H25" s="83" t="n">
        <v>0</v>
      </c>
      <c r="I25" s="78" t="n">
        <v>0.242977792556528</v>
      </c>
      <c r="J25" s="79" t="n">
        <v>0.356114368237193</v>
      </c>
      <c r="K25" s="80" t="n">
        <v>0.123057077745027</v>
      </c>
      <c r="L25" s="81" t="n">
        <v>0.21312732534697</v>
      </c>
      <c r="M25" s="82" t="n">
        <v>0.0647234361142822</v>
      </c>
      <c r="N25" s="83" t="n">
        <v>0</v>
      </c>
      <c r="O25" s="78" t="n">
        <v>0.20942445032571</v>
      </c>
      <c r="P25" s="79" t="n">
        <v>0.344038488136856</v>
      </c>
      <c r="Q25" s="80" t="n">
        <v>0.16755363385069</v>
      </c>
      <c r="R25" s="81" t="n">
        <v>0.20997989226433</v>
      </c>
      <c r="S25" s="82" t="n">
        <v>0.0690035354224138</v>
      </c>
      <c r="T25" s="83" t="n">
        <v>0</v>
      </c>
    </row>
    <row r="26" customFormat="false" ht="15" hidden="false" customHeight="false" outlineLevel="0" collapsed="false">
      <c r="B26" s="21" t="s">
        <v>67</v>
      </c>
      <c r="C26" s="84" t="n">
        <v>0.317590794182237</v>
      </c>
      <c r="D26" s="85" t="n">
        <v>0.220400440437163</v>
      </c>
      <c r="E26" s="86" t="n">
        <v>0.119148832823541</v>
      </c>
      <c r="F26" s="87" t="n">
        <v>0.281388360779611</v>
      </c>
      <c r="G26" s="88" t="n">
        <v>0.0614715717774479</v>
      </c>
      <c r="H26" s="89" t="n">
        <v>0</v>
      </c>
      <c r="I26" s="84" t="n">
        <v>0.267406887776989</v>
      </c>
      <c r="J26" s="85" t="n">
        <v>0.287385389718619</v>
      </c>
      <c r="K26" s="86" t="n">
        <v>0.110226513353128</v>
      </c>
      <c r="L26" s="87" t="n">
        <v>0.266483068699958</v>
      </c>
      <c r="M26" s="88" t="n">
        <v>0.0684981404513056</v>
      </c>
      <c r="N26" s="89" t="n">
        <v>0</v>
      </c>
      <c r="O26" s="84" t="n">
        <v>0.302101616852723</v>
      </c>
      <c r="P26" s="85" t="n">
        <v>0.238640827630789</v>
      </c>
      <c r="Q26" s="86" t="n">
        <v>0.101546654827676</v>
      </c>
      <c r="R26" s="87" t="n">
        <v>0.285754696723092</v>
      </c>
      <c r="S26" s="88" t="n">
        <v>0.0719562039657208</v>
      </c>
      <c r="T26" s="89" t="n">
        <v>0</v>
      </c>
    </row>
    <row r="27" customFormat="false" ht="15" hidden="false" customHeight="false" outlineLevel="0" collapsed="false">
      <c r="B27" s="9" t="s">
        <v>68</v>
      </c>
      <c r="C27" s="78" t="n">
        <v>0.351440525030504</v>
      </c>
      <c r="D27" s="79" t="n">
        <v>0.303534623542965</v>
      </c>
      <c r="E27" s="80" t="n">
        <v>0.0993328321938423</v>
      </c>
      <c r="F27" s="81" t="n">
        <v>0.190302498457739</v>
      </c>
      <c r="G27" s="82" t="n">
        <v>0.0553895207749497</v>
      </c>
      <c r="H27" s="83" t="n">
        <v>0</v>
      </c>
      <c r="I27" s="78" t="n">
        <v>0.325225745171864</v>
      </c>
      <c r="J27" s="79" t="n">
        <v>0.282397735103753</v>
      </c>
      <c r="K27" s="80" t="n">
        <v>0.109021129299246</v>
      </c>
      <c r="L27" s="81" t="n">
        <v>0.210655471198167</v>
      </c>
      <c r="M27" s="82" t="n">
        <v>0.0726999192269711</v>
      </c>
      <c r="N27" s="83" t="n">
        <v>0</v>
      </c>
      <c r="O27" s="78" t="n">
        <v>0.257189721882234</v>
      </c>
      <c r="P27" s="79" t="n">
        <v>0.34216556554549</v>
      </c>
      <c r="Q27" s="80" t="n">
        <v>0.11162179608736</v>
      </c>
      <c r="R27" s="81" t="n">
        <v>0.23217011164414</v>
      </c>
      <c r="S27" s="82" t="n">
        <v>0.056852804840776</v>
      </c>
      <c r="T27" s="83" t="n">
        <v>0</v>
      </c>
    </row>
    <row r="28" customFormat="false" ht="15" hidden="false" customHeight="false" outlineLevel="0" collapsed="false">
      <c r="B28" s="21" t="s">
        <v>69</v>
      </c>
      <c r="C28" s="84" t="n">
        <v>0.340573722378872</v>
      </c>
      <c r="D28" s="85" t="n">
        <v>0.314195864959353</v>
      </c>
      <c r="E28" s="86" t="n">
        <v>0.145914768986983</v>
      </c>
      <c r="F28" s="87" t="n">
        <v>0.151032500935643</v>
      </c>
      <c r="G28" s="88" t="n">
        <v>0.0482831427391499</v>
      </c>
      <c r="H28" s="89" t="n">
        <v>0</v>
      </c>
      <c r="I28" s="84" t="n">
        <v>0.370531151573784</v>
      </c>
      <c r="J28" s="85" t="n">
        <v>0.295254811411747</v>
      </c>
      <c r="K28" s="86" t="n">
        <v>0.157874895133871</v>
      </c>
      <c r="L28" s="87" t="n">
        <v>0.118054912734876</v>
      </c>
      <c r="M28" s="88" t="n">
        <v>0.0582842291457223</v>
      </c>
      <c r="N28" s="89" t="n">
        <v>0</v>
      </c>
      <c r="O28" s="84" t="n">
        <v>0.312145401571263</v>
      </c>
      <c r="P28" s="85" t="n">
        <v>0.361937148871275</v>
      </c>
      <c r="Q28" s="86" t="n">
        <v>0.134538366569651</v>
      </c>
      <c r="R28" s="87" t="n">
        <v>0.138283700998809</v>
      </c>
      <c r="S28" s="88" t="n">
        <v>0.0530953819890026</v>
      </c>
      <c r="T28" s="89" t="n">
        <v>0</v>
      </c>
    </row>
    <row r="29" customFormat="false" ht="15" hidden="false" customHeight="false" outlineLevel="0" collapsed="false">
      <c r="B29" s="9" t="s">
        <v>70</v>
      </c>
      <c r="C29" s="78" t="n">
        <v>0.225760473576331</v>
      </c>
      <c r="D29" s="79" t="n">
        <v>0.353156225382553</v>
      </c>
      <c r="E29" s="80" t="n">
        <v>0.135248997196855</v>
      </c>
      <c r="F29" s="81" t="n">
        <v>0.223221274063428</v>
      </c>
      <c r="G29" s="82" t="n">
        <v>0.0626130297808338</v>
      </c>
      <c r="H29" s="83" t="n">
        <v>0</v>
      </c>
      <c r="I29" s="78" t="n">
        <v>0.274130377785674</v>
      </c>
      <c r="J29" s="79" t="n">
        <v>0.314945773114074</v>
      </c>
      <c r="K29" s="80" t="n">
        <v>0.12973412142866</v>
      </c>
      <c r="L29" s="81" t="n">
        <v>0.207156033060437</v>
      </c>
      <c r="M29" s="82" t="n">
        <v>0.0740336946111564</v>
      </c>
      <c r="N29" s="83" t="n">
        <v>0</v>
      </c>
      <c r="O29" s="78" t="n">
        <v>0.218618289342634</v>
      </c>
      <c r="P29" s="79" t="n">
        <v>0.361901627589339</v>
      </c>
      <c r="Q29" s="80" t="n">
        <v>0.155811943167553</v>
      </c>
      <c r="R29" s="81" t="n">
        <v>0.21463429933298</v>
      </c>
      <c r="S29" s="82" t="n">
        <v>0.0490338405674951</v>
      </c>
      <c r="T29" s="83" t="n">
        <v>0</v>
      </c>
    </row>
    <row r="30" customFormat="false" ht="15" hidden="false" customHeight="false" outlineLevel="0" collapsed="false">
      <c r="B30" s="21" t="s">
        <v>71</v>
      </c>
      <c r="C30" s="84" t="n">
        <v>0.305611209259036</v>
      </c>
      <c r="D30" s="85" t="n">
        <v>0.332281907581267</v>
      </c>
      <c r="E30" s="86" t="n">
        <v>0.162038373082684</v>
      </c>
      <c r="F30" s="87" t="n">
        <v>0.136873727792212</v>
      </c>
      <c r="G30" s="88" t="n">
        <v>0.0631947822848017</v>
      </c>
      <c r="H30" s="89" t="n">
        <v>0</v>
      </c>
      <c r="I30" s="84" t="n">
        <v>0.29481651411352</v>
      </c>
      <c r="J30" s="85" t="n">
        <v>0.367991142358612</v>
      </c>
      <c r="K30" s="86" t="n">
        <v>0.137833538906006</v>
      </c>
      <c r="L30" s="87" t="n">
        <v>0.125939424651214</v>
      </c>
      <c r="M30" s="88" t="n">
        <v>0.0734193799706481</v>
      </c>
      <c r="N30" s="89" t="n">
        <v>0</v>
      </c>
      <c r="O30" s="84" t="n">
        <v>0.297766589925345</v>
      </c>
      <c r="P30" s="85" t="n">
        <v>0.390474721942314</v>
      </c>
      <c r="Q30" s="86" t="n">
        <v>0.150239768489016</v>
      </c>
      <c r="R30" s="87" t="n">
        <v>0.101235700612025</v>
      </c>
      <c r="S30" s="88" t="n">
        <v>0.0602832190313005</v>
      </c>
      <c r="T30" s="89" t="n">
        <v>0</v>
      </c>
    </row>
    <row r="31" customFormat="false" ht="15" hidden="false" customHeight="false" outlineLevel="0" collapsed="false">
      <c r="B31" s="9" t="s">
        <v>72</v>
      </c>
      <c r="C31" s="78" t="n">
        <v>0.285424430315965</v>
      </c>
      <c r="D31" s="79" t="n">
        <v>0.306627653259703</v>
      </c>
      <c r="E31" s="80" t="n">
        <v>0.127721681226256</v>
      </c>
      <c r="F31" s="81" t="n">
        <v>0.203491761314089</v>
      </c>
      <c r="G31" s="82" t="n">
        <v>0.0767344738839876</v>
      </c>
      <c r="H31" s="83" t="n">
        <v>0</v>
      </c>
      <c r="I31" s="78" t="n">
        <v>0.311435881688645</v>
      </c>
      <c r="J31" s="79" t="n">
        <v>0.231566807498198</v>
      </c>
      <c r="K31" s="80" t="n">
        <v>0.126374326203955</v>
      </c>
      <c r="L31" s="81" t="n">
        <v>0.257112833233303</v>
      </c>
      <c r="M31" s="82" t="n">
        <v>0.0735101513758986</v>
      </c>
      <c r="N31" s="83" t="n">
        <v>0</v>
      </c>
      <c r="O31" s="78" t="n">
        <v>0.310375685719876</v>
      </c>
      <c r="P31" s="79" t="n">
        <v>0.240236879862814</v>
      </c>
      <c r="Q31" s="80" t="n">
        <v>0.0990551575753169</v>
      </c>
      <c r="R31" s="81" t="n">
        <v>0.272610638286764</v>
      </c>
      <c r="S31" s="82" t="n">
        <v>0.0777216385552293</v>
      </c>
      <c r="T31" s="83" t="n">
        <v>0</v>
      </c>
    </row>
    <row r="32" customFormat="false" ht="15" hidden="false" customHeight="false" outlineLevel="0" collapsed="false">
      <c r="B32" s="21" t="s">
        <v>73</v>
      </c>
      <c r="C32" s="84" t="n">
        <v>0.202024946827714</v>
      </c>
      <c r="D32" s="85" t="n">
        <v>0.390676406214358</v>
      </c>
      <c r="E32" s="86" t="n">
        <v>0.21929991035039</v>
      </c>
      <c r="F32" s="87" t="n">
        <v>0.106993505363464</v>
      </c>
      <c r="G32" s="88" t="n">
        <v>0.0810052312440743</v>
      </c>
      <c r="H32" s="89" t="n">
        <v>0</v>
      </c>
      <c r="I32" s="84" t="n">
        <v>0.18241051112171</v>
      </c>
      <c r="J32" s="85" t="n">
        <v>0.360935675765068</v>
      </c>
      <c r="K32" s="86" t="n">
        <v>0.265883252082106</v>
      </c>
      <c r="L32" s="87" t="n">
        <v>0.101199450845422</v>
      </c>
      <c r="M32" s="88" t="n">
        <v>0.0895711101856939</v>
      </c>
      <c r="N32" s="89" t="n">
        <v>0</v>
      </c>
      <c r="O32" s="84" t="n">
        <v>0.141866369763701</v>
      </c>
      <c r="P32" s="85" t="n">
        <v>0.42654450307302</v>
      </c>
      <c r="Q32" s="86" t="n">
        <v>0.26062197515063</v>
      </c>
      <c r="R32" s="87" t="n">
        <v>0.0980505986758816</v>
      </c>
      <c r="S32" s="88" t="n">
        <v>0.0729165533367678</v>
      </c>
      <c r="T32" s="89" t="n">
        <v>0</v>
      </c>
    </row>
    <row r="33" customFormat="false" ht="15" hidden="false" customHeight="false" outlineLevel="0" collapsed="false">
      <c r="B33" s="9" t="s">
        <v>74</v>
      </c>
      <c r="C33" s="78" t="n">
        <v>0.174604924708098</v>
      </c>
      <c r="D33" s="79" t="n">
        <v>0.457377955226023</v>
      </c>
      <c r="E33" s="80" t="n">
        <v>0.223525159243109</v>
      </c>
      <c r="F33" s="81" t="n">
        <v>0.0921051565409843</v>
      </c>
      <c r="G33" s="82" t="n">
        <v>0.0523868042817854</v>
      </c>
      <c r="H33" s="83" t="n">
        <v>0</v>
      </c>
      <c r="I33" s="78" t="n">
        <v>0.158144443113593</v>
      </c>
      <c r="J33" s="79" t="n">
        <v>0.447827092587637</v>
      </c>
      <c r="K33" s="80" t="n">
        <v>0.215724017850475</v>
      </c>
      <c r="L33" s="81" t="n">
        <v>0.103385505955572</v>
      </c>
      <c r="M33" s="82" t="n">
        <v>0.0749189404927232</v>
      </c>
      <c r="N33" s="83" t="n">
        <v>0</v>
      </c>
      <c r="O33" s="78" t="n">
        <v>0.166144278210549</v>
      </c>
      <c r="P33" s="79" t="n">
        <v>0.383521222524105</v>
      </c>
      <c r="Q33" s="80" t="n">
        <v>0.254466256230233</v>
      </c>
      <c r="R33" s="81" t="n">
        <v>0.136769945009055</v>
      </c>
      <c r="S33" s="82" t="n">
        <v>0.059098298026058</v>
      </c>
      <c r="T33" s="83" t="n">
        <v>0</v>
      </c>
    </row>
    <row r="34" customFormat="false" ht="15" hidden="false" customHeight="false" outlineLevel="0" collapsed="false">
      <c r="B34" s="21" t="s">
        <v>76</v>
      </c>
      <c r="C34" s="84" t="n">
        <v>0.292058878896202</v>
      </c>
      <c r="D34" s="85" t="n">
        <v>0.287328590136077</v>
      </c>
      <c r="E34" s="86" t="n">
        <v>0.141649506279245</v>
      </c>
      <c r="F34" s="87" t="n">
        <v>0.209421877369432</v>
      </c>
      <c r="G34" s="88" t="n">
        <v>0.0695411473190439</v>
      </c>
      <c r="H34" s="89" t="n">
        <v>0</v>
      </c>
      <c r="I34" s="84" t="n">
        <v>0.352225728503366</v>
      </c>
      <c r="J34" s="85" t="n">
        <v>0.237160923538916</v>
      </c>
      <c r="K34" s="86" t="n">
        <v>0.162480163850607</v>
      </c>
      <c r="L34" s="87" t="n">
        <v>0.179799984143185</v>
      </c>
      <c r="M34" s="88" t="n">
        <v>0.0683331999639258</v>
      </c>
      <c r="N34" s="89" t="n">
        <v>0</v>
      </c>
      <c r="O34" s="84" t="n">
        <v>0.25753407309074</v>
      </c>
      <c r="P34" s="85" t="n">
        <v>0.333650093024974</v>
      </c>
      <c r="Q34" s="86" t="n">
        <v>0.135181054124956</v>
      </c>
      <c r="R34" s="87" t="n">
        <v>0.220799266717199</v>
      </c>
      <c r="S34" s="88" t="n">
        <v>0.052835513042132</v>
      </c>
      <c r="T34" s="89" t="n">
        <v>0</v>
      </c>
    </row>
    <row r="35" customFormat="false" ht="15" hidden="false" customHeight="false" outlineLevel="0" collapsed="false">
      <c r="B35" s="9" t="s">
        <v>78</v>
      </c>
      <c r="C35" s="78" t="n">
        <v>0.169727782859492</v>
      </c>
      <c r="D35" s="79" t="n">
        <v>0.379448421400911</v>
      </c>
      <c r="E35" s="80" t="n">
        <v>0.269800062218336</v>
      </c>
      <c r="F35" s="81" t="n">
        <v>0.0955521749030001</v>
      </c>
      <c r="G35" s="82" t="n">
        <v>0.0854715586182606</v>
      </c>
      <c r="H35" s="83" t="n">
        <v>0</v>
      </c>
      <c r="I35" s="78" t="n">
        <v>0.200117098512677</v>
      </c>
      <c r="J35" s="79" t="n">
        <v>0.419898786239339</v>
      </c>
      <c r="K35" s="80" t="n">
        <v>0.225647660965685</v>
      </c>
      <c r="L35" s="81" t="n">
        <v>0.081407584538399</v>
      </c>
      <c r="M35" s="82" t="n">
        <v>0.0729288697438995</v>
      </c>
      <c r="N35" s="83" t="n">
        <v>0</v>
      </c>
      <c r="O35" s="78" t="n">
        <v>0.200743942657915</v>
      </c>
      <c r="P35" s="79" t="n">
        <v>0.386386752153076</v>
      </c>
      <c r="Q35" s="80" t="n">
        <v>0.239684138253058</v>
      </c>
      <c r="R35" s="81" t="n">
        <v>0.0987712350822331</v>
      </c>
      <c r="S35" s="82" t="n">
        <v>0.0744139318537187</v>
      </c>
      <c r="T35" s="83" t="n">
        <v>0</v>
      </c>
    </row>
    <row r="36" customFormat="false" ht="15" hidden="false" customHeight="false" outlineLevel="0" collapsed="false">
      <c r="B36" s="21" t="s">
        <v>80</v>
      </c>
      <c r="C36" s="84" t="n">
        <v>0.327650872775236</v>
      </c>
      <c r="D36" s="85" t="n">
        <v>0.224222353728319</v>
      </c>
      <c r="E36" s="86" t="n">
        <v>0.146185067149488</v>
      </c>
      <c r="F36" s="87" t="n">
        <v>0.219539918923426</v>
      </c>
      <c r="G36" s="88" t="n">
        <v>0.0824017874235313</v>
      </c>
      <c r="H36" s="89" t="n">
        <v>0</v>
      </c>
      <c r="I36" s="84" t="n">
        <v>0.315324304388994</v>
      </c>
      <c r="J36" s="85" t="n">
        <v>0.266871174435258</v>
      </c>
      <c r="K36" s="86" t="n">
        <v>0.145303838836115</v>
      </c>
      <c r="L36" s="87" t="n">
        <v>0.202445852026</v>
      </c>
      <c r="M36" s="88" t="n">
        <v>0.0700548303136341</v>
      </c>
      <c r="N36" s="89" t="n">
        <v>0</v>
      </c>
      <c r="O36" s="84" t="n">
        <v>0.275550131338928</v>
      </c>
      <c r="P36" s="85" t="n">
        <v>0.241055594248185</v>
      </c>
      <c r="Q36" s="86" t="n">
        <v>0.137200595695296</v>
      </c>
      <c r="R36" s="87" t="n">
        <v>0.292691356397832</v>
      </c>
      <c r="S36" s="88" t="n">
        <v>0.0535023223197596</v>
      </c>
      <c r="T36" s="89" t="n">
        <v>0</v>
      </c>
    </row>
    <row r="37" customFormat="false" ht="15" hidden="false" customHeight="false" outlineLevel="0" collapsed="false">
      <c r="B37" s="9" t="s">
        <v>82</v>
      </c>
      <c r="C37" s="78" t="n">
        <v>0.223403330443536</v>
      </c>
      <c r="D37" s="79" t="n">
        <v>0.410164381161063</v>
      </c>
      <c r="E37" s="80" t="n">
        <v>0.156532790150767</v>
      </c>
      <c r="F37" s="81" t="n">
        <v>0.135538852642986</v>
      </c>
      <c r="G37" s="82" t="n">
        <v>0.0743606456016475</v>
      </c>
      <c r="H37" s="83" t="n">
        <v>0</v>
      </c>
      <c r="I37" s="78" t="n">
        <v>0.298373679850484</v>
      </c>
      <c r="J37" s="79" t="n">
        <v>0.353928874246719</v>
      </c>
      <c r="K37" s="80" t="n">
        <v>0.150432032011348</v>
      </c>
      <c r="L37" s="81" t="n">
        <v>0.142653458882348</v>
      </c>
      <c r="M37" s="82" t="n">
        <v>0.0546119550091025</v>
      </c>
      <c r="N37" s="83" t="n">
        <v>0</v>
      </c>
      <c r="O37" s="78" t="n">
        <v>0.21315521818385</v>
      </c>
      <c r="P37" s="79" t="n">
        <v>0.44858491860694</v>
      </c>
      <c r="Q37" s="80" t="n">
        <v>0.150191457836166</v>
      </c>
      <c r="R37" s="81" t="n">
        <v>0.142534644239097</v>
      </c>
      <c r="S37" s="82" t="n">
        <v>0.045533761133947</v>
      </c>
      <c r="T37" s="83" t="n">
        <v>0</v>
      </c>
    </row>
    <row r="38" customFormat="false" ht="15" hidden="false" customHeight="false" outlineLevel="0" collapsed="false">
      <c r="B38" s="21" t="s">
        <v>83</v>
      </c>
      <c r="C38" s="84" t="n">
        <v>0.263590870688104</v>
      </c>
      <c r="D38" s="85" t="n">
        <v>0.405514116944959</v>
      </c>
      <c r="E38" s="86" t="n">
        <v>0.180755277012856</v>
      </c>
      <c r="F38" s="87" t="n">
        <v>0.0941769563111304</v>
      </c>
      <c r="G38" s="88" t="n">
        <v>0.0559627790429511</v>
      </c>
      <c r="H38" s="89" t="n">
        <v>0</v>
      </c>
      <c r="I38" s="84" t="n">
        <v>0.249335115352368</v>
      </c>
      <c r="J38" s="85" t="n">
        <v>0.41880840101418</v>
      </c>
      <c r="K38" s="86" t="n">
        <v>0.171105310501343</v>
      </c>
      <c r="L38" s="87" t="n">
        <v>0.111986622381521</v>
      </c>
      <c r="M38" s="88" t="n">
        <v>0.0487645507505874</v>
      </c>
      <c r="N38" s="89" t="n">
        <v>0</v>
      </c>
      <c r="O38" s="84" t="n">
        <v>0.245169218820809</v>
      </c>
      <c r="P38" s="85" t="n">
        <v>0.409921408032186</v>
      </c>
      <c r="Q38" s="86" t="n">
        <v>0.157265886055593</v>
      </c>
      <c r="R38" s="87" t="n">
        <v>0.133305195956697</v>
      </c>
      <c r="S38" s="88" t="n">
        <v>0.0543382911347151</v>
      </c>
      <c r="T38" s="89" t="n">
        <v>0</v>
      </c>
    </row>
    <row r="39" customFormat="false" ht="15" hidden="false" customHeight="false" outlineLevel="0" collapsed="false">
      <c r="B39" s="9" t="s">
        <v>85</v>
      </c>
      <c r="C39" s="78" t="n">
        <v>0.388788316775713</v>
      </c>
      <c r="D39" s="79" t="n">
        <v>0.212437134534476</v>
      </c>
      <c r="E39" s="80" t="n">
        <v>0.235527241283017</v>
      </c>
      <c r="F39" s="81" t="n">
        <v>0.075731756260836</v>
      </c>
      <c r="G39" s="82" t="n">
        <v>0.0875155511459586</v>
      </c>
      <c r="H39" s="83" t="n">
        <v>0</v>
      </c>
      <c r="I39" s="78" t="n">
        <v>0.361278172625981</v>
      </c>
      <c r="J39" s="79" t="n">
        <v>0.203403047912312</v>
      </c>
      <c r="K39" s="80" t="n">
        <v>0.231870194275064</v>
      </c>
      <c r="L39" s="81" t="n">
        <v>0.105905579381595</v>
      </c>
      <c r="M39" s="82" t="n">
        <v>0.0975430058050475</v>
      </c>
      <c r="N39" s="83" t="n">
        <v>0</v>
      </c>
      <c r="O39" s="78" t="n">
        <v>0.380272806046863</v>
      </c>
      <c r="P39" s="79" t="n">
        <v>0.247648483929918</v>
      </c>
      <c r="Q39" s="80" t="n">
        <v>0.225424196180828</v>
      </c>
      <c r="R39" s="81" t="n">
        <v>0.0791020299534724</v>
      </c>
      <c r="S39" s="82" t="n">
        <v>0.0675524838889191</v>
      </c>
      <c r="T39" s="83" t="n">
        <v>0</v>
      </c>
    </row>
    <row r="40" customFormat="false" ht="15" hidden="false" customHeight="false" outlineLevel="0" collapsed="false">
      <c r="B40" s="21" t="s">
        <v>87</v>
      </c>
      <c r="C40" s="84" t="n">
        <v>0.0853719651595662</v>
      </c>
      <c r="D40" s="85" t="n">
        <v>0.27683006090471</v>
      </c>
      <c r="E40" s="86" t="n">
        <v>0.0795867406713844</v>
      </c>
      <c r="F40" s="87" t="n">
        <v>0.115734962951911</v>
      </c>
      <c r="G40" s="88" t="n">
        <v>0.0484219758708078</v>
      </c>
      <c r="H40" s="89" t="n">
        <v>0.39405429444162</v>
      </c>
      <c r="I40" s="84" t="n">
        <v>0.0880182128160425</v>
      </c>
      <c r="J40" s="85" t="n">
        <v>0.248183354823919</v>
      </c>
      <c r="K40" s="86" t="n">
        <v>0.075190959689403</v>
      </c>
      <c r="L40" s="87" t="n">
        <v>0.111684822845723</v>
      </c>
      <c r="M40" s="88" t="n">
        <v>0.0500015105499382</v>
      </c>
      <c r="N40" s="89" t="n">
        <v>0.426921139274974</v>
      </c>
      <c r="O40" s="84" t="n">
        <v>0.103513987635904</v>
      </c>
      <c r="P40" s="85" t="n">
        <v>0.207816094053305</v>
      </c>
      <c r="Q40" s="86" t="n">
        <v>0.0787179940900931</v>
      </c>
      <c r="R40" s="87" t="n">
        <v>0.13362355468136</v>
      </c>
      <c r="S40" s="88" t="n">
        <v>0.0487845084555353</v>
      </c>
      <c r="T40" s="89" t="n">
        <v>0.427543861083802</v>
      </c>
    </row>
  </sheetData>
  <mergeCells count="5">
    <mergeCell ref="B1:T1"/>
    <mergeCell ref="B2:T2"/>
    <mergeCell ref="C3:H3"/>
    <mergeCell ref="I3:N3"/>
    <mergeCell ref="O3:T3"/>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I4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4" topLeftCell="C5" activePane="bottomRight" state="frozen"/>
      <selection pane="topLeft" activeCell="A1" activeCellId="0" sqref="A1"/>
      <selection pane="topRight" activeCell="C1" activeCellId="0" sqref="C1"/>
      <selection pane="bottomLeft" activeCell="A5" activeCellId="0" sqref="A5"/>
      <selection pane="bottomRigh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20"/>
    <col collapsed="false" customWidth="true" hidden="false" outlineLevel="0" max="8" min="3" style="0" width="10"/>
    <col collapsed="false" customWidth="true" hidden="false" outlineLevel="0" max="9" min="9" style="0" width="9"/>
  </cols>
  <sheetData>
    <row r="1" customFormat="false" ht="25.5" hidden="false" customHeight="true" outlineLevel="0" collapsed="false">
      <c r="B1" s="60" t="s">
        <v>130</v>
      </c>
      <c r="C1" s="60"/>
      <c r="D1" s="60"/>
      <c r="E1" s="60"/>
      <c r="F1" s="60"/>
      <c r="G1" s="60"/>
      <c r="H1" s="60"/>
      <c r="I1" s="60"/>
    </row>
    <row r="2" customFormat="false" ht="22.35" hidden="false" customHeight="true" outlineLevel="0" collapsed="false">
      <c r="B2" s="61" t="s">
        <v>131</v>
      </c>
      <c r="C2" s="61"/>
      <c r="D2" s="61"/>
      <c r="E2" s="61"/>
      <c r="F2" s="61"/>
      <c r="G2" s="61"/>
      <c r="H2" s="61"/>
      <c r="I2" s="61"/>
    </row>
    <row r="4" customFormat="false" ht="15" hidden="false" customHeight="false" outlineLevel="0" collapsed="false">
      <c r="B4" s="76" t="s">
        <v>4</v>
      </c>
      <c r="C4" s="76" t="s">
        <v>124</v>
      </c>
      <c r="D4" s="76" t="s">
        <v>125</v>
      </c>
      <c r="E4" s="76" t="s">
        <v>126</v>
      </c>
      <c r="F4" s="76" t="s">
        <v>127</v>
      </c>
      <c r="G4" s="76" t="s">
        <v>128</v>
      </c>
      <c r="H4" s="76" t="s">
        <v>129</v>
      </c>
      <c r="I4" s="76" t="s">
        <v>132</v>
      </c>
    </row>
    <row r="5" customFormat="false" ht="15" hidden="false" customHeight="false" outlineLevel="0" collapsed="false">
      <c r="B5" s="9" t="s">
        <v>30</v>
      </c>
      <c r="C5" s="90" t="n">
        <v>0.215420077657554</v>
      </c>
      <c r="D5" s="91" t="n">
        <v>0.372027695443515</v>
      </c>
      <c r="E5" s="92" t="n">
        <v>0.195378421430211</v>
      </c>
      <c r="F5" s="62" t="n">
        <v>0.141638353796493</v>
      </c>
      <c r="G5" s="93" t="n">
        <v>0.0755354516722268</v>
      </c>
      <c r="H5" s="94" t="n">
        <v>0</v>
      </c>
      <c r="I5" s="53" t="n">
        <v>0.026</v>
      </c>
    </row>
    <row r="6" customFormat="false" ht="15" hidden="false" customHeight="false" outlineLevel="0" collapsed="false">
      <c r="B6" s="21" t="s">
        <v>33</v>
      </c>
      <c r="C6" s="90" t="n">
        <v>0.192771775108034</v>
      </c>
      <c r="D6" s="91" t="n">
        <v>0.388682492042315</v>
      </c>
      <c r="E6" s="92" t="n">
        <v>0.212086295238372</v>
      </c>
      <c r="F6" s="62" t="n">
        <v>0.11281056594061</v>
      </c>
      <c r="G6" s="93" t="n">
        <v>0.0936488716706689</v>
      </c>
      <c r="H6" s="94" t="n">
        <v>0</v>
      </c>
      <c r="I6" s="64" t="n">
        <v>0.038</v>
      </c>
    </row>
    <row r="7" customFormat="false" ht="15" hidden="false" customHeight="false" outlineLevel="0" collapsed="false">
      <c r="B7" s="9" t="s">
        <v>36</v>
      </c>
      <c r="C7" s="90" t="n">
        <v>0.238721841666062</v>
      </c>
      <c r="D7" s="91" t="n">
        <v>0.380928238945286</v>
      </c>
      <c r="E7" s="92" t="n">
        <v>0.178098847697757</v>
      </c>
      <c r="F7" s="62" t="n">
        <v>0.138658759773195</v>
      </c>
      <c r="G7" s="93" t="n">
        <v>0.0635923119176997</v>
      </c>
      <c r="H7" s="94" t="n">
        <v>0</v>
      </c>
      <c r="I7" s="53" t="n">
        <v>0.027</v>
      </c>
    </row>
    <row r="8" customFormat="false" ht="15" hidden="false" customHeight="false" outlineLevel="0" collapsed="false">
      <c r="B8" s="21" t="s">
        <v>39</v>
      </c>
      <c r="C8" s="90" t="n">
        <v>0.19664962571499</v>
      </c>
      <c r="D8" s="91" t="n">
        <v>0.410385316280022</v>
      </c>
      <c r="E8" s="92" t="n">
        <v>0.188311347088848</v>
      </c>
      <c r="F8" s="62" t="n">
        <v>0.135613231203846</v>
      </c>
      <c r="G8" s="93" t="n">
        <v>0.0690404797122945</v>
      </c>
      <c r="H8" s="94" t="n">
        <v>0</v>
      </c>
      <c r="I8" s="64" t="n">
        <v>0.028</v>
      </c>
    </row>
    <row r="9" customFormat="false" ht="15" hidden="false" customHeight="false" outlineLevel="0" collapsed="false">
      <c r="B9" s="9" t="s">
        <v>42</v>
      </c>
      <c r="C9" s="90" t="n">
        <v>0.354592138921458</v>
      </c>
      <c r="D9" s="91" t="n">
        <v>0.197021277706796</v>
      </c>
      <c r="E9" s="92" t="n">
        <v>0.0932033550522604</v>
      </c>
      <c r="F9" s="62" t="n">
        <v>0.282559818938121</v>
      </c>
      <c r="G9" s="93" t="n">
        <v>0.0726234093813647</v>
      </c>
      <c r="H9" s="94" t="n">
        <v>0</v>
      </c>
      <c r="I9" s="53" t="n">
        <v>0.03</v>
      </c>
    </row>
    <row r="10" customFormat="false" ht="15" hidden="false" customHeight="false" outlineLevel="0" collapsed="false">
      <c r="B10" s="21" t="s">
        <v>45</v>
      </c>
      <c r="C10" s="90" t="n">
        <v>0.295573329415532</v>
      </c>
      <c r="D10" s="91" t="n">
        <v>0.243772968863193</v>
      </c>
      <c r="E10" s="92" t="n">
        <v>0.12476824900056</v>
      </c>
      <c r="F10" s="62" t="n">
        <v>0.259896325149562</v>
      </c>
      <c r="G10" s="93" t="n">
        <v>0.0759891275711542</v>
      </c>
      <c r="H10" s="94" t="n">
        <v>0</v>
      </c>
      <c r="I10" s="64" t="n">
        <v>0.032</v>
      </c>
    </row>
    <row r="11" customFormat="false" ht="15" hidden="false" customHeight="false" outlineLevel="0" collapsed="false">
      <c r="B11" s="9" t="s">
        <v>46</v>
      </c>
      <c r="C11" s="90" t="n">
        <v>0.251914452341113</v>
      </c>
      <c r="D11" s="91" t="n">
        <v>0.299793465389592</v>
      </c>
      <c r="E11" s="92" t="n">
        <v>0.155945266116601</v>
      </c>
      <c r="F11" s="62" t="n">
        <v>0.216494933930095</v>
      </c>
      <c r="G11" s="93" t="n">
        <v>0.0758518822226002</v>
      </c>
      <c r="H11" s="94" t="n">
        <v>0</v>
      </c>
      <c r="I11" s="53" t="n">
        <v>0.035</v>
      </c>
    </row>
    <row r="12" customFormat="false" ht="15" hidden="false" customHeight="false" outlineLevel="0" collapsed="false">
      <c r="B12" s="21" t="s">
        <v>48</v>
      </c>
      <c r="C12" s="90" t="n">
        <v>0.25285526594941</v>
      </c>
      <c r="D12" s="91" t="n">
        <v>0.336337947703928</v>
      </c>
      <c r="E12" s="92" t="n">
        <v>0.132714245060716</v>
      </c>
      <c r="F12" s="62" t="n">
        <v>0.203373106906855</v>
      </c>
      <c r="G12" s="93" t="n">
        <v>0.0747194343790912</v>
      </c>
      <c r="H12" s="94" t="n">
        <v>0</v>
      </c>
      <c r="I12" s="64" t="n">
        <v>0.032</v>
      </c>
    </row>
    <row r="13" customFormat="false" ht="15" hidden="false" customHeight="false" outlineLevel="0" collapsed="false">
      <c r="B13" s="9" t="s">
        <v>50</v>
      </c>
      <c r="C13" s="90" t="n">
        <v>0.277172703528054</v>
      </c>
      <c r="D13" s="91" t="n">
        <v>0.235595885050773</v>
      </c>
      <c r="E13" s="92" t="n">
        <v>0.105349990545946</v>
      </c>
      <c r="F13" s="62" t="n">
        <v>0.296913834862268</v>
      </c>
      <c r="G13" s="93" t="n">
        <v>0.0849675860129594</v>
      </c>
      <c r="H13" s="94" t="n">
        <v>0</v>
      </c>
      <c r="I13" s="53" t="n">
        <v>0.029</v>
      </c>
    </row>
    <row r="14" customFormat="false" ht="15" hidden="false" customHeight="false" outlineLevel="0" collapsed="false">
      <c r="B14" s="21" t="s">
        <v>52</v>
      </c>
      <c r="C14" s="90" t="n">
        <v>0.231438984963838</v>
      </c>
      <c r="D14" s="91" t="n">
        <v>0.398265438586076</v>
      </c>
      <c r="E14" s="92" t="n">
        <v>0.166441510643957</v>
      </c>
      <c r="F14" s="62" t="n">
        <v>0.144359975924537</v>
      </c>
      <c r="G14" s="93" t="n">
        <v>0.0594940898815928</v>
      </c>
      <c r="H14" s="94" t="n">
        <v>0</v>
      </c>
      <c r="I14" s="64" t="n">
        <v>0.03</v>
      </c>
    </row>
    <row r="15" customFormat="false" ht="15" hidden="false" customHeight="false" outlineLevel="0" collapsed="false">
      <c r="B15" s="9" t="s">
        <v>53</v>
      </c>
      <c r="C15" s="90" t="n">
        <v>0.308446147321489</v>
      </c>
      <c r="D15" s="91" t="n">
        <v>0.354980075355748</v>
      </c>
      <c r="E15" s="92" t="n">
        <v>0.148293366432061</v>
      </c>
      <c r="F15" s="62" t="n">
        <v>0.126756560873865</v>
      </c>
      <c r="G15" s="93" t="n">
        <v>0.0615238500168381</v>
      </c>
      <c r="H15" s="94" t="n">
        <v>0</v>
      </c>
      <c r="I15" s="53" t="n">
        <v>0.034</v>
      </c>
    </row>
    <row r="16" customFormat="false" ht="15" hidden="false" customHeight="false" outlineLevel="0" collapsed="false">
      <c r="B16" s="21" t="s">
        <v>54</v>
      </c>
      <c r="C16" s="90" t="n">
        <v>0.248735416511717</v>
      </c>
      <c r="D16" s="91" t="n">
        <v>0.394119829089836</v>
      </c>
      <c r="E16" s="92" t="n">
        <v>0.183684889594925</v>
      </c>
      <c r="F16" s="62" t="n">
        <v>0.119950830711431</v>
      </c>
      <c r="G16" s="93" t="n">
        <v>0.0535090340920902</v>
      </c>
      <c r="H16" s="94" t="n">
        <v>0</v>
      </c>
      <c r="I16" s="64" t="n">
        <v>0.035</v>
      </c>
    </row>
    <row r="17" customFormat="false" ht="15" hidden="false" customHeight="false" outlineLevel="0" collapsed="false">
      <c r="B17" s="9" t="s">
        <v>55</v>
      </c>
      <c r="C17" s="90" t="n">
        <v>0.307835044565545</v>
      </c>
      <c r="D17" s="91" t="n">
        <v>0.347215713048653</v>
      </c>
      <c r="E17" s="92" t="n">
        <v>0.145562515896291</v>
      </c>
      <c r="F17" s="62" t="n">
        <v>0.136904836641397</v>
      </c>
      <c r="G17" s="93" t="n">
        <v>0.0624818898481149</v>
      </c>
      <c r="H17" s="94" t="n">
        <v>0</v>
      </c>
      <c r="I17" s="53" t="n">
        <v>0.032</v>
      </c>
    </row>
    <row r="18" customFormat="false" ht="15" hidden="false" customHeight="false" outlineLevel="0" collapsed="false">
      <c r="B18" s="21" t="s">
        <v>56</v>
      </c>
      <c r="C18" s="90" t="n">
        <v>0.228250886538112</v>
      </c>
      <c r="D18" s="91" t="n">
        <v>0.348829732366986</v>
      </c>
      <c r="E18" s="92" t="n">
        <v>0.159917574844852</v>
      </c>
      <c r="F18" s="62" t="n">
        <v>0.191642820773096</v>
      </c>
      <c r="G18" s="93" t="n">
        <v>0.0713589854769546</v>
      </c>
      <c r="H18" s="94" t="n">
        <v>0</v>
      </c>
      <c r="I18" s="64" t="n">
        <v>0.036</v>
      </c>
    </row>
    <row r="19" customFormat="false" ht="15" hidden="false" customHeight="false" outlineLevel="0" collapsed="false">
      <c r="B19" s="9" t="s">
        <v>57</v>
      </c>
      <c r="C19" s="90" t="n">
        <v>0.226650472604757</v>
      </c>
      <c r="D19" s="91" t="n">
        <v>0.419300670049187</v>
      </c>
      <c r="E19" s="92" t="n">
        <v>0.162734281752728</v>
      </c>
      <c r="F19" s="62" t="n">
        <v>0.128326565344962</v>
      </c>
      <c r="G19" s="93" t="n">
        <v>0.0629880102483666</v>
      </c>
      <c r="H19" s="94" t="n">
        <v>0</v>
      </c>
      <c r="I19" s="53" t="n">
        <v>0.039</v>
      </c>
    </row>
    <row r="20" customFormat="false" ht="15" hidden="false" customHeight="false" outlineLevel="0" collapsed="false">
      <c r="B20" s="21" t="s">
        <v>58</v>
      </c>
      <c r="C20" s="90" t="n">
        <v>0.281829114259297</v>
      </c>
      <c r="D20" s="91" t="n">
        <v>0.306598554729474</v>
      </c>
      <c r="E20" s="92" t="n">
        <v>0.100846935690492</v>
      </c>
      <c r="F20" s="62" t="n">
        <v>0.242853548142119</v>
      </c>
      <c r="G20" s="93" t="n">
        <v>0.067871847178618</v>
      </c>
      <c r="H20" s="94" t="n">
        <v>0</v>
      </c>
      <c r="I20" s="64" t="n">
        <v>0.029</v>
      </c>
    </row>
    <row r="21" customFormat="false" ht="15" hidden="false" customHeight="false" outlineLevel="0" collapsed="false">
      <c r="B21" s="9" t="s">
        <v>59</v>
      </c>
      <c r="C21" s="90" t="n">
        <v>0.241941815349889</v>
      </c>
      <c r="D21" s="91" t="n">
        <v>0.347642381884803</v>
      </c>
      <c r="E21" s="92" t="n">
        <v>0.169755511479081</v>
      </c>
      <c r="F21" s="62" t="n">
        <v>0.172887946494948</v>
      </c>
      <c r="G21" s="93" t="n">
        <v>0.0677723447912795</v>
      </c>
      <c r="H21" s="94" t="n">
        <v>0</v>
      </c>
      <c r="I21" s="53" t="n">
        <v>0.028</v>
      </c>
    </row>
    <row r="22" customFormat="false" ht="15" hidden="false" customHeight="false" outlineLevel="0" collapsed="false">
      <c r="B22" s="21" t="s">
        <v>60</v>
      </c>
      <c r="C22" s="90" t="n">
        <v>0.319064289323001</v>
      </c>
      <c r="D22" s="91" t="n">
        <v>0.192796995784947</v>
      </c>
      <c r="E22" s="92" t="n">
        <v>0.107056901418388</v>
      </c>
      <c r="F22" s="62" t="n">
        <v>0.300428446676234</v>
      </c>
      <c r="G22" s="93" t="n">
        <v>0.0806533667974296</v>
      </c>
      <c r="H22" s="94" t="n">
        <v>0</v>
      </c>
      <c r="I22" s="64" t="n">
        <v>0.031</v>
      </c>
    </row>
    <row r="23" customFormat="false" ht="15" hidden="false" customHeight="false" outlineLevel="0" collapsed="false">
      <c r="B23" s="9" t="s">
        <v>62</v>
      </c>
      <c r="C23" s="90" t="n">
        <v>0.201699045349932</v>
      </c>
      <c r="D23" s="91" t="n">
        <v>0.360823242259454</v>
      </c>
      <c r="E23" s="92" t="n">
        <v>0.13251752799281</v>
      </c>
      <c r="F23" s="62" t="n">
        <v>0.212635610083875</v>
      </c>
      <c r="G23" s="93" t="n">
        <v>0.0923245743139293</v>
      </c>
      <c r="H23" s="94" t="n">
        <v>0</v>
      </c>
      <c r="I23" s="53" t="n">
        <v>0.035</v>
      </c>
    </row>
    <row r="24" customFormat="false" ht="15" hidden="false" customHeight="false" outlineLevel="0" collapsed="false">
      <c r="B24" s="21" t="s">
        <v>64</v>
      </c>
      <c r="C24" s="90" t="n">
        <v>0.236313036451467</v>
      </c>
      <c r="D24" s="91" t="n">
        <v>0.400593134200659</v>
      </c>
      <c r="E24" s="92" t="n">
        <v>0.177700591224149</v>
      </c>
      <c r="F24" s="62" t="n">
        <v>0.130582243092721</v>
      </c>
      <c r="G24" s="93" t="n">
        <v>0.0548109950310049</v>
      </c>
      <c r="H24" s="94" t="n">
        <v>0</v>
      </c>
      <c r="I24" s="64" t="n">
        <v>0.034</v>
      </c>
    </row>
    <row r="25" customFormat="false" ht="15" hidden="false" customHeight="false" outlineLevel="0" collapsed="false">
      <c r="B25" s="9" t="s">
        <v>65</v>
      </c>
      <c r="C25" s="90" t="n">
        <v>0.255729787155054</v>
      </c>
      <c r="D25" s="91" t="n">
        <v>0.322505525144952</v>
      </c>
      <c r="E25" s="92" t="n">
        <v>0.140891554403668</v>
      </c>
      <c r="F25" s="62" t="n">
        <v>0.20435131902967</v>
      </c>
      <c r="G25" s="93" t="n">
        <v>0.0765218142666555</v>
      </c>
      <c r="H25" s="94" t="n">
        <v>0</v>
      </c>
      <c r="I25" s="53" t="n">
        <v>0.038</v>
      </c>
    </row>
    <row r="26" customFormat="false" ht="15" hidden="false" customHeight="false" outlineLevel="0" collapsed="false">
      <c r="B26" s="21" t="s">
        <v>67</v>
      </c>
      <c r="C26" s="90" t="n">
        <v>0.312423582902275</v>
      </c>
      <c r="D26" s="91" t="n">
        <v>0.291639522239302</v>
      </c>
      <c r="E26" s="92" t="n">
        <v>0.0974493053055718</v>
      </c>
      <c r="F26" s="62" t="n">
        <v>0.222691464607872</v>
      </c>
      <c r="G26" s="93" t="n">
        <v>0.0757961249449793</v>
      </c>
      <c r="H26" s="94" t="n">
        <v>0</v>
      </c>
      <c r="I26" s="64" t="n">
        <v>0.037</v>
      </c>
    </row>
    <row r="27" customFormat="false" ht="15" hidden="false" customHeight="false" outlineLevel="0" collapsed="false">
      <c r="B27" s="9" t="s">
        <v>68</v>
      </c>
      <c r="C27" s="90" t="n">
        <v>0.308775334391831</v>
      </c>
      <c r="D27" s="91" t="n">
        <v>0.292390118805651</v>
      </c>
      <c r="E27" s="92" t="n">
        <v>0.0979031006087148</v>
      </c>
      <c r="F27" s="62" t="n">
        <v>0.23415991966659</v>
      </c>
      <c r="G27" s="93" t="n">
        <v>0.0667715265272129</v>
      </c>
      <c r="H27" s="94" t="n">
        <v>0</v>
      </c>
      <c r="I27" s="53" t="n">
        <v>0.035</v>
      </c>
    </row>
    <row r="28" customFormat="false" ht="15" hidden="false" customHeight="false" outlineLevel="0" collapsed="false">
      <c r="B28" s="21" t="s">
        <v>69</v>
      </c>
      <c r="C28" s="90" t="n">
        <v>0.328211761353734</v>
      </c>
      <c r="D28" s="91" t="n">
        <v>0.325370354283574</v>
      </c>
      <c r="E28" s="92" t="n">
        <v>0.148883466186282</v>
      </c>
      <c r="F28" s="62" t="n">
        <v>0.141980770356471</v>
      </c>
      <c r="G28" s="93" t="n">
        <v>0.0555536478199403</v>
      </c>
      <c r="H28" s="94" t="n">
        <v>0</v>
      </c>
      <c r="I28" s="64" t="n">
        <v>0.039</v>
      </c>
    </row>
    <row r="29" customFormat="false" ht="15" hidden="false" customHeight="false" outlineLevel="0" collapsed="false">
      <c r="B29" s="9" t="s">
        <v>70</v>
      </c>
      <c r="C29" s="90" t="n">
        <v>0.249645722461788</v>
      </c>
      <c r="D29" s="91" t="n">
        <v>0.322451681789271</v>
      </c>
      <c r="E29" s="92" t="n">
        <v>0.139522774206054</v>
      </c>
      <c r="F29" s="62" t="n">
        <v>0.220271077282901</v>
      </c>
      <c r="G29" s="93" t="n">
        <v>0.0681087442599865</v>
      </c>
      <c r="H29" s="94" t="n">
        <v>0</v>
      </c>
      <c r="I29" s="53" t="n">
        <v>0.034</v>
      </c>
    </row>
    <row r="30" customFormat="false" ht="15" hidden="false" customHeight="false" outlineLevel="0" collapsed="false">
      <c r="B30" s="21" t="s">
        <v>71</v>
      </c>
      <c r="C30" s="90" t="n">
        <v>0.258941391574081</v>
      </c>
      <c r="D30" s="91" t="n">
        <v>0.386798404878215</v>
      </c>
      <c r="E30" s="92" t="n">
        <v>0.15927637423688</v>
      </c>
      <c r="F30" s="62" t="n">
        <v>0.128298721557072</v>
      </c>
      <c r="G30" s="93" t="n">
        <v>0.0666851077537523</v>
      </c>
      <c r="H30" s="94" t="n">
        <v>0</v>
      </c>
      <c r="I30" s="64" t="n">
        <v>0.037</v>
      </c>
    </row>
    <row r="31" customFormat="false" ht="15" hidden="false" customHeight="false" outlineLevel="0" collapsed="false">
      <c r="B31" s="9" t="s">
        <v>72</v>
      </c>
      <c r="C31" s="90" t="n">
        <v>0.294087285350026</v>
      </c>
      <c r="D31" s="91" t="n">
        <v>0.254301121567508</v>
      </c>
      <c r="E31" s="92" t="n">
        <v>0.12021488964589</v>
      </c>
      <c r="F31" s="62" t="n">
        <v>0.26110309095403</v>
      </c>
      <c r="G31" s="93" t="n">
        <v>0.0702936124825465</v>
      </c>
      <c r="H31" s="94" t="n">
        <v>0</v>
      </c>
      <c r="I31" s="53" t="n">
        <v>0.027</v>
      </c>
    </row>
    <row r="32" customFormat="false" ht="15" hidden="false" customHeight="false" outlineLevel="0" collapsed="false">
      <c r="B32" s="21" t="s">
        <v>73</v>
      </c>
      <c r="C32" s="90" t="n">
        <v>0.183991049969898</v>
      </c>
      <c r="D32" s="91" t="n">
        <v>0.391615303334024</v>
      </c>
      <c r="E32" s="92" t="n">
        <v>0.242103311776701</v>
      </c>
      <c r="F32" s="62" t="n">
        <v>0.103721677229127</v>
      </c>
      <c r="G32" s="93" t="n">
        <v>0.0785686576902501</v>
      </c>
      <c r="H32" s="94" t="n">
        <v>0</v>
      </c>
      <c r="I32" s="64" t="n">
        <v>0.034</v>
      </c>
    </row>
    <row r="33" customFormat="false" ht="15" hidden="false" customHeight="false" outlineLevel="0" collapsed="false">
      <c r="B33" s="9" t="s">
        <v>74</v>
      </c>
      <c r="C33" s="90" t="n">
        <v>0.17887356461433</v>
      </c>
      <c r="D33" s="91" t="n">
        <v>0.407806945203763</v>
      </c>
      <c r="E33" s="92" t="n">
        <v>0.23411276480802</v>
      </c>
      <c r="F33" s="62" t="n">
        <v>0.113034710553935</v>
      </c>
      <c r="G33" s="93" t="n">
        <v>0.0661720148199523</v>
      </c>
      <c r="H33" s="94" t="n">
        <v>0</v>
      </c>
      <c r="I33" s="53" t="n">
        <v>0.037</v>
      </c>
    </row>
    <row r="34" customFormat="false" ht="15" hidden="false" customHeight="false" outlineLevel="0" collapsed="false">
      <c r="B34" s="21" t="s">
        <v>76</v>
      </c>
      <c r="C34" s="90" t="n">
        <v>0.315361015764831</v>
      </c>
      <c r="D34" s="91" t="n">
        <v>0.292797778569549</v>
      </c>
      <c r="E34" s="92" t="n">
        <v>0.134067223906616</v>
      </c>
      <c r="F34" s="62" t="n">
        <v>0.19402534198999</v>
      </c>
      <c r="G34" s="93" t="n">
        <v>0.0637486397690137</v>
      </c>
      <c r="H34" s="94" t="n">
        <v>0</v>
      </c>
      <c r="I34" s="64" t="n">
        <v>0.039</v>
      </c>
    </row>
    <row r="35" customFormat="false" ht="15" hidden="false" customHeight="false" outlineLevel="0" collapsed="false">
      <c r="B35" s="9" t="s">
        <v>78</v>
      </c>
      <c r="C35" s="90" t="n">
        <v>0.186315278465969</v>
      </c>
      <c r="D35" s="91" t="n">
        <v>0.39830161105387</v>
      </c>
      <c r="E35" s="92" t="n">
        <v>0.216551537815974</v>
      </c>
      <c r="F35" s="62" t="n">
        <v>0.107590872307407</v>
      </c>
      <c r="G35" s="93" t="n">
        <v>0.0912407003567797</v>
      </c>
      <c r="H35" s="94" t="n">
        <v>0</v>
      </c>
      <c r="I35" s="53" t="n">
        <v>0.037</v>
      </c>
    </row>
    <row r="36" customFormat="false" ht="15" hidden="false" customHeight="false" outlineLevel="0" collapsed="false">
      <c r="B36" s="21" t="s">
        <v>80</v>
      </c>
      <c r="C36" s="90" t="n">
        <v>0.307476571865154</v>
      </c>
      <c r="D36" s="91" t="n">
        <v>0.252661183651335</v>
      </c>
      <c r="E36" s="92" t="n">
        <v>0.143392996065578</v>
      </c>
      <c r="F36" s="62" t="n">
        <v>0.221307103626212</v>
      </c>
      <c r="G36" s="93" t="n">
        <v>0.0751621447917218</v>
      </c>
      <c r="H36" s="94" t="n">
        <v>0</v>
      </c>
      <c r="I36" s="64" t="n">
        <v>0.036</v>
      </c>
    </row>
    <row r="37" customFormat="false" ht="15" hidden="false" customHeight="false" outlineLevel="0" collapsed="false">
      <c r="B37" s="9" t="s">
        <v>82</v>
      </c>
      <c r="C37" s="90" t="n">
        <v>0.228470274658537</v>
      </c>
      <c r="D37" s="91" t="n">
        <v>0.379908157853608</v>
      </c>
      <c r="E37" s="92" t="n">
        <v>0.153288130826958</v>
      </c>
      <c r="F37" s="62" t="n">
        <v>0.170168578090381</v>
      </c>
      <c r="G37" s="93" t="n">
        <v>0.0681648585705164</v>
      </c>
      <c r="H37" s="94" t="n">
        <v>0</v>
      </c>
      <c r="I37" s="53" t="n">
        <v>0.028</v>
      </c>
    </row>
    <row r="38" customFormat="false" ht="15" hidden="false" customHeight="false" outlineLevel="0" collapsed="false">
      <c r="B38" s="21" t="s">
        <v>83</v>
      </c>
      <c r="C38" s="90" t="n">
        <v>0.281323284405518</v>
      </c>
      <c r="D38" s="91" t="n">
        <v>0.380890659858465</v>
      </c>
      <c r="E38" s="92" t="n">
        <v>0.159429556597443</v>
      </c>
      <c r="F38" s="62" t="n">
        <v>0.117724502390091</v>
      </c>
      <c r="G38" s="93" t="n">
        <v>0.0606319967484832</v>
      </c>
      <c r="H38" s="94" t="n">
        <v>0</v>
      </c>
      <c r="I38" s="64" t="n">
        <v>0.028</v>
      </c>
    </row>
    <row r="39" customFormat="false" ht="15" hidden="false" customHeight="false" outlineLevel="0" collapsed="false">
      <c r="B39" s="9" t="s">
        <v>85</v>
      </c>
      <c r="C39" s="90" t="n">
        <v>0.397346617778967</v>
      </c>
      <c r="D39" s="91" t="n">
        <v>0.214267924739891</v>
      </c>
      <c r="E39" s="92" t="n">
        <v>0.214860439685029</v>
      </c>
      <c r="F39" s="62" t="n">
        <v>0.0963290828076649</v>
      </c>
      <c r="G39" s="93" t="n">
        <v>0.0771959349884486</v>
      </c>
      <c r="H39" s="94" t="n">
        <v>0</v>
      </c>
      <c r="I39" s="53" t="n">
        <v>0.035</v>
      </c>
    </row>
    <row r="40" customFormat="false" ht="15" hidden="false" customHeight="false" outlineLevel="0" collapsed="false">
      <c r="B40" s="21" t="s">
        <v>87</v>
      </c>
      <c r="C40" s="90" t="n">
        <v>0.0962864455405258</v>
      </c>
      <c r="D40" s="91" t="n">
        <v>0.21993789289139</v>
      </c>
      <c r="E40" s="92" t="n">
        <v>0.0678373575311472</v>
      </c>
      <c r="F40" s="62" t="n">
        <v>0.108215946904289</v>
      </c>
      <c r="G40" s="93" t="n">
        <v>0.0524746600066554</v>
      </c>
      <c r="H40" s="94" t="n">
        <v>0.455247697125993</v>
      </c>
      <c r="I40" s="64" t="n">
        <v>0.039</v>
      </c>
    </row>
  </sheetData>
  <mergeCells count="2">
    <mergeCell ref="B1:I1"/>
    <mergeCell ref="B2:I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J2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40"/>
    <col collapsed="false" customWidth="true" hidden="false" outlineLevel="0" max="3" min="3" style="0" width="13"/>
    <col collapsed="false" customWidth="true" hidden="false" outlineLevel="0" max="5" min="4" style="0" width="12"/>
    <col collapsed="false" customWidth="true" hidden="true" outlineLevel="0" max="10" min="10" style="0" width="13"/>
  </cols>
  <sheetData>
    <row r="1" customFormat="false" ht="25.5" hidden="false" customHeight="true" outlineLevel="0" collapsed="false">
      <c r="B1" s="60" t="s">
        <v>133</v>
      </c>
      <c r="C1" s="60"/>
      <c r="D1" s="60"/>
      <c r="E1" s="60"/>
      <c r="J1" s="32" t="s">
        <v>134</v>
      </c>
    </row>
    <row r="2" customFormat="false" ht="27.75" hidden="false" customHeight="true" outlineLevel="0" collapsed="false">
      <c r="B2" s="61" t="s">
        <v>135</v>
      </c>
      <c r="C2" s="61"/>
      <c r="D2" s="61"/>
      <c r="E2" s="61"/>
      <c r="J2" s="0" t="str">
        <f aca="false">Simulator!C5</f>
        <v>Conservatives</v>
      </c>
    </row>
    <row r="3" customFormat="false" ht="15" hidden="false" customHeight="false" outlineLevel="0" collapsed="false">
      <c r="J3" s="0" t="str">
        <f aca="false">Simulator!C6</f>
        <v>Social-Democrats</v>
      </c>
    </row>
    <row r="4" customFormat="false" ht="15" hidden="false" customHeight="false" outlineLevel="0" collapsed="false">
      <c r="B4" s="6" t="s">
        <v>136</v>
      </c>
      <c r="C4" s="95" t="s">
        <v>32</v>
      </c>
      <c r="J4" s="0" t="str">
        <f aca="false">Simulator!C7</f>
        <v>Liberals</v>
      </c>
    </row>
    <row r="5" customFormat="false" ht="15" hidden="false" customHeight="false" outlineLevel="0" collapsed="false">
      <c r="B5" s="6" t="s">
        <v>137</v>
      </c>
      <c r="C5" s="96" t="n">
        <f aca="false">E18</f>
        <v>2.4</v>
      </c>
      <c r="J5" s="0" t="str">
        <f aca="false">Simulator!C8</f>
        <v>Nationalist</v>
      </c>
    </row>
    <row r="6" customFormat="false" ht="15" hidden="false" customHeight="false" outlineLevel="0" collapsed="false">
      <c r="B6" s="72" t="s">
        <v>138</v>
      </c>
      <c r="C6" s="97" t="n">
        <f aca="false">E18/100</f>
        <v>0.024</v>
      </c>
      <c r="J6" s="0" t="str">
        <f aca="false">Simulator!C9</f>
        <v>Independent</v>
      </c>
    </row>
    <row r="7" customFormat="false" ht="27.75" hidden="false" customHeight="true" outlineLevel="0" collapsed="false">
      <c r="B7" s="5"/>
      <c r="C7" s="5"/>
      <c r="D7" s="5"/>
      <c r="E7" s="5"/>
      <c r="J7" s="0" t="str">
        <f aca="false">Simulator!C10</f>
        <v>BP First</v>
      </c>
    </row>
    <row r="8" customFormat="false" ht="15" hidden="false" customHeight="false" outlineLevel="0" collapsed="false">
      <c r="B8" s="9" t="s">
        <v>139</v>
      </c>
      <c r="C8" s="98" t="s">
        <v>140</v>
      </c>
      <c r="D8" s="99" t="n">
        <v>0.8</v>
      </c>
      <c r="E8" s="100" t="n">
        <f aca="false">IF(C8="Yes",D8,-D8)</f>
        <v>0.8</v>
      </c>
    </row>
    <row r="9" customFormat="false" ht="15" hidden="false" customHeight="false" outlineLevel="0" collapsed="false">
      <c r="B9" s="9" t="s">
        <v>141</v>
      </c>
      <c r="C9" s="98" t="s">
        <v>140</v>
      </c>
      <c r="D9" s="99" t="n">
        <v>2</v>
      </c>
      <c r="E9" s="100" t="n">
        <f aca="false">IF(C9="Yes",D9,-D9)</f>
        <v>2</v>
      </c>
    </row>
    <row r="10" customFormat="false" ht="15" hidden="false" customHeight="false" outlineLevel="0" collapsed="false">
      <c r="B10" s="9" t="s">
        <v>142</v>
      </c>
      <c r="C10" s="98" t="s">
        <v>140</v>
      </c>
      <c r="D10" s="99" t="n">
        <v>1.2</v>
      </c>
      <c r="E10" s="100" t="n">
        <f aca="false">IF(C10="Yes",D10,-D10)</f>
        <v>1.2</v>
      </c>
    </row>
    <row r="11" customFormat="false" ht="15" hidden="false" customHeight="false" outlineLevel="0" collapsed="false">
      <c r="B11" s="9" t="s">
        <v>143</v>
      </c>
      <c r="C11" s="98" t="s">
        <v>144</v>
      </c>
      <c r="D11" s="99" t="n">
        <v>1.2</v>
      </c>
      <c r="E11" s="100" t="n">
        <f aca="false">IF(C11="Yes",D11,-D11)</f>
        <v>-1.2</v>
      </c>
    </row>
    <row r="12" customFormat="false" ht="15" hidden="false" customHeight="false" outlineLevel="0" collapsed="false">
      <c r="B12" s="9" t="s">
        <v>145</v>
      </c>
      <c r="C12" s="98" t="s">
        <v>144</v>
      </c>
      <c r="D12" s="99" t="n">
        <v>1.8</v>
      </c>
      <c r="E12" s="100" t="n">
        <f aca="false">IF(C12="Yes",D12,-D12)</f>
        <v>-1.8</v>
      </c>
    </row>
    <row r="13" customFormat="false" ht="15" hidden="false" customHeight="false" outlineLevel="0" collapsed="false">
      <c r="B13" s="9" t="s">
        <v>146</v>
      </c>
      <c r="C13" s="98" t="s">
        <v>144</v>
      </c>
      <c r="D13" s="99" t="n">
        <v>0.8</v>
      </c>
      <c r="E13" s="100" t="n">
        <f aca="false">IF(C13="Yes",D13,-D13)</f>
        <v>-0.8</v>
      </c>
    </row>
    <row r="14" customFormat="false" ht="15" hidden="false" customHeight="false" outlineLevel="0" collapsed="false">
      <c r="B14" s="9" t="s">
        <v>147</v>
      </c>
      <c r="C14" s="98" t="s">
        <v>140</v>
      </c>
      <c r="D14" s="99" t="n">
        <v>1.2</v>
      </c>
      <c r="E14" s="100" t="n">
        <f aca="false">IF(C14="Yes",D14,-D14)</f>
        <v>1.2</v>
      </c>
    </row>
    <row r="15" customFormat="false" ht="15" hidden="false" customHeight="false" outlineLevel="0" collapsed="false">
      <c r="B15" s="9" t="s">
        <v>148</v>
      </c>
      <c r="C15" s="98" t="s">
        <v>140</v>
      </c>
      <c r="D15" s="99" t="n">
        <v>1</v>
      </c>
      <c r="E15" s="100" t="n">
        <f aca="false">IF(C15="Yes",D15,-D15)</f>
        <v>1</v>
      </c>
    </row>
    <row r="18" customFormat="false" ht="15" hidden="false" customHeight="false" outlineLevel="0" collapsed="false">
      <c r="B18" s="55" t="s">
        <v>149</v>
      </c>
      <c r="C18" s="57"/>
      <c r="D18" s="57"/>
      <c r="E18" s="101" t="n">
        <f aca="false">SUM(E8:E15)</f>
        <v>2.4</v>
      </c>
    </row>
    <row r="19" customFormat="false" ht="15" hidden="false" customHeight="false" outlineLevel="0" collapsed="false">
      <c r="B19" s="72" t="s">
        <v>150</v>
      </c>
      <c r="C19" s="102" t="n">
        <f aca="false">E18/100</f>
        <v>0.024</v>
      </c>
    </row>
    <row r="20" customFormat="false" ht="15" hidden="false" customHeight="false" outlineLevel="0" collapsed="false">
      <c r="B20" s="72" t="s">
        <v>151</v>
      </c>
      <c r="C20" s="103" t="n">
        <f aca="false">IF(Simulator!C5=$C$4,1,0)</f>
        <v>0</v>
      </c>
      <c r="D20" s="103" t="n">
        <f aca="false">IF(Simulator!C6=$C$4,1,0)</f>
        <v>1</v>
      </c>
      <c r="E20" s="103" t="n">
        <f aca="false">IF(Simulator!C7=$C$4,1,0)</f>
        <v>0</v>
      </c>
      <c r="F20" s="103" t="n">
        <f aca="false">IF(Simulator!C8=$C$4,1,0)</f>
        <v>0</v>
      </c>
      <c r="G20" s="103" t="n">
        <f aca="false">IF(Simulator!C9=$C$4,1,0)</f>
        <v>0</v>
      </c>
      <c r="H20" s="103" t="n">
        <f aca="false">IF(Simulator!C10=$C$4,1,0)</f>
        <v>0</v>
      </c>
    </row>
    <row r="21" customFormat="false" ht="15" hidden="false" customHeight="false" outlineLevel="0" collapsed="false">
      <c r="C21" s="104" t="s">
        <v>124</v>
      </c>
      <c r="D21" s="104" t="s">
        <v>125</v>
      </c>
      <c r="E21" s="104" t="s">
        <v>126</v>
      </c>
      <c r="F21" s="104" t="s">
        <v>127</v>
      </c>
      <c r="G21" s="104" t="s">
        <v>128</v>
      </c>
      <c r="H21" s="104" t="s">
        <v>129</v>
      </c>
    </row>
    <row r="23" customFormat="false" ht="15" hidden="false" customHeight="false" outlineLevel="0" collapsed="false">
      <c r="B23" s="3" t="s">
        <v>152</v>
      </c>
      <c r="C23" s="3"/>
      <c r="D23" s="3"/>
      <c r="E23" s="3"/>
    </row>
    <row r="24" customFormat="false" ht="15" hidden="false" customHeight="false" outlineLevel="0" collapsed="false">
      <c r="B24" s="6" t="s">
        <v>153</v>
      </c>
      <c r="C24" s="33" t="n">
        <f aca="false">IF($C$4="None","-",INDEX(Simulator!$C$16:$C$21,MATCH($C$4,Simulator!$C$5:$C$10,0)))</f>
        <v>320</v>
      </c>
    </row>
    <row r="25" customFormat="false" ht="15" hidden="false" customHeight="false" outlineLevel="0" collapsed="false">
      <c r="B25" s="6" t="s">
        <v>90</v>
      </c>
      <c r="C25" s="45" t="str">
        <f aca="false">IF($C$4="None","No incumbent set",IF(Simulator!$C$24=$C$4,"Held majority",IF(Simulator!$C$23=$C$4,"Largest party - no majority","Lost power")))</f>
        <v>Held majority</v>
      </c>
    </row>
    <row r="26" customFormat="false" ht="15" hidden="false" customHeight="false" outlineLevel="0" collapsed="false">
      <c r="B26" s="32" t="s">
        <v>154</v>
      </c>
      <c r="C26" s="53" t="n">
        <f aca="false">IF($C$4="None","-",INDEX(Simulator!$C$27:$C$32,MATCH($C$4,Simulator!$C$5:$C$10,0))/SUM(Simulator!$C$27:$C$32))</f>
        <v>0.350941361218699</v>
      </c>
    </row>
  </sheetData>
  <mergeCells count="3">
    <mergeCell ref="B1:E1"/>
    <mergeCell ref="B2:E2"/>
    <mergeCell ref="B23:E23"/>
  </mergeCells>
  <conditionalFormatting sqref="C25">
    <cfRule type="expression" priority="2" aboveAverage="0" equalAverage="0" bottom="0" percent="0" rank="0" text="" dxfId="0">
      <formula>$C$25="Held majority"</formula>
    </cfRule>
    <cfRule type="expression" priority="3" aboveAverage="0" equalAverage="0" bottom="0" percent="0" rank="0" text="" dxfId="1">
      <formula>$C$25="Lost power"</formula>
    </cfRule>
  </conditionalFormatting>
  <dataValidations count="2">
    <dataValidation allowBlank="false" errorStyle="stop" operator="between" showDropDown="false" showErrorMessage="false" showInputMessage="false" sqref="C4" type="list">
      <formula1>$J$1:$J$7</formula1>
      <formula2>0</formula2>
    </dataValidation>
    <dataValidation allowBlank="false" errorStyle="stop" operator="between" showDropDown="false" showErrorMessage="false" showInputMessage="false" sqref="C8:C15" type="list">
      <formula1>"Yes,No"</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J1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42"/>
    <col collapsed="false" customWidth="true" hidden="false" outlineLevel="0" max="8" min="3" style="0" width="11"/>
    <col collapsed="false" customWidth="true" hidden="true" outlineLevel="0" max="10" min="10" style="0" width="13"/>
  </cols>
  <sheetData>
    <row r="1" customFormat="false" ht="25.5" hidden="false" customHeight="true" outlineLevel="0" collapsed="false">
      <c r="B1" s="60" t="s">
        <v>155</v>
      </c>
      <c r="C1" s="60"/>
      <c r="D1" s="60"/>
      <c r="E1" s="60"/>
      <c r="F1" s="60"/>
      <c r="G1" s="60"/>
      <c r="H1" s="60"/>
      <c r="J1" s="32" t="s">
        <v>134</v>
      </c>
    </row>
    <row r="2" customFormat="false" ht="39.75" hidden="false" customHeight="true" outlineLevel="0" collapsed="false">
      <c r="B2" s="61" t="s">
        <v>156</v>
      </c>
      <c r="C2" s="61"/>
      <c r="D2" s="61"/>
      <c r="E2" s="61"/>
      <c r="F2" s="61"/>
      <c r="G2" s="61"/>
      <c r="H2" s="61"/>
      <c r="J2" s="0" t="str">
        <f aca="false">Simulator!C5</f>
        <v>Conservatives</v>
      </c>
    </row>
    <row r="3" customFormat="false" ht="15" hidden="false" customHeight="false" outlineLevel="0" collapsed="false">
      <c r="J3" s="0" t="str">
        <f aca="false">Simulator!C6</f>
        <v>Social-Democrats</v>
      </c>
    </row>
    <row r="4" customFormat="false" ht="15" hidden="false" customHeight="false" outlineLevel="0" collapsed="false">
      <c r="B4" s="6" t="s">
        <v>157</v>
      </c>
      <c r="C4" s="8" t="n">
        <v>0.1</v>
      </c>
      <c r="D4" s="72" t="s">
        <v>158</v>
      </c>
      <c r="J4" s="0" t="str">
        <f aca="false">Simulator!C7</f>
        <v>Liberals</v>
      </c>
    </row>
    <row r="5" customFormat="false" ht="15" hidden="false" customHeight="false" outlineLevel="0" collapsed="false">
      <c r="B5" s="6" t="s">
        <v>159</v>
      </c>
      <c r="C5" s="98" t="s">
        <v>134</v>
      </c>
      <c r="D5" s="72" t="s">
        <v>160</v>
      </c>
      <c r="J5" s="0" t="str">
        <f aca="false">Simulator!C8</f>
        <v>Nationalist</v>
      </c>
    </row>
    <row r="6" customFormat="false" ht="15" hidden="false" customHeight="false" outlineLevel="0" collapsed="false">
      <c r="B6" s="72" t="s">
        <v>161</v>
      </c>
      <c r="C6" s="105" t="n">
        <f aca="false">IF($C$5="None",0,$C$4)</f>
        <v>0</v>
      </c>
      <c r="J6" s="0" t="str">
        <f aca="false">Simulator!C9</f>
        <v>Independent</v>
      </c>
    </row>
    <row r="7" customFormat="false" ht="15" hidden="false" customHeight="false" outlineLevel="0" collapsed="false">
      <c r="B7" s="72" t="s">
        <v>162</v>
      </c>
      <c r="C7" s="104" t="s">
        <v>124</v>
      </c>
      <c r="D7" s="104" t="s">
        <v>125</v>
      </c>
      <c r="E7" s="104" t="s">
        <v>126</v>
      </c>
      <c r="F7" s="104" t="s">
        <v>127</v>
      </c>
      <c r="G7" s="104" t="s">
        <v>128</v>
      </c>
      <c r="H7" s="104" t="s">
        <v>129</v>
      </c>
      <c r="J7" s="0" t="str">
        <f aca="false">Simulator!C10</f>
        <v>BP First</v>
      </c>
    </row>
    <row r="8" customFormat="false" ht="15" hidden="false" customHeight="false" outlineLevel="0" collapsed="false">
      <c r="C8" s="103" t="n">
        <f aca="false">IF(Simulator!C5=$C$5,1,0)</f>
        <v>0</v>
      </c>
      <c r="D8" s="103" t="n">
        <f aca="false">IF(Simulator!C6=$C$5,1,0)</f>
        <v>0</v>
      </c>
      <c r="E8" s="103" t="n">
        <f aca="false">IF(Simulator!C7=$C$5,1,0)</f>
        <v>0</v>
      </c>
      <c r="F8" s="103" t="n">
        <f aca="false">IF(Simulator!C8=$C$5,1,0)</f>
        <v>0</v>
      </c>
      <c r="G8" s="103" t="n">
        <f aca="false">IF(Simulator!C9=$C$5,1,0)</f>
        <v>0</v>
      </c>
      <c r="H8" s="103" t="n">
        <f aca="false">IF(Simulator!C10=$C$5,1,0)</f>
        <v>0</v>
      </c>
    </row>
    <row r="10" customFormat="false" ht="15" hidden="false" customHeight="false" outlineLevel="0" collapsed="false">
      <c r="B10" s="3" t="s">
        <v>163</v>
      </c>
      <c r="C10" s="3"/>
      <c r="D10" s="3"/>
      <c r="E10" s="3"/>
      <c r="F10" s="3"/>
      <c r="G10" s="3"/>
      <c r="H10" s="3"/>
    </row>
    <row r="11" customFormat="false" ht="15" hidden="false" customHeight="false" outlineLevel="0" collapsed="false">
      <c r="C11" s="106" t="s">
        <v>124</v>
      </c>
      <c r="D11" s="107" t="s">
        <v>125</v>
      </c>
      <c r="E11" s="108" t="s">
        <v>126</v>
      </c>
      <c r="F11" s="109" t="s">
        <v>127</v>
      </c>
      <c r="G11" s="110" t="s">
        <v>128</v>
      </c>
      <c r="H11" s="111" t="s">
        <v>129</v>
      </c>
    </row>
    <row r="12" customFormat="false" ht="15" hidden="false" customHeight="false" outlineLevel="0" collapsed="false">
      <c r="B12" s="6" t="s">
        <v>164</v>
      </c>
      <c r="C12" s="112" t="n">
        <v>0</v>
      </c>
      <c r="D12" s="113" t="n">
        <v>0</v>
      </c>
      <c r="E12" s="114" t="n">
        <v>0</v>
      </c>
      <c r="F12" s="115" t="n">
        <v>0</v>
      </c>
      <c r="G12" s="116" t="n">
        <v>0</v>
      </c>
      <c r="H12" s="117" t="n">
        <v>0</v>
      </c>
    </row>
    <row r="14" customFormat="false" ht="15" hidden="false" customHeight="false" outlineLevel="0" collapsed="false">
      <c r="B14" s="118" t="s">
        <v>165</v>
      </c>
      <c r="C14" s="118"/>
      <c r="D14" s="118"/>
      <c r="E14" s="118"/>
      <c r="F14" s="118"/>
      <c r="G14" s="118"/>
      <c r="H14" s="118"/>
    </row>
  </sheetData>
  <mergeCells count="4">
    <mergeCell ref="B1:H1"/>
    <mergeCell ref="B2:H2"/>
    <mergeCell ref="B10:H10"/>
    <mergeCell ref="B14:H14"/>
  </mergeCells>
  <dataValidations count="1">
    <dataValidation allowBlank="false" errorStyle="stop" operator="between" showDropDown="false" showErrorMessage="false" showInputMessage="false" sqref="C5" type="list">
      <formula1>$J$1:$J$7</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D2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26"/>
    <col collapsed="false" customWidth="true" hidden="false" outlineLevel="0" max="3" min="3" style="0" width="22"/>
    <col collapsed="false" customWidth="true" hidden="false" outlineLevel="0" max="4" min="4" style="0" width="14"/>
  </cols>
  <sheetData>
    <row r="1" customFormat="false" ht="25.5" hidden="false" customHeight="true" outlineLevel="0" collapsed="false">
      <c r="B1" s="60" t="s">
        <v>166</v>
      </c>
      <c r="C1" s="60"/>
      <c r="D1" s="60"/>
    </row>
    <row r="2" customFormat="false" ht="33.75" hidden="false" customHeight="true" outlineLevel="0" collapsed="false">
      <c r="B2" s="61" t="s">
        <v>167</v>
      </c>
      <c r="C2" s="61"/>
      <c r="D2" s="61"/>
    </row>
    <row r="4" customFormat="false" ht="15" hidden="false" customHeight="false" outlineLevel="0" collapsed="false">
      <c r="B4" s="6" t="s">
        <v>168</v>
      </c>
      <c r="C4" s="98" t="s">
        <v>169</v>
      </c>
    </row>
    <row r="5" customFormat="false" ht="15" hidden="false" customHeight="false" outlineLevel="0" collapsed="false">
      <c r="B5" s="6" t="s">
        <v>170</v>
      </c>
      <c r="C5" s="98" t="s">
        <v>171</v>
      </c>
    </row>
    <row r="7" customFormat="false" ht="15" hidden="false" customHeight="false" outlineLevel="0" collapsed="false">
      <c r="B7" s="76" t="s">
        <v>172</v>
      </c>
      <c r="C7" s="76" t="s">
        <v>173</v>
      </c>
      <c r="D7" s="76" t="s">
        <v>8</v>
      </c>
    </row>
    <row r="8" customFormat="false" ht="15" hidden="false" customHeight="false" outlineLevel="0" collapsed="false">
      <c r="B8" s="119" t="str">
        <f aca="false">Simulator!C5</f>
        <v>Conservatives</v>
      </c>
      <c r="C8" s="120" t="s">
        <v>174</v>
      </c>
      <c r="D8" s="12" t="n">
        <f aca="false">Simulator!C16</f>
        <v>202</v>
      </c>
    </row>
    <row r="9" customFormat="false" ht="15" hidden="false" customHeight="false" outlineLevel="0" collapsed="false">
      <c r="B9" s="121" t="str">
        <f aca="false">Simulator!C6</f>
        <v>Social-Democrats</v>
      </c>
      <c r="C9" s="120" t="s">
        <v>175</v>
      </c>
      <c r="D9" s="12" t="n">
        <f aca="false">Simulator!C17</f>
        <v>320</v>
      </c>
    </row>
    <row r="10" customFormat="false" ht="15" hidden="false" customHeight="false" outlineLevel="0" collapsed="false">
      <c r="B10" s="122" t="str">
        <f aca="false">Simulator!C7</f>
        <v>Liberals</v>
      </c>
      <c r="C10" s="120" t="s">
        <v>175</v>
      </c>
      <c r="D10" s="12" t="n">
        <f aca="false">Simulator!C18</f>
        <v>31</v>
      </c>
    </row>
    <row r="11" customFormat="false" ht="15" hidden="false" customHeight="false" outlineLevel="0" collapsed="false">
      <c r="B11" s="123" t="str">
        <f aca="false">Simulator!C8</f>
        <v>Nationalist</v>
      </c>
      <c r="C11" s="120" t="s">
        <v>174</v>
      </c>
      <c r="D11" s="12" t="n">
        <f aca="false">Simulator!C19</f>
        <v>44</v>
      </c>
    </row>
    <row r="12" customFormat="false" ht="15" hidden="false" customHeight="false" outlineLevel="0" collapsed="false">
      <c r="B12" s="124" t="str">
        <f aca="false">Simulator!C9</f>
        <v>Independent</v>
      </c>
      <c r="C12" s="120" t="s">
        <v>176</v>
      </c>
      <c r="D12" s="12" t="n">
        <f aca="false">Simulator!C20</f>
        <v>4</v>
      </c>
    </row>
    <row r="13" customFormat="false" ht="15" hidden="false" customHeight="false" outlineLevel="0" collapsed="false">
      <c r="B13" s="125" t="str">
        <f aca="false">Simulator!C10</f>
        <v>BP First</v>
      </c>
      <c r="C13" s="120" t="s">
        <v>176</v>
      </c>
      <c r="D13" s="12" t="n">
        <f aca="false">Simulator!C21</f>
        <v>1</v>
      </c>
    </row>
    <row r="15" customFormat="false" ht="15" hidden="false" customHeight="false" outlineLevel="0" collapsed="false">
      <c r="B15" s="126" t="str">
        <f aca="false">C4&amp;" seats"</f>
        <v>Centre-left seats</v>
      </c>
      <c r="C15" s="33" t="n">
        <f aca="false">SUMPRODUCT(($C$8:$C$13="Bloc 1")*Simulator!$C$16:$C$21)</f>
        <v>351</v>
      </c>
    </row>
    <row r="16" customFormat="false" ht="15" hidden="false" customHeight="false" outlineLevel="0" collapsed="false">
      <c r="B16" s="126" t="str">
        <f aca="false">C5&amp;" seats"</f>
        <v>Centre-right seats</v>
      </c>
      <c r="C16" s="33" t="n">
        <f aca="false">SUMPRODUCT(($C$8:$C$13="Bloc 2")*Simulator!$C$16:$C$21)</f>
        <v>246</v>
      </c>
    </row>
    <row r="17" customFormat="false" ht="15" hidden="false" customHeight="false" outlineLevel="0" collapsed="false">
      <c r="B17" s="123" t="s">
        <v>177</v>
      </c>
      <c r="C17" s="12" t="n">
        <f aca="false">SUMPRODUCT(($C$8:$C$13="Unaligned")*Simulator!$C$16:$C$21)</f>
        <v>5</v>
      </c>
    </row>
    <row r="18" customFormat="false" ht="15" hidden="false" customHeight="false" outlineLevel="0" collapsed="false">
      <c r="B18" s="123" t="s">
        <v>178</v>
      </c>
      <c r="C18" s="33" t="n">
        <f aca="false">Simulator!C14</f>
        <v>302</v>
      </c>
    </row>
    <row r="20" customFormat="false" ht="15" hidden="false" customHeight="false" outlineLevel="0" collapsed="false">
      <c r="B20" s="3" t="s">
        <v>179</v>
      </c>
      <c r="C20" s="3"/>
      <c r="D20" s="3"/>
    </row>
    <row r="21" customFormat="false" ht="15" hidden="false" customHeight="false" outlineLevel="0" collapsed="false">
      <c r="B21" s="6" t="s">
        <v>180</v>
      </c>
      <c r="C21" s="127" t="str">
        <f aca="false">IF(MAX(Simulator!C16:C21)&gt;=C18,INDEX(Simulator!C5:C10,MATCH(MAX(Simulator!C16:C21),Simulator!C16:C21,0))&amp;" - single-party majority",IF(C15&gt;=C18,C4&amp;" coalition governs ("&amp;C15&amp;")",IF(C16&gt;=C18,C5&amp;" coalition governs ("&amp;C16&amp;")","Hung parliament - no majority bloc")))</f>
        <v>Social-Democrats - single-party majority</v>
      </c>
      <c r="D21" s="127"/>
    </row>
    <row r="22" customFormat="false" ht="15" hidden="false" customHeight="false" outlineLevel="0" collapsed="false">
      <c r="B22" s="6" t="s">
        <v>181</v>
      </c>
      <c r="C22" s="128" t="str">
        <f aca="false">IF(OR(MAX(Simulator!C16:C21)&gt;=C18,C15&gt;=C18,C16&gt;=C18),"-",IF(AND(C15+C17&gt;=C18,C16+C17&lt;C18),"Unaligned ("&amp;C17&amp;") can give "&amp;C4&amp;" a majority",IF(AND(C16+C17&gt;=C18,C15+C17&lt;C18),"Unaligned ("&amp;C17&amp;") can give "&amp;C5&amp;" a majority",IF(AND(C15+C17&gt;=C18,C16+C17&gt;=C18),"Unaligned ("&amp;C17&amp;") are kingmakers for either bloc","No bloc reaches "&amp;C18&amp;" even with unaligned"))))</f>
        <v>-</v>
      </c>
      <c r="D22" s="128"/>
    </row>
  </sheetData>
  <mergeCells count="5">
    <mergeCell ref="B1:D1"/>
    <mergeCell ref="B2:D2"/>
    <mergeCell ref="B20:D20"/>
    <mergeCell ref="C21:D21"/>
    <mergeCell ref="C22:D22"/>
  </mergeCells>
  <conditionalFormatting sqref="C21">
    <cfRule type="expression" priority="2" aboveAverage="0" equalAverage="0" bottom="0" percent="0" rank="0" text="" dxfId="7">
      <formula>ISNUMBER(SEARCH("Hung",$C$21))</formula>
    </cfRule>
    <cfRule type="expression" priority="3" aboveAverage="0" equalAverage="0" bottom="0" percent="0" rank="0" text="" dxfId="0">
      <formula>ISNUMBER(SEARCH("governs",$C$21))</formula>
    </cfRule>
  </conditionalFormatting>
  <dataValidations count="1">
    <dataValidation allowBlank="false" errorStyle="stop" operator="between" showDropDown="false" showErrorMessage="false" showInputMessage="false" sqref="C8:C13" type="list">
      <formula1>"Bloc 1,Bloc 2,Unaligned"</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CC4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4" topLeftCell="C5" activePane="bottomRight" state="frozen"/>
      <selection pane="topLeft" activeCell="A1" activeCellId="0" sqref="A1"/>
      <selection pane="topRight" activeCell="C1" activeCellId="0" sqref="C1"/>
      <selection pane="bottomLeft" activeCell="A5" activeCellId="0" sqref="A5"/>
      <selection pane="bottomRigh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18"/>
    <col collapsed="false" customWidth="true" hidden="false" outlineLevel="0" max="26" min="3" style="0" width="6"/>
    <col collapsed="false" customWidth="true" hidden="false" outlineLevel="0" max="27" min="27" style="0" width="9"/>
    <col collapsed="false" customWidth="true" hidden="true" outlineLevel="0" max="81" min="29" style="0" width="13"/>
  </cols>
  <sheetData>
    <row r="1" customFormat="false" ht="25.5" hidden="false" customHeight="true" outlineLevel="0" collapsed="false">
      <c r="B1" s="60" t="s">
        <v>182</v>
      </c>
      <c r="C1" s="60"/>
      <c r="D1" s="60"/>
      <c r="E1" s="60"/>
      <c r="F1" s="60"/>
      <c r="G1" s="60"/>
      <c r="H1" s="60"/>
      <c r="I1" s="60"/>
      <c r="J1" s="60"/>
      <c r="K1" s="60"/>
      <c r="L1" s="60"/>
      <c r="M1" s="60"/>
      <c r="N1" s="60"/>
      <c r="O1" s="60"/>
      <c r="P1" s="60"/>
      <c r="Q1" s="60"/>
      <c r="R1" s="60"/>
      <c r="S1" s="60"/>
      <c r="T1" s="60"/>
      <c r="U1" s="60"/>
      <c r="V1" s="60"/>
      <c r="W1" s="60"/>
      <c r="X1" s="60"/>
      <c r="Y1" s="60"/>
      <c r="Z1" s="60"/>
      <c r="AA1" s="60"/>
    </row>
    <row r="2" customFormat="false" ht="15" hidden="false" customHeight="true" outlineLevel="0" collapsed="false">
      <c r="B2" s="61" t="s">
        <v>183</v>
      </c>
      <c r="C2" s="61"/>
      <c r="D2" s="61"/>
      <c r="E2" s="61"/>
      <c r="F2" s="61"/>
      <c r="G2" s="61"/>
      <c r="H2" s="61"/>
      <c r="I2" s="61"/>
      <c r="J2" s="61"/>
      <c r="K2" s="61"/>
      <c r="L2" s="61"/>
      <c r="M2" s="61"/>
      <c r="N2" s="61"/>
      <c r="O2" s="61"/>
      <c r="P2" s="61"/>
      <c r="Q2" s="61"/>
      <c r="R2" s="61"/>
      <c r="S2" s="61"/>
      <c r="T2" s="61"/>
      <c r="U2" s="61"/>
      <c r="V2" s="61"/>
      <c r="W2" s="61"/>
      <c r="X2" s="61"/>
      <c r="Y2" s="61"/>
      <c r="Z2" s="61"/>
      <c r="AA2" s="61"/>
    </row>
    <row r="3" customFormat="false" ht="15" hidden="false" customHeight="false" outlineLevel="0" collapsed="false">
      <c r="B3" s="6" t="s">
        <v>184</v>
      </c>
      <c r="C3" s="129" t="s">
        <v>185</v>
      </c>
      <c r="D3" s="27" t="n">
        <v>0.3</v>
      </c>
      <c r="E3" s="129" t="s">
        <v>186</v>
      </c>
      <c r="F3" s="27" t="n">
        <v>0.25</v>
      </c>
      <c r="G3" s="129" t="s">
        <v>187</v>
      </c>
      <c r="H3" s="27" t="n">
        <v>0.45</v>
      </c>
      <c r="I3" s="129" t="s">
        <v>102</v>
      </c>
      <c r="J3" s="130" t="n">
        <f aca="false">D3+F3+H3</f>
        <v>1</v>
      </c>
      <c r="K3" s="129" t="s">
        <v>188</v>
      </c>
      <c r="L3" s="99" t="n">
        <v>0.2</v>
      </c>
      <c r="M3" s="99" t="n">
        <v>0.3</v>
      </c>
      <c r="N3" s="99" t="n">
        <v>0.5</v>
      </c>
      <c r="O3" s="129" t="s">
        <v>102</v>
      </c>
      <c r="P3" s="131" t="n">
        <f aca="false">L3+M3+N3</f>
        <v>1</v>
      </c>
    </row>
    <row r="4" customFormat="false" ht="24" hidden="false" customHeight="true" outlineLevel="0" collapsed="false">
      <c r="B4" s="76" t="s">
        <v>4</v>
      </c>
      <c r="C4" s="75" t="s">
        <v>189</v>
      </c>
      <c r="D4" s="75"/>
      <c r="E4" s="75"/>
      <c r="F4" s="75"/>
      <c r="G4" s="75"/>
      <c r="H4" s="75"/>
      <c r="I4" s="75" t="s">
        <v>190</v>
      </c>
      <c r="J4" s="75"/>
      <c r="K4" s="75"/>
      <c r="L4" s="75"/>
      <c r="M4" s="75"/>
      <c r="N4" s="75"/>
      <c r="O4" s="75" t="s">
        <v>191</v>
      </c>
      <c r="P4" s="75"/>
      <c r="Q4" s="75"/>
      <c r="R4" s="75"/>
      <c r="S4" s="75"/>
      <c r="T4" s="75"/>
      <c r="U4" s="75" t="s">
        <v>192</v>
      </c>
      <c r="V4" s="75"/>
      <c r="W4" s="75"/>
      <c r="X4" s="75"/>
      <c r="Y4" s="75"/>
      <c r="Z4" s="75"/>
      <c r="AA4" s="5" t="s">
        <v>193</v>
      </c>
    </row>
    <row r="5" customFormat="false" ht="15" hidden="false" customHeight="false" outlineLevel="0" collapsed="false">
      <c r="B5" s="9" t="s">
        <v>30</v>
      </c>
      <c r="C5" s="132" t="n">
        <f aca="false">AC5/$AI5</f>
        <v>0.216266971504566</v>
      </c>
      <c r="D5" s="133" t="n">
        <f aca="false">AD5/$AI5</f>
        <v>0.330029115611369</v>
      </c>
      <c r="E5" s="134" t="n">
        <f aca="false">AE5/$AI5</f>
        <v>0.180948302021077</v>
      </c>
      <c r="F5" s="130" t="n">
        <f aca="false">AF5/$AI5</f>
        <v>0.182014828286176</v>
      </c>
      <c r="G5" s="135" t="n">
        <f aca="false">AG5/$AI5</f>
        <v>0.0907407825768132</v>
      </c>
      <c r="H5" s="136" t="n">
        <f aca="false">AH5/$AI5</f>
        <v>0</v>
      </c>
      <c r="I5" s="132" t="n">
        <f aca="false">$L$3*'Voting History'!C5+$M$3*'Voting History'!I5+$N$3*'Voting History'!O5</f>
        <v>0.192126308765056</v>
      </c>
      <c r="J5" s="133" t="n">
        <f aca="false">$L$3*'Voting History'!D5+$M$3*'Voting History'!J5+$N$3*'Voting History'!P5</f>
        <v>0.370010676399583</v>
      </c>
      <c r="K5" s="134" t="n">
        <f aca="false">$L$3*'Voting History'!E5+$M$3*'Voting History'!K5+$N$3*'Voting History'!Q5</f>
        <v>0.230515388438973</v>
      </c>
      <c r="L5" s="130" t="n">
        <f aca="false">$L$3*'Voting History'!F5+$M$3*'Voting History'!L5+$N$3*'Voting History'!R5</f>
        <v>0.138969388154933</v>
      </c>
      <c r="M5" s="135" t="n">
        <f aca="false">$L$3*'Voting History'!G5+$M$3*'Voting History'!M5+$N$3*'Voting History'!S5</f>
        <v>0.0683782382414553</v>
      </c>
      <c r="N5" s="136" t="n">
        <f aca="false">$L$3*'Voting History'!H5+$M$3*'Voting History'!N5+$N$3*'Voting History'!T5</f>
        <v>0</v>
      </c>
      <c r="O5" s="132" t="n">
        <f aca="false">Polling!C5</f>
        <v>0.215420077657554</v>
      </c>
      <c r="P5" s="133" t="n">
        <f aca="false">Polling!D5</f>
        <v>0.372027695443515</v>
      </c>
      <c r="Q5" s="134" t="n">
        <f aca="false">Polling!E5</f>
        <v>0.195378421430211</v>
      </c>
      <c r="R5" s="130" t="n">
        <f aca="false">Polling!F5</f>
        <v>0.141638353796493</v>
      </c>
      <c r="S5" s="135" t="n">
        <f aca="false">Polling!G5</f>
        <v>0.0755354516722268</v>
      </c>
      <c r="T5" s="136" t="n">
        <f aca="false">Polling!H5</f>
        <v>0</v>
      </c>
      <c r="U5" s="137" t="n">
        <f aca="false">AJ5/$AP5</f>
        <v>0.209850703588533</v>
      </c>
      <c r="V5" s="138" t="n">
        <f aca="false">AK5/$AP5</f>
        <v>0.358923866732888</v>
      </c>
      <c r="W5" s="139" t="n">
        <f aca="false">AL5/$AP5</f>
        <v>0.199833627359661</v>
      </c>
      <c r="X5" s="140" t="n">
        <f aca="false">AM5/$AP5</f>
        <v>0.153084054733008</v>
      </c>
      <c r="Y5" s="141" t="n">
        <f aca="false">AN5/$AP5</f>
        <v>0.0783077475859099</v>
      </c>
      <c r="Z5" s="142" t="n">
        <f aca="false">AO5/$AP5</f>
        <v>0</v>
      </c>
      <c r="AA5" s="53" t="n">
        <f aca="false">SUMPRODUCT(Demographics!$C5:$I5,Demographics!$C$43:$I$43)</f>
        <v>0.631650140394646</v>
      </c>
      <c r="AC5" s="143" t="n">
        <f aca="false">SUMPRODUCT(Demographics!$C5:$I5,Demographics!$C$43:$I$43,Demographics!$C$44:$I$44)</f>
        <v>0.136605062913584</v>
      </c>
      <c r="AD5" s="143" t="n">
        <f aca="false">SUMPRODUCT(Demographics!$C5:$I5,Demographics!$C$43:$I$43,Demographics!$C$45:$I$45)</f>
        <v>0.208462937210242</v>
      </c>
      <c r="AE5" s="143" t="n">
        <f aca="false">SUMPRODUCT(Demographics!$C5:$I5,Demographics!$C$43:$I$43,Demographics!$C$46:$I$46)</f>
        <v>0.114296020375786</v>
      </c>
      <c r="AF5" s="143" t="n">
        <f aca="false">SUMPRODUCT(Demographics!$C5:$I5,Demographics!$C$43:$I$43,Demographics!$C$47:$I$47)</f>
        <v>0.11496969184087</v>
      </c>
      <c r="AG5" s="143" t="n">
        <f aca="false">SUMPRODUCT(Demographics!$C5:$I5,Demographics!$C$43:$I$43,Demographics!$C$48:$I$48)</f>
        <v>0.0573164280541641</v>
      </c>
      <c r="AH5" s="143" t="n">
        <f aca="false">SUMPRODUCT(Demographics!$C5:$I5,Demographics!$C$43:$I$43,Demographics!$C$49:$I$49)</f>
        <v>0</v>
      </c>
      <c r="AI5" s="143" t="n">
        <f aca="false">SUM(AC5:AH5)</f>
        <v>0.631650140394646</v>
      </c>
      <c r="AJ5" s="143" t="n">
        <f aca="false">$D$3*C5+$F$3*I5+$H$3*O5</f>
        <v>0.209850703588533</v>
      </c>
      <c r="AK5" s="143" t="n">
        <f aca="false">$D$3*D5+$F$3*J5+$H$3*P5</f>
        <v>0.358923866732888</v>
      </c>
      <c r="AL5" s="143" t="n">
        <f aca="false">$D$3*E5+$F$3*K5+$H$3*Q5</f>
        <v>0.199833627359661</v>
      </c>
      <c r="AM5" s="143" t="n">
        <f aca="false">$D$3*F5+$F$3*L5+$H$3*R5</f>
        <v>0.153084054733008</v>
      </c>
      <c r="AN5" s="143" t="n">
        <f aca="false">$D$3*G5+$F$3*M5+$H$3*S5</f>
        <v>0.0783077475859099</v>
      </c>
      <c r="AO5" s="143" t="n">
        <f aca="false">$D$3*H5+$F$3*N5+$H$3*T5</f>
        <v>0</v>
      </c>
      <c r="AP5" s="143" t="n">
        <f aca="false">SUM(AJ5:AO5)</f>
        <v>1</v>
      </c>
      <c r="AR5" s="143" t="n">
        <f aca="false">MAX(0.0002,U5+Incumbency!C$20*Incumbency!$C$6+'Tactical &amp; Candidate'!C$12/100)</f>
        <v>0.209850703588533</v>
      </c>
      <c r="AS5" s="143" t="n">
        <f aca="false">MAX(0.0002,V5+Incumbency!D$20*Incumbency!$C$6+'Tactical &amp; Candidate'!D$12/100)</f>
        <v>0.382923866732888</v>
      </c>
      <c r="AT5" s="143" t="n">
        <f aca="false">MAX(0.0002,W5+Incumbency!E$20*Incumbency!$C$6+'Tactical &amp; Candidate'!E$12/100)</f>
        <v>0.199833627359661</v>
      </c>
      <c r="AU5" s="143" t="n">
        <f aca="false">MAX(0.0002,X5+Incumbency!F$20*Incumbency!$C$6+'Tactical &amp; Candidate'!F$12/100)</f>
        <v>0.153084054733008</v>
      </c>
      <c r="AV5" s="143" t="n">
        <f aca="false">MAX(0.0002,Y5+Incumbency!G$20*Incumbency!$C$6+'Tactical &amp; Candidate'!G$12/100)</f>
        <v>0.0783077475859099</v>
      </c>
      <c r="AW5" s="143" t="n">
        <f aca="false">MAX(0.0002,Z5+Incumbency!H$20*Incumbency!$C$6+'Tactical &amp; Candidate'!H$12/100)</f>
        <v>0.0002</v>
      </c>
      <c r="AX5" s="143" t="n">
        <f aca="false">SUM(AR5:AW5)</f>
        <v>1.0242</v>
      </c>
      <c r="AY5" s="143" t="n">
        <f aca="false">AR5/$AX5</f>
        <v>0.20489230969394</v>
      </c>
      <c r="AZ5" s="143" t="n">
        <f aca="false">AS5/$AX5</f>
        <v>0.373876065937208</v>
      </c>
      <c r="BA5" s="143" t="n">
        <f aca="false">AT5/$AX5</f>
        <v>0.195111918921755</v>
      </c>
      <c r="BB5" s="143" t="n">
        <f aca="false">AU5/$AX5</f>
        <v>0.149466954435665</v>
      </c>
      <c r="BC5" s="143" t="n">
        <f aca="false">AV5/$AX5</f>
        <v>0.0764574766509567</v>
      </c>
      <c r="BD5" s="143" t="n">
        <f aca="false">AW5/$AX5</f>
        <v>0.000195274360476469</v>
      </c>
      <c r="BF5" s="143" t="n">
        <f aca="false">AY5*(1-'Tactical &amp; Candidate'!C$8)</f>
        <v>0.20489230969394</v>
      </c>
      <c r="BG5" s="143" t="n">
        <f aca="false">AZ5*(1-'Tactical &amp; Candidate'!D$8)</f>
        <v>0.373876065937208</v>
      </c>
      <c r="BH5" s="143" t="n">
        <f aca="false">BA5*(1-'Tactical &amp; Candidate'!E$8)</f>
        <v>0.195111918921755</v>
      </c>
      <c r="BI5" s="143" t="n">
        <f aca="false">BB5*(1-'Tactical &amp; Candidate'!F$8)</f>
        <v>0.149466954435665</v>
      </c>
      <c r="BJ5" s="143" t="n">
        <f aca="false">BC5*(1-'Tactical &amp; Candidate'!G$8)</f>
        <v>0.0764574766509567</v>
      </c>
      <c r="BK5" s="143" t="n">
        <f aca="false">BD5*(1-'Tactical &amp; Candidate'!H$8)</f>
        <v>0.000195274360476469</v>
      </c>
      <c r="BL5" s="143" t="n">
        <f aca="false">LARGE(AY5:BD5,2)</f>
        <v>0.20489230969394</v>
      </c>
      <c r="BM5" s="143" t="n">
        <f aca="false">SUMPRODUCT((AY5:BD5&lt;$BL5)*AY5:BD5)*'Tactical &amp; Candidate'!$C$6</f>
        <v>0</v>
      </c>
      <c r="BN5" s="143" t="n">
        <f aca="false">MAX(BF5:BK5)</f>
        <v>0.373876065937208</v>
      </c>
      <c r="BO5" s="144" t="n">
        <f aca="false">SUMPRODUCT((BF5:BK5=$BN5)*1)</f>
        <v>1</v>
      </c>
      <c r="BQ5" s="143" t="n">
        <f aca="false">AY5*(1-'Tactical &amp; Candidate'!$C$6*(AY5&lt;$BL5))+IF(BF5=$BN5,$BM5/$BO5,0)</f>
        <v>0.20489230969394</v>
      </c>
      <c r="BR5" s="143" t="n">
        <f aca="false">AZ5*(1-'Tactical &amp; Candidate'!$C$6*(AZ5&lt;$BL5))+IF(BG5=$BN5,$BM5/$BO5,0)</f>
        <v>0.373876065937208</v>
      </c>
      <c r="BS5" s="143" t="n">
        <f aca="false">BA5*(1-'Tactical &amp; Candidate'!$C$6*(BA5&lt;$BL5))+IF(BH5=$BN5,$BM5/$BO5,0)</f>
        <v>0.195111918921755</v>
      </c>
      <c r="BT5" s="143" t="n">
        <f aca="false">BB5*(1-'Tactical &amp; Candidate'!$C$6*(BB5&lt;$BL5))+IF(BI5=$BN5,$BM5/$BO5,0)</f>
        <v>0.149466954435665</v>
      </c>
      <c r="BU5" s="143" t="n">
        <f aca="false">BC5*(1-'Tactical &amp; Candidate'!$C$6*(BC5&lt;$BL5))+IF(BJ5=$BN5,$BM5/$BO5,0)</f>
        <v>0.0764574766509567</v>
      </c>
      <c r="BV5" s="143" t="n">
        <f aca="false">BD5*(1-'Tactical &amp; Candidate'!$C$6*(BD5&lt;$BL5))+IF(BK5=$BN5,$BM5/$BO5,0)</f>
        <v>0.000195274360476469</v>
      </c>
      <c r="BW5" s="143" t="n">
        <f aca="false">SUM(BQ5:BV5)</f>
        <v>1</v>
      </c>
      <c r="BX5" s="143" t="n">
        <f aca="false">BQ5/$BW5</f>
        <v>0.20489230969394</v>
      </c>
      <c r="BY5" s="143" t="n">
        <f aca="false">BR5/$BW5</f>
        <v>0.373876065937208</v>
      </c>
      <c r="BZ5" s="143" t="n">
        <f aca="false">BS5/$BW5</f>
        <v>0.195111918921755</v>
      </c>
      <c r="CA5" s="143" t="n">
        <f aca="false">BT5/$BW5</f>
        <v>0.149466954435665</v>
      </c>
      <c r="CB5" s="143" t="n">
        <f aca="false">BU5/$BW5</f>
        <v>0.0764574766509567</v>
      </c>
      <c r="CC5" s="143" t="n">
        <f aca="false">BV5/$BW5</f>
        <v>0.000195274360476469</v>
      </c>
    </row>
    <row r="6" customFormat="false" ht="15" hidden="false" customHeight="false" outlineLevel="0" collapsed="false">
      <c r="B6" s="21" t="s">
        <v>33</v>
      </c>
      <c r="C6" s="145" t="n">
        <f aca="false">AC6/$AI6</f>
        <v>0.224155992880763</v>
      </c>
      <c r="D6" s="146" t="n">
        <f aca="false">AD6/$AI6</f>
        <v>0.315592735242524</v>
      </c>
      <c r="E6" s="147" t="n">
        <f aca="false">AE6/$AI6</f>
        <v>0.194343890854454</v>
      </c>
      <c r="F6" s="148" t="n">
        <f aca="false">AF6/$AI6</f>
        <v>0.173857126646916</v>
      </c>
      <c r="G6" s="149" t="n">
        <f aca="false">AG6/$AI6</f>
        <v>0.0920502543753426</v>
      </c>
      <c r="H6" s="150" t="n">
        <f aca="false">AH6/$AI6</f>
        <v>0</v>
      </c>
      <c r="I6" s="145" t="n">
        <f aca="false">$L$3*'Voting History'!C6+$M$3*'Voting History'!I6+$N$3*'Voting History'!O6</f>
        <v>0.17795881574303</v>
      </c>
      <c r="J6" s="146" t="n">
        <f aca="false">$L$3*'Voting History'!D6+$M$3*'Voting History'!J6+$N$3*'Voting History'!P6</f>
        <v>0.414745562482134</v>
      </c>
      <c r="K6" s="147" t="n">
        <f aca="false">$L$3*'Voting History'!E6+$M$3*'Voting History'!K6+$N$3*'Voting History'!Q6</f>
        <v>0.224959802644772</v>
      </c>
      <c r="L6" s="148" t="n">
        <f aca="false">$L$3*'Voting History'!F6+$M$3*'Voting History'!L6+$N$3*'Voting History'!R6</f>
        <v>0.10082267607013</v>
      </c>
      <c r="M6" s="149" t="n">
        <f aca="false">$L$3*'Voting History'!G6+$M$3*'Voting History'!M6+$N$3*'Voting History'!S6</f>
        <v>0.0815131430599343</v>
      </c>
      <c r="N6" s="150" t="n">
        <f aca="false">$L$3*'Voting History'!H6+$M$3*'Voting History'!N6+$N$3*'Voting History'!T6</f>
        <v>0</v>
      </c>
      <c r="O6" s="145" t="n">
        <f aca="false">Polling!C6</f>
        <v>0.192771775108034</v>
      </c>
      <c r="P6" s="146" t="n">
        <f aca="false">Polling!D6</f>
        <v>0.388682492042315</v>
      </c>
      <c r="Q6" s="147" t="n">
        <f aca="false">Polling!E6</f>
        <v>0.212086295238372</v>
      </c>
      <c r="R6" s="148" t="n">
        <f aca="false">Polling!F6</f>
        <v>0.11281056594061</v>
      </c>
      <c r="S6" s="149" t="n">
        <f aca="false">Polling!G6</f>
        <v>0.0936488716706689</v>
      </c>
      <c r="T6" s="150" t="n">
        <f aca="false">Polling!H6</f>
        <v>0</v>
      </c>
      <c r="U6" s="151" t="n">
        <f aca="false">AJ6/$AP6</f>
        <v>0.198483800598602</v>
      </c>
      <c r="V6" s="152" t="n">
        <f aca="false">AK6/$AP6</f>
        <v>0.373271332612333</v>
      </c>
      <c r="W6" s="153" t="n">
        <f aca="false">AL6/$AP6</f>
        <v>0.209981950774797</v>
      </c>
      <c r="X6" s="154" t="n">
        <f aca="false">AM6/$AP6</f>
        <v>0.128127561684882</v>
      </c>
      <c r="Y6" s="155" t="n">
        <f aca="false">AN6/$AP6</f>
        <v>0.0901353543293873</v>
      </c>
      <c r="Z6" s="156" t="n">
        <f aca="false">AO6/$AP6</f>
        <v>0</v>
      </c>
      <c r="AA6" s="64" t="n">
        <f aca="false">SUMPRODUCT(Demographics!$C6:$I6,Demographics!$C$43:$I$43)</f>
        <v>0.622874869681613</v>
      </c>
      <c r="AC6" s="143" t="n">
        <f aca="false">SUMPRODUCT(Demographics!$C6:$I6,Demographics!$C$43:$I$43,Demographics!$C$44:$I$44)</f>
        <v>0.139621134853958</v>
      </c>
      <c r="AD6" s="143" t="n">
        <f aca="false">SUMPRODUCT(Demographics!$C6:$I6,Demographics!$C$43:$I$43,Demographics!$C$45:$I$45)</f>
        <v>0.196574783836651</v>
      </c>
      <c r="AE6" s="143" t="n">
        <f aca="false">SUMPRODUCT(Demographics!$C6:$I6,Demographics!$C$43:$I$43,Demographics!$C$46:$I$46)</f>
        <v>0.121051925689386</v>
      </c>
      <c r="AF6" s="143" t="n">
        <f aca="false">SUMPRODUCT(Demographics!$C6:$I6,Demographics!$C$43:$I$43,Demographics!$C$47:$I$47)</f>
        <v>0.108291235103418</v>
      </c>
      <c r="AG6" s="143" t="n">
        <f aca="false">SUMPRODUCT(Demographics!$C6:$I6,Demographics!$C$43:$I$43,Demographics!$C$48:$I$48)</f>
        <v>0.0573357901982009</v>
      </c>
      <c r="AH6" s="143" t="n">
        <f aca="false">SUMPRODUCT(Demographics!$C6:$I6,Demographics!$C$43:$I$43,Demographics!$C$49:$I$49)</f>
        <v>0</v>
      </c>
      <c r="AI6" s="143" t="n">
        <f aca="false">SUM(AC6:AH6)</f>
        <v>0.622874869681613</v>
      </c>
      <c r="AJ6" s="143" t="n">
        <f aca="false">$D$3*C6+$F$3*I6+$H$3*O6</f>
        <v>0.198483800598602</v>
      </c>
      <c r="AK6" s="143" t="n">
        <f aca="false">$D$3*D6+$F$3*J6+$H$3*P6</f>
        <v>0.373271332612333</v>
      </c>
      <c r="AL6" s="143" t="n">
        <f aca="false">$D$3*E6+$F$3*K6+$H$3*Q6</f>
        <v>0.209981950774797</v>
      </c>
      <c r="AM6" s="143" t="n">
        <f aca="false">$D$3*F6+$F$3*L6+$H$3*R6</f>
        <v>0.128127561684882</v>
      </c>
      <c r="AN6" s="143" t="n">
        <f aca="false">$D$3*G6+$F$3*M6+$H$3*S6</f>
        <v>0.0901353543293873</v>
      </c>
      <c r="AO6" s="143" t="n">
        <f aca="false">$D$3*H6+$F$3*N6+$H$3*T6</f>
        <v>0</v>
      </c>
      <c r="AP6" s="143" t="n">
        <f aca="false">SUM(AJ6:AO6)</f>
        <v>1</v>
      </c>
      <c r="AR6" s="143" t="n">
        <f aca="false">MAX(0.0002,U6+Incumbency!C$20*Incumbency!$C$6+'Tactical &amp; Candidate'!C$12/100)</f>
        <v>0.198483800598602</v>
      </c>
      <c r="AS6" s="143" t="n">
        <f aca="false">MAX(0.0002,V6+Incumbency!D$20*Incumbency!$C$6+'Tactical &amp; Candidate'!D$12/100)</f>
        <v>0.397271332612333</v>
      </c>
      <c r="AT6" s="143" t="n">
        <f aca="false">MAX(0.0002,W6+Incumbency!E$20*Incumbency!$C$6+'Tactical &amp; Candidate'!E$12/100)</f>
        <v>0.209981950774797</v>
      </c>
      <c r="AU6" s="143" t="n">
        <f aca="false">MAX(0.0002,X6+Incumbency!F$20*Incumbency!$C$6+'Tactical &amp; Candidate'!F$12/100)</f>
        <v>0.128127561684882</v>
      </c>
      <c r="AV6" s="143" t="n">
        <f aca="false">MAX(0.0002,Y6+Incumbency!G$20*Incumbency!$C$6+'Tactical &amp; Candidate'!G$12/100)</f>
        <v>0.0901353543293873</v>
      </c>
      <c r="AW6" s="143" t="n">
        <f aca="false">MAX(0.0002,Z6+Incumbency!H$20*Incumbency!$C$6+'Tactical &amp; Candidate'!H$12/100)</f>
        <v>0.0002</v>
      </c>
      <c r="AX6" s="143" t="n">
        <f aca="false">SUM(AR6:AW6)</f>
        <v>1.0242</v>
      </c>
      <c r="AY6" s="143" t="n">
        <f aca="false">AR6/$AX6</f>
        <v>0.193793986134155</v>
      </c>
      <c r="AZ6" s="143" t="n">
        <f aca="false">AS6/$AX6</f>
        <v>0.38788452705754</v>
      </c>
      <c r="BA6" s="143" t="n">
        <f aca="false">AT6/$AX6</f>
        <v>0.20502045574575</v>
      </c>
      <c r="BB6" s="143" t="n">
        <f aca="false">AU6/$AX6</f>
        <v>0.125100138337123</v>
      </c>
      <c r="BC6" s="143" t="n">
        <f aca="false">AV6/$AX6</f>
        <v>0.0880056183649554</v>
      </c>
      <c r="BD6" s="143" t="n">
        <f aca="false">AW6/$AX6</f>
        <v>0.000195274360476469</v>
      </c>
      <c r="BF6" s="143" t="n">
        <f aca="false">AY6*(1-'Tactical &amp; Candidate'!C$8)</f>
        <v>0.193793986134155</v>
      </c>
      <c r="BG6" s="143" t="n">
        <f aca="false">AZ6*(1-'Tactical &amp; Candidate'!D$8)</f>
        <v>0.38788452705754</v>
      </c>
      <c r="BH6" s="143" t="n">
        <f aca="false">BA6*(1-'Tactical &amp; Candidate'!E$8)</f>
        <v>0.20502045574575</v>
      </c>
      <c r="BI6" s="143" t="n">
        <f aca="false">BB6*(1-'Tactical &amp; Candidate'!F$8)</f>
        <v>0.125100138337123</v>
      </c>
      <c r="BJ6" s="143" t="n">
        <f aca="false">BC6*(1-'Tactical &amp; Candidate'!G$8)</f>
        <v>0.0880056183649554</v>
      </c>
      <c r="BK6" s="143" t="n">
        <f aca="false">BD6*(1-'Tactical &amp; Candidate'!H$8)</f>
        <v>0.000195274360476469</v>
      </c>
      <c r="BL6" s="143" t="n">
        <f aca="false">LARGE(AY6:BD6,2)</f>
        <v>0.20502045574575</v>
      </c>
      <c r="BM6" s="143" t="n">
        <f aca="false">SUMPRODUCT((AY6:BD6&lt;$BL6)*AY6:BD6)*'Tactical &amp; Candidate'!$C$6</f>
        <v>0</v>
      </c>
      <c r="BN6" s="143" t="n">
        <f aca="false">MAX(BF6:BK6)</f>
        <v>0.38788452705754</v>
      </c>
      <c r="BO6" s="144" t="n">
        <f aca="false">SUMPRODUCT((BF6:BK6=$BN6)*1)</f>
        <v>1</v>
      </c>
      <c r="BQ6" s="143" t="n">
        <f aca="false">AY6*(1-'Tactical &amp; Candidate'!$C$6*(AY6&lt;$BL6))+IF(BF6=$BN6,$BM6/$BO6,0)</f>
        <v>0.193793986134155</v>
      </c>
      <c r="BR6" s="143" t="n">
        <f aca="false">AZ6*(1-'Tactical &amp; Candidate'!$C$6*(AZ6&lt;$BL6))+IF(BG6=$BN6,$BM6/$BO6,0)</f>
        <v>0.38788452705754</v>
      </c>
      <c r="BS6" s="143" t="n">
        <f aca="false">BA6*(1-'Tactical &amp; Candidate'!$C$6*(BA6&lt;$BL6))+IF(BH6=$BN6,$BM6/$BO6,0)</f>
        <v>0.20502045574575</v>
      </c>
      <c r="BT6" s="143" t="n">
        <f aca="false">BB6*(1-'Tactical &amp; Candidate'!$C$6*(BB6&lt;$BL6))+IF(BI6=$BN6,$BM6/$BO6,0)</f>
        <v>0.125100138337123</v>
      </c>
      <c r="BU6" s="143" t="n">
        <f aca="false">BC6*(1-'Tactical &amp; Candidate'!$C$6*(BC6&lt;$BL6))+IF(BJ6=$BN6,$BM6/$BO6,0)</f>
        <v>0.0880056183649554</v>
      </c>
      <c r="BV6" s="143" t="n">
        <f aca="false">BD6*(1-'Tactical &amp; Candidate'!$C$6*(BD6&lt;$BL6))+IF(BK6=$BN6,$BM6/$BO6,0)</f>
        <v>0.000195274360476469</v>
      </c>
      <c r="BW6" s="143" t="n">
        <f aca="false">SUM(BQ6:BV6)</f>
        <v>1</v>
      </c>
      <c r="BX6" s="143" t="n">
        <f aca="false">BQ6/$BW6</f>
        <v>0.193793986134155</v>
      </c>
      <c r="BY6" s="143" t="n">
        <f aca="false">BR6/$BW6</f>
        <v>0.38788452705754</v>
      </c>
      <c r="BZ6" s="143" t="n">
        <f aca="false">BS6/$BW6</f>
        <v>0.20502045574575</v>
      </c>
      <c r="CA6" s="143" t="n">
        <f aca="false">BT6/$BW6</f>
        <v>0.125100138337123</v>
      </c>
      <c r="CB6" s="143" t="n">
        <f aca="false">BU6/$BW6</f>
        <v>0.0880056183649554</v>
      </c>
      <c r="CC6" s="143" t="n">
        <f aca="false">BV6/$BW6</f>
        <v>0.000195274360476469</v>
      </c>
    </row>
    <row r="7" customFormat="false" ht="15" hidden="false" customHeight="false" outlineLevel="0" collapsed="false">
      <c r="B7" s="9" t="s">
        <v>36</v>
      </c>
      <c r="C7" s="132" t="n">
        <f aca="false">AC7/$AI7</f>
        <v>0.222172456791776</v>
      </c>
      <c r="D7" s="133" t="n">
        <f aca="false">AD7/$AI7</f>
        <v>0.314853458270304</v>
      </c>
      <c r="E7" s="134" t="n">
        <f aca="false">AE7/$AI7</f>
        <v>0.173112856868034</v>
      </c>
      <c r="F7" s="130" t="n">
        <f aca="false">AF7/$AI7</f>
        <v>0.197266411082302</v>
      </c>
      <c r="G7" s="135" t="n">
        <f aca="false">AG7/$AI7</f>
        <v>0.092594816987584</v>
      </c>
      <c r="H7" s="136" t="n">
        <f aca="false">AH7/$AI7</f>
        <v>0</v>
      </c>
      <c r="I7" s="132" t="n">
        <f aca="false">$L$3*'Voting History'!C7+$M$3*'Voting History'!I7+$N$3*'Voting History'!O7</f>
        <v>0.214815111665988</v>
      </c>
      <c r="J7" s="133" t="n">
        <f aca="false">$L$3*'Voting History'!D7+$M$3*'Voting History'!J7+$N$3*'Voting History'!P7</f>
        <v>0.368486121680858</v>
      </c>
      <c r="K7" s="134" t="n">
        <f aca="false">$L$3*'Voting History'!E7+$M$3*'Voting History'!K7+$N$3*'Voting History'!Q7</f>
        <v>0.188820202045717</v>
      </c>
      <c r="L7" s="130" t="n">
        <f aca="false">$L$3*'Voting History'!F7+$M$3*'Voting History'!L7+$N$3*'Voting History'!R7</f>
        <v>0.16765797707886</v>
      </c>
      <c r="M7" s="135" t="n">
        <f aca="false">$L$3*'Voting History'!G7+$M$3*'Voting History'!M7+$N$3*'Voting History'!S7</f>
        <v>0.0602205875285775</v>
      </c>
      <c r="N7" s="136" t="n">
        <f aca="false">$L$3*'Voting History'!H7+$M$3*'Voting History'!N7+$N$3*'Voting History'!T7</f>
        <v>0</v>
      </c>
      <c r="O7" s="132" t="n">
        <f aca="false">Polling!C7</f>
        <v>0.238721841666062</v>
      </c>
      <c r="P7" s="133" t="n">
        <f aca="false">Polling!D7</f>
        <v>0.380928238945286</v>
      </c>
      <c r="Q7" s="134" t="n">
        <f aca="false">Polling!E7</f>
        <v>0.178098847697757</v>
      </c>
      <c r="R7" s="130" t="n">
        <f aca="false">Polling!F7</f>
        <v>0.138658759773195</v>
      </c>
      <c r="S7" s="135" t="n">
        <f aca="false">Polling!G7</f>
        <v>0.0635923119176997</v>
      </c>
      <c r="T7" s="136" t="n">
        <f aca="false">Polling!H7</f>
        <v>0</v>
      </c>
      <c r="U7" s="137" t="n">
        <f aca="false">AJ7/$AP7</f>
        <v>0.227780343703758</v>
      </c>
      <c r="V7" s="138" t="n">
        <f aca="false">AK7/$AP7</f>
        <v>0.357995275426685</v>
      </c>
      <c r="W7" s="139" t="n">
        <f aca="false">AL7/$AP7</f>
        <v>0.17928338903583</v>
      </c>
      <c r="X7" s="140" t="n">
        <f aca="false">AM7/$AP7</f>
        <v>0.163490859492343</v>
      </c>
      <c r="Y7" s="141" t="n">
        <f aca="false">AN7/$AP7</f>
        <v>0.0714501323413844</v>
      </c>
      <c r="Z7" s="142" t="n">
        <f aca="false">AO7/$AP7</f>
        <v>0</v>
      </c>
      <c r="AA7" s="53" t="n">
        <f aca="false">SUMPRODUCT(Demographics!$C7:$I7,Demographics!$C$43:$I$43)</f>
        <v>0.627180228620882</v>
      </c>
      <c r="AC7" s="143" t="n">
        <f aca="false">SUMPRODUCT(Demographics!$C7:$I7,Demographics!$C$43:$I$43,Demographics!$C$44:$I$44)</f>
        <v>0.139342172243929</v>
      </c>
      <c r="AD7" s="143" t="n">
        <f aca="false">SUMPRODUCT(Demographics!$C7:$I7,Demographics!$C$43:$I$43,Demographics!$C$45:$I$45)</f>
        <v>0.197469863940045</v>
      </c>
      <c r="AE7" s="143" t="n">
        <f aca="false">SUMPRODUCT(Demographics!$C7:$I7,Demographics!$C$43:$I$43,Demographics!$C$46:$I$46)</f>
        <v>0.108572961147708</v>
      </c>
      <c r="AF7" s="143" t="n">
        <f aca="false">SUMPRODUCT(Demographics!$C7:$I7,Demographics!$C$43:$I$43,Demographics!$C$47:$I$47)</f>
        <v>0.123721592801819</v>
      </c>
      <c r="AG7" s="143" t="n">
        <f aca="false">SUMPRODUCT(Demographics!$C7:$I7,Demographics!$C$43:$I$43,Demographics!$C$48:$I$48)</f>
        <v>0.0580736384873817</v>
      </c>
      <c r="AH7" s="143" t="n">
        <f aca="false">SUMPRODUCT(Demographics!$C7:$I7,Demographics!$C$43:$I$43,Demographics!$C$49:$I$49)</f>
        <v>0</v>
      </c>
      <c r="AI7" s="143" t="n">
        <f aca="false">SUM(AC7:AH7)</f>
        <v>0.627180228620882</v>
      </c>
      <c r="AJ7" s="143" t="n">
        <f aca="false">$D$3*C7+$F$3*I7+$H$3*O7</f>
        <v>0.227780343703758</v>
      </c>
      <c r="AK7" s="143" t="n">
        <f aca="false">$D$3*D7+$F$3*J7+$H$3*P7</f>
        <v>0.357995275426685</v>
      </c>
      <c r="AL7" s="143" t="n">
        <f aca="false">$D$3*E7+$F$3*K7+$H$3*Q7</f>
        <v>0.17928338903583</v>
      </c>
      <c r="AM7" s="143" t="n">
        <f aca="false">$D$3*F7+$F$3*L7+$H$3*R7</f>
        <v>0.163490859492343</v>
      </c>
      <c r="AN7" s="143" t="n">
        <f aca="false">$D$3*G7+$F$3*M7+$H$3*S7</f>
        <v>0.0714501323413844</v>
      </c>
      <c r="AO7" s="143" t="n">
        <f aca="false">$D$3*H7+$F$3*N7+$H$3*T7</f>
        <v>0</v>
      </c>
      <c r="AP7" s="143" t="n">
        <f aca="false">SUM(AJ7:AO7)</f>
        <v>1</v>
      </c>
      <c r="AR7" s="143" t="n">
        <f aca="false">MAX(0.0002,U7+Incumbency!C$20*Incumbency!$C$6+'Tactical &amp; Candidate'!C$12/100)</f>
        <v>0.227780343703758</v>
      </c>
      <c r="AS7" s="143" t="n">
        <f aca="false">MAX(0.0002,V7+Incumbency!D$20*Incumbency!$C$6+'Tactical &amp; Candidate'!D$12/100)</f>
        <v>0.381995275426685</v>
      </c>
      <c r="AT7" s="143" t="n">
        <f aca="false">MAX(0.0002,W7+Incumbency!E$20*Incumbency!$C$6+'Tactical &amp; Candidate'!E$12/100)</f>
        <v>0.17928338903583</v>
      </c>
      <c r="AU7" s="143" t="n">
        <f aca="false">MAX(0.0002,X7+Incumbency!F$20*Incumbency!$C$6+'Tactical &amp; Candidate'!F$12/100)</f>
        <v>0.163490859492343</v>
      </c>
      <c r="AV7" s="143" t="n">
        <f aca="false">MAX(0.0002,Y7+Incumbency!G$20*Incumbency!$C$6+'Tactical &amp; Candidate'!G$12/100)</f>
        <v>0.0714501323413844</v>
      </c>
      <c r="AW7" s="143" t="n">
        <f aca="false">MAX(0.0002,Z7+Incumbency!H$20*Incumbency!$C$6+'Tactical &amp; Candidate'!H$12/100)</f>
        <v>0.0002</v>
      </c>
      <c r="AX7" s="143" t="n">
        <f aca="false">SUM(AR7:AW7)</f>
        <v>1.0242</v>
      </c>
      <c r="AY7" s="143" t="n">
        <f aca="false">AR7/$AX7</f>
        <v>0.222398304729308</v>
      </c>
      <c r="AZ7" s="143" t="n">
        <f aca="false">AS7/$AX7</f>
        <v>0.372969415569893</v>
      </c>
      <c r="BA7" s="143" t="n">
        <f aca="false">AT7/$AX7</f>
        <v>0.175047245690129</v>
      </c>
      <c r="BB7" s="143" t="n">
        <f aca="false">AU7/$AX7</f>
        <v>0.159627865155578</v>
      </c>
      <c r="BC7" s="143" t="n">
        <f aca="false">AV7/$AX7</f>
        <v>0.0697618944946147</v>
      </c>
      <c r="BD7" s="143" t="n">
        <f aca="false">AW7/$AX7</f>
        <v>0.000195274360476469</v>
      </c>
      <c r="BF7" s="143" t="n">
        <f aca="false">AY7*(1-'Tactical &amp; Candidate'!C$8)</f>
        <v>0.222398304729308</v>
      </c>
      <c r="BG7" s="143" t="n">
        <f aca="false">AZ7*(1-'Tactical &amp; Candidate'!D$8)</f>
        <v>0.372969415569893</v>
      </c>
      <c r="BH7" s="143" t="n">
        <f aca="false">BA7*(1-'Tactical &amp; Candidate'!E$8)</f>
        <v>0.175047245690129</v>
      </c>
      <c r="BI7" s="143" t="n">
        <f aca="false">BB7*(1-'Tactical &amp; Candidate'!F$8)</f>
        <v>0.159627865155578</v>
      </c>
      <c r="BJ7" s="143" t="n">
        <f aca="false">BC7*(1-'Tactical &amp; Candidate'!G$8)</f>
        <v>0.0697618944946147</v>
      </c>
      <c r="BK7" s="143" t="n">
        <f aca="false">BD7*(1-'Tactical &amp; Candidate'!H$8)</f>
        <v>0.000195274360476469</v>
      </c>
      <c r="BL7" s="143" t="n">
        <f aca="false">LARGE(AY7:BD7,2)</f>
        <v>0.222398304729308</v>
      </c>
      <c r="BM7" s="143" t="n">
        <f aca="false">SUMPRODUCT((AY7:BD7&lt;$BL7)*AY7:BD7)*'Tactical &amp; Candidate'!$C$6</f>
        <v>0</v>
      </c>
      <c r="BN7" s="143" t="n">
        <f aca="false">MAX(BF7:BK7)</f>
        <v>0.372969415569893</v>
      </c>
      <c r="BO7" s="144" t="n">
        <f aca="false">SUMPRODUCT((BF7:BK7=$BN7)*1)</f>
        <v>1</v>
      </c>
      <c r="BQ7" s="143" t="n">
        <f aca="false">AY7*(1-'Tactical &amp; Candidate'!$C$6*(AY7&lt;$BL7))+IF(BF7=$BN7,$BM7/$BO7,0)</f>
        <v>0.222398304729308</v>
      </c>
      <c r="BR7" s="143" t="n">
        <f aca="false">AZ7*(1-'Tactical &amp; Candidate'!$C$6*(AZ7&lt;$BL7))+IF(BG7=$BN7,$BM7/$BO7,0)</f>
        <v>0.372969415569893</v>
      </c>
      <c r="BS7" s="143" t="n">
        <f aca="false">BA7*(1-'Tactical &amp; Candidate'!$C$6*(BA7&lt;$BL7))+IF(BH7=$BN7,$BM7/$BO7,0)</f>
        <v>0.175047245690129</v>
      </c>
      <c r="BT7" s="143" t="n">
        <f aca="false">BB7*(1-'Tactical &amp; Candidate'!$C$6*(BB7&lt;$BL7))+IF(BI7=$BN7,$BM7/$BO7,0)</f>
        <v>0.159627865155578</v>
      </c>
      <c r="BU7" s="143" t="n">
        <f aca="false">BC7*(1-'Tactical &amp; Candidate'!$C$6*(BC7&lt;$BL7))+IF(BJ7=$BN7,$BM7/$BO7,0)</f>
        <v>0.0697618944946147</v>
      </c>
      <c r="BV7" s="143" t="n">
        <f aca="false">BD7*(1-'Tactical &amp; Candidate'!$C$6*(BD7&lt;$BL7))+IF(BK7=$BN7,$BM7/$BO7,0)</f>
        <v>0.000195274360476469</v>
      </c>
      <c r="BW7" s="143" t="n">
        <f aca="false">SUM(BQ7:BV7)</f>
        <v>1</v>
      </c>
      <c r="BX7" s="143" t="n">
        <f aca="false">BQ7/$BW7</f>
        <v>0.222398304729308</v>
      </c>
      <c r="BY7" s="143" t="n">
        <f aca="false">BR7/$BW7</f>
        <v>0.372969415569893</v>
      </c>
      <c r="BZ7" s="143" t="n">
        <f aca="false">BS7/$BW7</f>
        <v>0.175047245690129</v>
      </c>
      <c r="CA7" s="143" t="n">
        <f aca="false">BT7/$BW7</f>
        <v>0.159627865155578</v>
      </c>
      <c r="CB7" s="143" t="n">
        <f aca="false">BU7/$BW7</f>
        <v>0.0697618944946147</v>
      </c>
      <c r="CC7" s="143" t="n">
        <f aca="false">BV7/$BW7</f>
        <v>0.000195274360476469</v>
      </c>
    </row>
    <row r="8" customFormat="false" ht="15" hidden="false" customHeight="false" outlineLevel="0" collapsed="false">
      <c r="B8" s="21" t="s">
        <v>39</v>
      </c>
      <c r="C8" s="145" t="n">
        <f aca="false">AC8/$AI8</f>
        <v>0.214060832144513</v>
      </c>
      <c r="D8" s="146" t="n">
        <f aca="false">AD8/$AI8</f>
        <v>0.338413148223745</v>
      </c>
      <c r="E8" s="147" t="n">
        <f aca="false">AE8/$AI8</f>
        <v>0.184109000383423</v>
      </c>
      <c r="F8" s="148" t="n">
        <f aca="false">AF8/$AI8</f>
        <v>0.173911815321971</v>
      </c>
      <c r="G8" s="149" t="n">
        <f aca="false">AG8/$AI8</f>
        <v>0.0895052039263485</v>
      </c>
      <c r="H8" s="150" t="n">
        <f aca="false">AH8/$AI8</f>
        <v>0</v>
      </c>
      <c r="I8" s="145" t="n">
        <f aca="false">$L$3*'Voting History'!C8+$M$3*'Voting History'!I8+$N$3*'Voting History'!O8</f>
        <v>0.194028759419898</v>
      </c>
      <c r="J8" s="146" t="n">
        <f aca="false">$L$3*'Voting History'!D8+$M$3*'Voting History'!J8+$N$3*'Voting History'!P8</f>
        <v>0.394738267834999</v>
      </c>
      <c r="K8" s="147" t="n">
        <f aca="false">$L$3*'Voting History'!E8+$M$3*'Voting History'!K8+$N$3*'Voting History'!Q8</f>
        <v>0.214207109771392</v>
      </c>
      <c r="L8" s="148" t="n">
        <f aca="false">$L$3*'Voting History'!F8+$M$3*'Voting History'!L8+$N$3*'Voting History'!R8</f>
        <v>0.135934976485433</v>
      </c>
      <c r="M8" s="149" t="n">
        <f aca="false">$L$3*'Voting History'!G8+$M$3*'Voting History'!M8+$N$3*'Voting History'!S8</f>
        <v>0.0610908864882779</v>
      </c>
      <c r="N8" s="150" t="n">
        <f aca="false">$L$3*'Voting History'!H8+$M$3*'Voting History'!N8+$N$3*'Voting History'!T8</f>
        <v>0</v>
      </c>
      <c r="O8" s="145" t="n">
        <f aca="false">Polling!C8</f>
        <v>0.19664962571499</v>
      </c>
      <c r="P8" s="146" t="n">
        <f aca="false">Polling!D8</f>
        <v>0.410385316280022</v>
      </c>
      <c r="Q8" s="147" t="n">
        <f aca="false">Polling!E8</f>
        <v>0.188311347088848</v>
      </c>
      <c r="R8" s="148" t="n">
        <f aca="false">Polling!F8</f>
        <v>0.135613231203846</v>
      </c>
      <c r="S8" s="149" t="n">
        <f aca="false">Polling!G8</f>
        <v>0.0690404797122945</v>
      </c>
      <c r="T8" s="150" t="n">
        <f aca="false">Polling!H8</f>
        <v>0</v>
      </c>
      <c r="U8" s="151" t="n">
        <f aca="false">AJ8/$AP8</f>
        <v>0.201217771070074</v>
      </c>
      <c r="V8" s="152" t="n">
        <f aca="false">AK8/$AP8</f>
        <v>0.384881903751883</v>
      </c>
      <c r="W8" s="153" t="n">
        <f aca="false">AL8/$AP8</f>
        <v>0.193524583747857</v>
      </c>
      <c r="X8" s="154" t="n">
        <f aca="false">AM8/$AP8</f>
        <v>0.14718324275968</v>
      </c>
      <c r="Y8" s="155" t="n">
        <f aca="false">AN8/$AP8</f>
        <v>0.0731924986705066</v>
      </c>
      <c r="Z8" s="156" t="n">
        <f aca="false">AO8/$AP8</f>
        <v>0</v>
      </c>
      <c r="AA8" s="64" t="n">
        <f aca="false">SUMPRODUCT(Demographics!$C8:$I8,Demographics!$C$43:$I$43)</f>
        <v>0.630967267470641</v>
      </c>
      <c r="AC8" s="143" t="n">
        <f aca="false">SUMPRODUCT(Demographics!$C8:$I8,Demographics!$C$43:$I$43,Demographics!$C$44:$I$44)</f>
        <v>0.135065378330715</v>
      </c>
      <c r="AD8" s="143" t="n">
        <f aca="false">SUMPRODUCT(Demographics!$C8:$I8,Demographics!$C$43:$I$43,Demographics!$C$45:$I$45)</f>
        <v>0.213527619410873</v>
      </c>
      <c r="AE8" s="143" t="n">
        <f aca="false">SUMPRODUCT(Demographics!$C8:$I8,Demographics!$C$43:$I$43,Demographics!$C$46:$I$46)</f>
        <v>0.11616675288868</v>
      </c>
      <c r="AF8" s="143" t="n">
        <f aca="false">SUMPRODUCT(Demographics!$C8:$I8,Demographics!$C$43:$I$43,Demographics!$C$47:$I$47)</f>
        <v>0.109732662894563</v>
      </c>
      <c r="AG8" s="143" t="n">
        <f aca="false">SUMPRODUCT(Demographics!$C8:$I8,Demographics!$C$43:$I$43,Demographics!$C$48:$I$48)</f>
        <v>0.0564748539458106</v>
      </c>
      <c r="AH8" s="143" t="n">
        <f aca="false">SUMPRODUCT(Demographics!$C8:$I8,Demographics!$C$43:$I$43,Demographics!$C$49:$I$49)</f>
        <v>0</v>
      </c>
      <c r="AI8" s="143" t="n">
        <f aca="false">SUM(AC8:AH8)</f>
        <v>0.630967267470641</v>
      </c>
      <c r="AJ8" s="143" t="n">
        <f aca="false">$D$3*C8+$F$3*I8+$H$3*O8</f>
        <v>0.201217771070074</v>
      </c>
      <c r="AK8" s="143" t="n">
        <f aca="false">$D$3*D8+$F$3*J8+$H$3*P8</f>
        <v>0.384881903751883</v>
      </c>
      <c r="AL8" s="143" t="n">
        <f aca="false">$D$3*E8+$F$3*K8+$H$3*Q8</f>
        <v>0.193524583747857</v>
      </c>
      <c r="AM8" s="143" t="n">
        <f aca="false">$D$3*F8+$F$3*L8+$H$3*R8</f>
        <v>0.14718324275968</v>
      </c>
      <c r="AN8" s="143" t="n">
        <f aca="false">$D$3*G8+$F$3*M8+$H$3*S8</f>
        <v>0.0731924986705066</v>
      </c>
      <c r="AO8" s="143" t="n">
        <f aca="false">$D$3*H8+$F$3*N8+$H$3*T8</f>
        <v>0</v>
      </c>
      <c r="AP8" s="143" t="n">
        <f aca="false">SUM(AJ8:AO8)</f>
        <v>1</v>
      </c>
      <c r="AR8" s="143" t="n">
        <f aca="false">MAX(0.0002,U8+Incumbency!C$20*Incumbency!$C$6+'Tactical &amp; Candidate'!C$12/100)</f>
        <v>0.201217771070074</v>
      </c>
      <c r="AS8" s="143" t="n">
        <f aca="false">MAX(0.0002,V8+Incumbency!D$20*Incumbency!$C$6+'Tactical &amp; Candidate'!D$12/100)</f>
        <v>0.408881903751883</v>
      </c>
      <c r="AT8" s="143" t="n">
        <f aca="false">MAX(0.0002,W8+Incumbency!E$20*Incumbency!$C$6+'Tactical &amp; Candidate'!E$12/100)</f>
        <v>0.193524583747857</v>
      </c>
      <c r="AU8" s="143" t="n">
        <f aca="false">MAX(0.0002,X8+Incumbency!F$20*Incumbency!$C$6+'Tactical &amp; Candidate'!F$12/100)</f>
        <v>0.14718324275968</v>
      </c>
      <c r="AV8" s="143" t="n">
        <f aca="false">MAX(0.0002,Y8+Incumbency!G$20*Incumbency!$C$6+'Tactical &amp; Candidate'!G$12/100)</f>
        <v>0.0731924986705066</v>
      </c>
      <c r="AW8" s="143" t="n">
        <f aca="false">MAX(0.0002,Z8+Incumbency!H$20*Incumbency!$C$6+'Tactical &amp; Candidate'!H$12/100)</f>
        <v>0.0002</v>
      </c>
      <c r="AX8" s="143" t="n">
        <f aca="false">SUM(AR8:AW8)</f>
        <v>1.0242</v>
      </c>
      <c r="AY8" s="143" t="n">
        <f aca="false">AR8/$AX8</f>
        <v>0.196463357811047</v>
      </c>
      <c r="AZ8" s="143" t="n">
        <f aca="false">AS8/$AX8</f>
        <v>0.399220761327752</v>
      </c>
      <c r="BA8" s="143" t="n">
        <f aca="false">AT8/$AX8</f>
        <v>0.188951946639188</v>
      </c>
      <c r="BB8" s="143" t="n">
        <f aca="false">AU8/$AX8</f>
        <v>0.143705568013747</v>
      </c>
      <c r="BC8" s="143" t="n">
        <f aca="false">AV8/$AX8</f>
        <v>0.07146309184779</v>
      </c>
      <c r="BD8" s="143" t="n">
        <f aca="false">AW8/$AX8</f>
        <v>0.000195274360476469</v>
      </c>
      <c r="BF8" s="143" t="n">
        <f aca="false">AY8*(1-'Tactical &amp; Candidate'!C$8)</f>
        <v>0.196463357811047</v>
      </c>
      <c r="BG8" s="143" t="n">
        <f aca="false">AZ8*(1-'Tactical &amp; Candidate'!D$8)</f>
        <v>0.399220761327752</v>
      </c>
      <c r="BH8" s="143" t="n">
        <f aca="false">BA8*(1-'Tactical &amp; Candidate'!E$8)</f>
        <v>0.188951946639188</v>
      </c>
      <c r="BI8" s="143" t="n">
        <f aca="false">BB8*(1-'Tactical &amp; Candidate'!F$8)</f>
        <v>0.143705568013747</v>
      </c>
      <c r="BJ8" s="143" t="n">
        <f aca="false">BC8*(1-'Tactical &amp; Candidate'!G$8)</f>
        <v>0.07146309184779</v>
      </c>
      <c r="BK8" s="143" t="n">
        <f aca="false">BD8*(1-'Tactical &amp; Candidate'!H$8)</f>
        <v>0.000195274360476469</v>
      </c>
      <c r="BL8" s="143" t="n">
        <f aca="false">LARGE(AY8:BD8,2)</f>
        <v>0.196463357811047</v>
      </c>
      <c r="BM8" s="143" t="n">
        <f aca="false">SUMPRODUCT((AY8:BD8&lt;$BL8)*AY8:BD8)*'Tactical &amp; Candidate'!$C$6</f>
        <v>0</v>
      </c>
      <c r="BN8" s="143" t="n">
        <f aca="false">MAX(BF8:BK8)</f>
        <v>0.399220761327752</v>
      </c>
      <c r="BO8" s="144" t="n">
        <f aca="false">SUMPRODUCT((BF8:BK8=$BN8)*1)</f>
        <v>1</v>
      </c>
      <c r="BQ8" s="143" t="n">
        <f aca="false">AY8*(1-'Tactical &amp; Candidate'!$C$6*(AY8&lt;$BL8))+IF(BF8=$BN8,$BM8/$BO8,0)</f>
        <v>0.196463357811047</v>
      </c>
      <c r="BR8" s="143" t="n">
        <f aca="false">AZ8*(1-'Tactical &amp; Candidate'!$C$6*(AZ8&lt;$BL8))+IF(BG8=$BN8,$BM8/$BO8,0)</f>
        <v>0.399220761327752</v>
      </c>
      <c r="BS8" s="143" t="n">
        <f aca="false">BA8*(1-'Tactical &amp; Candidate'!$C$6*(BA8&lt;$BL8))+IF(BH8=$BN8,$BM8/$BO8,0)</f>
        <v>0.188951946639188</v>
      </c>
      <c r="BT8" s="143" t="n">
        <f aca="false">BB8*(1-'Tactical &amp; Candidate'!$C$6*(BB8&lt;$BL8))+IF(BI8=$BN8,$BM8/$BO8,0)</f>
        <v>0.143705568013747</v>
      </c>
      <c r="BU8" s="143" t="n">
        <f aca="false">BC8*(1-'Tactical &amp; Candidate'!$C$6*(BC8&lt;$BL8))+IF(BJ8=$BN8,$BM8/$BO8,0)</f>
        <v>0.07146309184779</v>
      </c>
      <c r="BV8" s="143" t="n">
        <f aca="false">BD8*(1-'Tactical &amp; Candidate'!$C$6*(BD8&lt;$BL8))+IF(BK8=$BN8,$BM8/$BO8,0)</f>
        <v>0.000195274360476469</v>
      </c>
      <c r="BW8" s="143" t="n">
        <f aca="false">SUM(BQ8:BV8)</f>
        <v>1</v>
      </c>
      <c r="BX8" s="143" t="n">
        <f aca="false">BQ8/$BW8</f>
        <v>0.196463357811047</v>
      </c>
      <c r="BY8" s="143" t="n">
        <f aca="false">BR8/$BW8</f>
        <v>0.399220761327752</v>
      </c>
      <c r="BZ8" s="143" t="n">
        <f aca="false">BS8/$BW8</f>
        <v>0.188951946639188</v>
      </c>
      <c r="CA8" s="143" t="n">
        <f aca="false">BT8/$BW8</f>
        <v>0.143705568013747</v>
      </c>
      <c r="CB8" s="143" t="n">
        <f aca="false">BU8/$BW8</f>
        <v>0.07146309184779</v>
      </c>
      <c r="CC8" s="143" t="n">
        <f aca="false">BV8/$BW8</f>
        <v>0.000195274360476469</v>
      </c>
    </row>
    <row r="9" customFormat="false" ht="15" hidden="false" customHeight="false" outlineLevel="0" collapsed="false">
      <c r="B9" s="9" t="s">
        <v>42</v>
      </c>
      <c r="C9" s="132" t="n">
        <f aca="false">AC9/$AI9</f>
        <v>0.233561393066041</v>
      </c>
      <c r="D9" s="133" t="n">
        <f aca="false">AD9/$AI9</f>
        <v>0.286001537403412</v>
      </c>
      <c r="E9" s="134" t="n">
        <f aca="false">AE9/$AI9</f>
        <v>0.155587762010647</v>
      </c>
      <c r="F9" s="130" t="n">
        <f aca="false">AF9/$AI9</f>
        <v>0.228761893613791</v>
      </c>
      <c r="G9" s="135" t="n">
        <f aca="false">AG9/$AI9</f>
        <v>0.0960874139061095</v>
      </c>
      <c r="H9" s="136" t="n">
        <f aca="false">AH9/$AI9</f>
        <v>0</v>
      </c>
      <c r="I9" s="132" t="n">
        <f aca="false">$L$3*'Voting History'!C9+$M$3*'Voting History'!I9+$N$3*'Voting History'!O9</f>
        <v>0.318927793304647</v>
      </c>
      <c r="J9" s="133" t="n">
        <f aca="false">$L$3*'Voting History'!D9+$M$3*'Voting History'!J9+$N$3*'Voting History'!P9</f>
        <v>0.208895586681068</v>
      </c>
      <c r="K9" s="134" t="n">
        <f aca="false">$L$3*'Voting History'!E9+$M$3*'Voting History'!K9+$N$3*'Voting History'!Q9</f>
        <v>0.101595007205405</v>
      </c>
      <c r="L9" s="130" t="n">
        <f aca="false">$L$3*'Voting History'!F9+$M$3*'Voting History'!L9+$N$3*'Voting History'!R9</f>
        <v>0.300581370705624</v>
      </c>
      <c r="M9" s="135" t="n">
        <f aca="false">$L$3*'Voting History'!G9+$M$3*'Voting History'!M9+$N$3*'Voting History'!S9</f>
        <v>0.0700002421032559</v>
      </c>
      <c r="N9" s="136" t="n">
        <f aca="false">$L$3*'Voting History'!H9+$M$3*'Voting History'!N9+$N$3*'Voting History'!T9</f>
        <v>0</v>
      </c>
      <c r="O9" s="132" t="n">
        <f aca="false">Polling!C9</f>
        <v>0.354592138921458</v>
      </c>
      <c r="P9" s="133" t="n">
        <f aca="false">Polling!D9</f>
        <v>0.197021277706796</v>
      </c>
      <c r="Q9" s="134" t="n">
        <f aca="false">Polling!E9</f>
        <v>0.0932033550522604</v>
      </c>
      <c r="R9" s="130" t="n">
        <f aca="false">Polling!F9</f>
        <v>0.282559818938121</v>
      </c>
      <c r="S9" s="135" t="n">
        <f aca="false">Polling!G9</f>
        <v>0.0726234093813647</v>
      </c>
      <c r="T9" s="136" t="n">
        <f aca="false">Polling!H9</f>
        <v>0</v>
      </c>
      <c r="U9" s="137" t="n">
        <f aca="false">AJ9/$AP9</f>
        <v>0.30936682876063</v>
      </c>
      <c r="V9" s="138" t="n">
        <f aca="false">AK9/$AP9</f>
        <v>0.226683932859349</v>
      </c>
      <c r="W9" s="139" t="n">
        <f aca="false">AL9/$AP9</f>
        <v>0.114016590178063</v>
      </c>
      <c r="X9" s="140" t="n">
        <f aca="false">AM9/$AP9</f>
        <v>0.270925829282698</v>
      </c>
      <c r="Y9" s="141" t="n">
        <f aca="false">AN9/$AP9</f>
        <v>0.0790068189192609</v>
      </c>
      <c r="Z9" s="142" t="n">
        <f aca="false">AO9/$AP9</f>
        <v>0</v>
      </c>
      <c r="AA9" s="53" t="n">
        <f aca="false">SUMPRODUCT(Demographics!$C9:$I9,Demographics!$C$43:$I$43)</f>
        <v>0.619718743186112</v>
      </c>
      <c r="AC9" s="143" t="n">
        <f aca="false">SUMPRODUCT(Demographics!$C9:$I9,Demographics!$C$43:$I$43,Demographics!$C$44:$I$44)</f>
        <v>0.144742372967684</v>
      </c>
      <c r="AD9" s="143" t="n">
        <f aca="false">SUMPRODUCT(Demographics!$C9:$I9,Demographics!$C$43:$I$43,Demographics!$C$45:$I$45)</f>
        <v>0.177240513308938</v>
      </c>
      <c r="AE9" s="143" t="n">
        <f aca="false">SUMPRODUCT(Demographics!$C9:$I9,Demographics!$C$43:$I$43,Demographics!$C$46:$I$46)</f>
        <v>0.0964206523283782</v>
      </c>
      <c r="AF9" s="143" t="n">
        <f aca="false">SUMPRODUCT(Demographics!$C9:$I9,Demographics!$C$43:$I$43,Demographics!$C$47:$I$47)</f>
        <v>0.141768033199214</v>
      </c>
      <c r="AG9" s="143" t="n">
        <f aca="false">SUMPRODUCT(Demographics!$C9:$I9,Demographics!$C$43:$I$43,Demographics!$C$48:$I$48)</f>
        <v>0.059547171381898</v>
      </c>
      <c r="AH9" s="143" t="n">
        <f aca="false">SUMPRODUCT(Demographics!$C9:$I9,Demographics!$C$43:$I$43,Demographics!$C$49:$I$49)</f>
        <v>0</v>
      </c>
      <c r="AI9" s="143" t="n">
        <f aca="false">SUM(AC9:AH9)</f>
        <v>0.619718743186112</v>
      </c>
      <c r="AJ9" s="143" t="n">
        <f aca="false">$D$3*C9+$F$3*I9+$H$3*O9</f>
        <v>0.30936682876063</v>
      </c>
      <c r="AK9" s="143" t="n">
        <f aca="false">$D$3*D9+$F$3*J9+$H$3*P9</f>
        <v>0.226683932859349</v>
      </c>
      <c r="AL9" s="143" t="n">
        <f aca="false">$D$3*E9+$F$3*K9+$H$3*Q9</f>
        <v>0.114016590178063</v>
      </c>
      <c r="AM9" s="143" t="n">
        <f aca="false">$D$3*F9+$F$3*L9+$H$3*R9</f>
        <v>0.270925829282698</v>
      </c>
      <c r="AN9" s="143" t="n">
        <f aca="false">$D$3*G9+$F$3*M9+$H$3*S9</f>
        <v>0.0790068189192609</v>
      </c>
      <c r="AO9" s="143" t="n">
        <f aca="false">$D$3*H9+$F$3*N9+$H$3*T9</f>
        <v>0</v>
      </c>
      <c r="AP9" s="143" t="n">
        <f aca="false">SUM(AJ9:AO9)</f>
        <v>1</v>
      </c>
      <c r="AR9" s="143" t="n">
        <f aca="false">MAX(0.0002,U9+Incumbency!C$20*Incumbency!$C$6+'Tactical &amp; Candidate'!C$12/100)</f>
        <v>0.30936682876063</v>
      </c>
      <c r="AS9" s="143" t="n">
        <f aca="false">MAX(0.0002,V9+Incumbency!D$20*Incumbency!$C$6+'Tactical &amp; Candidate'!D$12/100)</f>
        <v>0.250683932859349</v>
      </c>
      <c r="AT9" s="143" t="n">
        <f aca="false">MAX(0.0002,W9+Incumbency!E$20*Incumbency!$C$6+'Tactical &amp; Candidate'!E$12/100)</f>
        <v>0.114016590178063</v>
      </c>
      <c r="AU9" s="143" t="n">
        <f aca="false">MAX(0.0002,X9+Incumbency!F$20*Incumbency!$C$6+'Tactical &amp; Candidate'!F$12/100)</f>
        <v>0.270925829282698</v>
      </c>
      <c r="AV9" s="143" t="n">
        <f aca="false">MAX(0.0002,Y9+Incumbency!G$20*Incumbency!$C$6+'Tactical &amp; Candidate'!G$12/100)</f>
        <v>0.0790068189192609</v>
      </c>
      <c r="AW9" s="143" t="n">
        <f aca="false">MAX(0.0002,Z9+Incumbency!H$20*Incumbency!$C$6+'Tactical &amp; Candidate'!H$12/100)</f>
        <v>0.0002</v>
      </c>
      <c r="AX9" s="143" t="n">
        <f aca="false">SUM(AR9:AW9)</f>
        <v>1.0242</v>
      </c>
      <c r="AY9" s="143" t="n">
        <f aca="false">AR9/$AX9</f>
        <v>0.302057048194327</v>
      </c>
      <c r="AZ9" s="143" t="n">
        <f aca="false">AS9/$AX9</f>
        <v>0.244760723354178</v>
      </c>
      <c r="BA9" s="143" t="n">
        <f aca="false">AT9/$AX9</f>
        <v>0.111322583653644</v>
      </c>
      <c r="BB9" s="143" t="n">
        <f aca="false">AU9/$AX9</f>
        <v>0.26452434024868</v>
      </c>
      <c r="BC9" s="143" t="n">
        <f aca="false">AV9/$AX9</f>
        <v>0.0771400301886945</v>
      </c>
      <c r="BD9" s="143" t="n">
        <f aca="false">AW9/$AX9</f>
        <v>0.000195274360476469</v>
      </c>
      <c r="BF9" s="143" t="n">
        <f aca="false">AY9*(1-'Tactical &amp; Candidate'!C$8)</f>
        <v>0.302057048194327</v>
      </c>
      <c r="BG9" s="143" t="n">
        <f aca="false">AZ9*(1-'Tactical &amp; Candidate'!D$8)</f>
        <v>0.244760723354178</v>
      </c>
      <c r="BH9" s="143" t="n">
        <f aca="false">BA9*(1-'Tactical &amp; Candidate'!E$8)</f>
        <v>0.111322583653644</v>
      </c>
      <c r="BI9" s="143" t="n">
        <f aca="false">BB9*(1-'Tactical &amp; Candidate'!F$8)</f>
        <v>0.26452434024868</v>
      </c>
      <c r="BJ9" s="143" t="n">
        <f aca="false">BC9*(1-'Tactical &amp; Candidate'!G$8)</f>
        <v>0.0771400301886945</v>
      </c>
      <c r="BK9" s="143" t="n">
        <f aca="false">BD9*(1-'Tactical &amp; Candidate'!H$8)</f>
        <v>0.000195274360476469</v>
      </c>
      <c r="BL9" s="143" t="n">
        <f aca="false">LARGE(AY9:BD9,2)</f>
        <v>0.26452434024868</v>
      </c>
      <c r="BM9" s="143" t="n">
        <f aca="false">SUMPRODUCT((AY9:BD9&lt;$BL9)*AY9:BD9)*'Tactical &amp; Candidate'!$C$6</f>
        <v>0</v>
      </c>
      <c r="BN9" s="143" t="n">
        <f aca="false">MAX(BF9:BK9)</f>
        <v>0.302057048194327</v>
      </c>
      <c r="BO9" s="144" t="n">
        <f aca="false">SUMPRODUCT((BF9:BK9=$BN9)*1)</f>
        <v>1</v>
      </c>
      <c r="BQ9" s="143" t="n">
        <f aca="false">AY9*(1-'Tactical &amp; Candidate'!$C$6*(AY9&lt;$BL9))+IF(BF9=$BN9,$BM9/$BO9,0)</f>
        <v>0.302057048194327</v>
      </c>
      <c r="BR9" s="143" t="n">
        <f aca="false">AZ9*(1-'Tactical &amp; Candidate'!$C$6*(AZ9&lt;$BL9))+IF(BG9=$BN9,$BM9/$BO9,0)</f>
        <v>0.244760723354178</v>
      </c>
      <c r="BS9" s="143" t="n">
        <f aca="false">BA9*(1-'Tactical &amp; Candidate'!$C$6*(BA9&lt;$BL9))+IF(BH9=$BN9,$BM9/$BO9,0)</f>
        <v>0.111322583653644</v>
      </c>
      <c r="BT9" s="143" t="n">
        <f aca="false">BB9*(1-'Tactical &amp; Candidate'!$C$6*(BB9&lt;$BL9))+IF(BI9=$BN9,$BM9/$BO9,0)</f>
        <v>0.26452434024868</v>
      </c>
      <c r="BU9" s="143" t="n">
        <f aca="false">BC9*(1-'Tactical &amp; Candidate'!$C$6*(BC9&lt;$BL9))+IF(BJ9=$BN9,$BM9/$BO9,0)</f>
        <v>0.0771400301886945</v>
      </c>
      <c r="BV9" s="143" t="n">
        <f aca="false">BD9*(1-'Tactical &amp; Candidate'!$C$6*(BD9&lt;$BL9))+IF(BK9=$BN9,$BM9/$BO9,0)</f>
        <v>0.000195274360476469</v>
      </c>
      <c r="BW9" s="143" t="n">
        <f aca="false">SUM(BQ9:BV9)</f>
        <v>1</v>
      </c>
      <c r="BX9" s="143" t="n">
        <f aca="false">BQ9/$BW9</f>
        <v>0.302057048194327</v>
      </c>
      <c r="BY9" s="143" t="n">
        <f aca="false">BR9/$BW9</f>
        <v>0.244760723354178</v>
      </c>
      <c r="BZ9" s="143" t="n">
        <f aca="false">BS9/$BW9</f>
        <v>0.111322583653644</v>
      </c>
      <c r="CA9" s="143" t="n">
        <f aca="false">BT9/$BW9</f>
        <v>0.26452434024868</v>
      </c>
      <c r="CB9" s="143" t="n">
        <f aca="false">BU9/$BW9</f>
        <v>0.0771400301886945</v>
      </c>
      <c r="CC9" s="143" t="n">
        <f aca="false">BV9/$BW9</f>
        <v>0.000195274360476469</v>
      </c>
    </row>
    <row r="10" customFormat="false" ht="15" hidden="false" customHeight="false" outlineLevel="0" collapsed="false">
      <c r="B10" s="21" t="s">
        <v>45</v>
      </c>
      <c r="C10" s="145" t="n">
        <f aca="false">AC10/$AI10</f>
        <v>0.220710597946258</v>
      </c>
      <c r="D10" s="146" t="n">
        <f aca="false">AD10/$AI10</f>
        <v>0.319769164703592</v>
      </c>
      <c r="E10" s="147" t="n">
        <f aca="false">AE10/$AI10</f>
        <v>0.153190375833665</v>
      </c>
      <c r="F10" s="148" t="n">
        <f aca="false">AF10/$AI10</f>
        <v>0.214425814046455</v>
      </c>
      <c r="G10" s="149" t="n">
        <f aca="false">AG10/$AI10</f>
        <v>0.09190404747003</v>
      </c>
      <c r="H10" s="150" t="n">
        <f aca="false">AH10/$AI10</f>
        <v>0</v>
      </c>
      <c r="I10" s="145" t="n">
        <f aca="false">$L$3*'Voting History'!C10+$M$3*'Voting History'!I10+$N$3*'Voting History'!O10</f>
        <v>0.348237570196846</v>
      </c>
      <c r="J10" s="146" t="n">
        <f aca="false">$L$3*'Voting History'!D10+$M$3*'Voting History'!J10+$N$3*'Voting History'!P10</f>
        <v>0.216291490302122</v>
      </c>
      <c r="K10" s="147" t="n">
        <f aca="false">$L$3*'Voting History'!E10+$M$3*'Voting History'!K10+$N$3*'Voting History'!Q10</f>
        <v>0.122651069607515</v>
      </c>
      <c r="L10" s="148" t="n">
        <f aca="false">$L$3*'Voting History'!F10+$M$3*'Voting History'!L10+$N$3*'Voting History'!R10</f>
        <v>0.246804929152465</v>
      </c>
      <c r="M10" s="149" t="n">
        <f aca="false">$L$3*'Voting History'!G10+$M$3*'Voting History'!M10+$N$3*'Voting History'!S10</f>
        <v>0.0660149407410527</v>
      </c>
      <c r="N10" s="150" t="n">
        <f aca="false">$L$3*'Voting History'!H10+$M$3*'Voting History'!N10+$N$3*'Voting History'!T10</f>
        <v>0</v>
      </c>
      <c r="O10" s="145" t="n">
        <f aca="false">Polling!C10</f>
        <v>0.295573329415532</v>
      </c>
      <c r="P10" s="146" t="n">
        <f aca="false">Polling!D10</f>
        <v>0.243772968863193</v>
      </c>
      <c r="Q10" s="147" t="n">
        <f aca="false">Polling!E10</f>
        <v>0.12476824900056</v>
      </c>
      <c r="R10" s="148" t="n">
        <f aca="false">Polling!F10</f>
        <v>0.259896325149562</v>
      </c>
      <c r="S10" s="149" t="n">
        <f aca="false">Polling!G10</f>
        <v>0.0759891275711542</v>
      </c>
      <c r="T10" s="150" t="n">
        <f aca="false">Polling!H10</f>
        <v>0</v>
      </c>
      <c r="U10" s="151" t="n">
        <f aca="false">AJ10/$AP10</f>
        <v>0.286280570170078</v>
      </c>
      <c r="V10" s="152" t="n">
        <f aca="false">AK10/$AP10</f>
        <v>0.259701457975045</v>
      </c>
      <c r="W10" s="153" t="n">
        <f aca="false">AL10/$AP10</f>
        <v>0.13276559220223</v>
      </c>
      <c r="X10" s="154" t="n">
        <f aca="false">AM10/$AP10</f>
        <v>0.242982322819355</v>
      </c>
      <c r="Y10" s="155" t="n">
        <f aca="false">AN10/$AP10</f>
        <v>0.0782700568332916</v>
      </c>
      <c r="Z10" s="156" t="n">
        <f aca="false">AO10/$AP10</f>
        <v>0</v>
      </c>
      <c r="AA10" s="64" t="n">
        <f aca="false">SUMPRODUCT(Demographics!$C10:$I10,Demographics!$C$43:$I$43)</f>
        <v>0.625599993093486</v>
      </c>
      <c r="AC10" s="143" t="n">
        <f aca="false">SUMPRODUCT(Demographics!$C10:$I10,Demographics!$C$43:$I$43,Demographics!$C$44:$I$44)</f>
        <v>0.138076548550838</v>
      </c>
      <c r="AD10" s="143" t="n">
        <f aca="false">SUMPRODUCT(Demographics!$C10:$I10,Demographics!$C$43:$I$43,Demographics!$C$45:$I$45)</f>
        <v>0.200047587230077</v>
      </c>
      <c r="AE10" s="143" t="n">
        <f aca="false">SUMPRODUCT(Demographics!$C10:$I10,Demographics!$C$43:$I$43,Demographics!$C$46:$I$46)</f>
        <v>0.0958358980635296</v>
      </c>
      <c r="AF10" s="143" t="n">
        <f aca="false">SUMPRODUCT(Demographics!$C10:$I10,Demographics!$C$43:$I$43,Demographics!$C$47:$I$47)</f>
        <v>0.134144787786527</v>
      </c>
      <c r="AG10" s="143" t="n">
        <f aca="false">SUMPRODUCT(Demographics!$C10:$I10,Demographics!$C$43:$I$43,Demographics!$C$48:$I$48)</f>
        <v>0.0574951714625142</v>
      </c>
      <c r="AH10" s="143" t="n">
        <f aca="false">SUMPRODUCT(Demographics!$C10:$I10,Demographics!$C$43:$I$43,Demographics!$C$49:$I$49)</f>
        <v>0</v>
      </c>
      <c r="AI10" s="143" t="n">
        <f aca="false">SUM(AC10:AH10)</f>
        <v>0.625599993093486</v>
      </c>
      <c r="AJ10" s="143" t="n">
        <f aca="false">$D$3*C10+$F$3*I10+$H$3*O10</f>
        <v>0.286280570170078</v>
      </c>
      <c r="AK10" s="143" t="n">
        <f aca="false">$D$3*D10+$F$3*J10+$H$3*P10</f>
        <v>0.259701457975045</v>
      </c>
      <c r="AL10" s="143" t="n">
        <f aca="false">$D$3*E10+$F$3*K10+$H$3*Q10</f>
        <v>0.13276559220223</v>
      </c>
      <c r="AM10" s="143" t="n">
        <f aca="false">$D$3*F10+$F$3*L10+$H$3*R10</f>
        <v>0.242982322819355</v>
      </c>
      <c r="AN10" s="143" t="n">
        <f aca="false">$D$3*G10+$F$3*M10+$H$3*S10</f>
        <v>0.0782700568332916</v>
      </c>
      <c r="AO10" s="143" t="n">
        <f aca="false">$D$3*H10+$F$3*N10+$H$3*T10</f>
        <v>0</v>
      </c>
      <c r="AP10" s="143" t="n">
        <f aca="false">SUM(AJ10:AO10)</f>
        <v>1</v>
      </c>
      <c r="AR10" s="143" t="n">
        <f aca="false">MAX(0.0002,U10+Incumbency!C$20*Incumbency!$C$6+'Tactical &amp; Candidate'!C$12/100)</f>
        <v>0.286280570170078</v>
      </c>
      <c r="AS10" s="143" t="n">
        <f aca="false">MAX(0.0002,V10+Incumbency!D$20*Incumbency!$C$6+'Tactical &amp; Candidate'!D$12/100)</f>
        <v>0.283701457975045</v>
      </c>
      <c r="AT10" s="143" t="n">
        <f aca="false">MAX(0.0002,W10+Incumbency!E$20*Incumbency!$C$6+'Tactical &amp; Candidate'!E$12/100)</f>
        <v>0.13276559220223</v>
      </c>
      <c r="AU10" s="143" t="n">
        <f aca="false">MAX(0.0002,X10+Incumbency!F$20*Incumbency!$C$6+'Tactical &amp; Candidate'!F$12/100)</f>
        <v>0.242982322819355</v>
      </c>
      <c r="AV10" s="143" t="n">
        <f aca="false">MAX(0.0002,Y10+Incumbency!G$20*Incumbency!$C$6+'Tactical &amp; Candidate'!G$12/100)</f>
        <v>0.0782700568332916</v>
      </c>
      <c r="AW10" s="143" t="n">
        <f aca="false">MAX(0.0002,Z10+Incumbency!H$20*Incumbency!$C$6+'Tactical &amp; Candidate'!H$12/100)</f>
        <v>0.0002</v>
      </c>
      <c r="AX10" s="143" t="n">
        <f aca="false">SUM(AR10:AW10)</f>
        <v>1.0242</v>
      </c>
      <c r="AY10" s="143" t="n">
        <f aca="false">AR10/$AX10</f>
        <v>0.279516276284005</v>
      </c>
      <c r="AZ10" s="143" t="n">
        <f aca="false">AS10/$AX10</f>
        <v>0.276998103861594</v>
      </c>
      <c r="BA10" s="143" t="n">
        <f aca="false">AT10/$AX10</f>
        <v>0.129628580552851</v>
      </c>
      <c r="BB10" s="143" t="n">
        <f aca="false">AU10/$AX10</f>
        <v>0.237241088478183</v>
      </c>
      <c r="BC10" s="143" t="n">
        <f aca="false">AV10/$AX10</f>
        <v>0.0764206764628897</v>
      </c>
      <c r="BD10" s="143" t="n">
        <f aca="false">AW10/$AX10</f>
        <v>0.000195274360476469</v>
      </c>
      <c r="BF10" s="143" t="n">
        <f aca="false">AY10*(1-'Tactical &amp; Candidate'!C$8)</f>
        <v>0.279516276284005</v>
      </c>
      <c r="BG10" s="143" t="n">
        <f aca="false">AZ10*(1-'Tactical &amp; Candidate'!D$8)</f>
        <v>0.276998103861594</v>
      </c>
      <c r="BH10" s="143" t="n">
        <f aca="false">BA10*(1-'Tactical &amp; Candidate'!E$8)</f>
        <v>0.129628580552851</v>
      </c>
      <c r="BI10" s="143" t="n">
        <f aca="false">BB10*(1-'Tactical &amp; Candidate'!F$8)</f>
        <v>0.237241088478183</v>
      </c>
      <c r="BJ10" s="143" t="n">
        <f aca="false">BC10*(1-'Tactical &amp; Candidate'!G$8)</f>
        <v>0.0764206764628897</v>
      </c>
      <c r="BK10" s="143" t="n">
        <f aca="false">BD10*(1-'Tactical &amp; Candidate'!H$8)</f>
        <v>0.000195274360476469</v>
      </c>
      <c r="BL10" s="143" t="n">
        <f aca="false">LARGE(AY10:BD10,2)</f>
        <v>0.276998103861594</v>
      </c>
      <c r="BM10" s="143" t="n">
        <f aca="false">SUMPRODUCT((AY10:BD10&lt;$BL10)*AY10:BD10)*'Tactical &amp; Candidate'!$C$6</f>
        <v>0</v>
      </c>
      <c r="BN10" s="143" t="n">
        <f aca="false">MAX(BF10:BK10)</f>
        <v>0.279516276284005</v>
      </c>
      <c r="BO10" s="144" t="n">
        <f aca="false">SUMPRODUCT((BF10:BK10=$BN10)*1)</f>
        <v>1</v>
      </c>
      <c r="BQ10" s="143" t="n">
        <f aca="false">AY10*(1-'Tactical &amp; Candidate'!$C$6*(AY10&lt;$BL10))+IF(BF10=$BN10,$BM10/$BO10,0)</f>
        <v>0.279516276284005</v>
      </c>
      <c r="BR10" s="143" t="n">
        <f aca="false">AZ10*(1-'Tactical &amp; Candidate'!$C$6*(AZ10&lt;$BL10))+IF(BG10=$BN10,$BM10/$BO10,0)</f>
        <v>0.276998103861594</v>
      </c>
      <c r="BS10" s="143" t="n">
        <f aca="false">BA10*(1-'Tactical &amp; Candidate'!$C$6*(BA10&lt;$BL10))+IF(BH10=$BN10,$BM10/$BO10,0)</f>
        <v>0.129628580552851</v>
      </c>
      <c r="BT10" s="143" t="n">
        <f aca="false">BB10*(1-'Tactical &amp; Candidate'!$C$6*(BB10&lt;$BL10))+IF(BI10=$BN10,$BM10/$BO10,0)</f>
        <v>0.237241088478183</v>
      </c>
      <c r="BU10" s="143" t="n">
        <f aca="false">BC10*(1-'Tactical &amp; Candidate'!$C$6*(BC10&lt;$BL10))+IF(BJ10=$BN10,$BM10/$BO10,0)</f>
        <v>0.0764206764628897</v>
      </c>
      <c r="BV10" s="143" t="n">
        <f aca="false">BD10*(1-'Tactical &amp; Candidate'!$C$6*(BD10&lt;$BL10))+IF(BK10=$BN10,$BM10/$BO10,0)</f>
        <v>0.000195274360476469</v>
      </c>
      <c r="BW10" s="143" t="n">
        <f aca="false">SUM(BQ10:BV10)</f>
        <v>1</v>
      </c>
      <c r="BX10" s="143" t="n">
        <f aca="false">BQ10/$BW10</f>
        <v>0.279516276284005</v>
      </c>
      <c r="BY10" s="143" t="n">
        <f aca="false">BR10/$BW10</f>
        <v>0.276998103861594</v>
      </c>
      <c r="BZ10" s="143" t="n">
        <f aca="false">BS10/$BW10</f>
        <v>0.129628580552851</v>
      </c>
      <c r="CA10" s="143" t="n">
        <f aca="false">BT10/$BW10</f>
        <v>0.237241088478183</v>
      </c>
      <c r="CB10" s="143" t="n">
        <f aca="false">BU10/$BW10</f>
        <v>0.0764206764628897</v>
      </c>
      <c r="CC10" s="143" t="n">
        <f aca="false">BV10/$BW10</f>
        <v>0.000195274360476469</v>
      </c>
    </row>
    <row r="11" customFormat="false" ht="15" hidden="false" customHeight="false" outlineLevel="0" collapsed="false">
      <c r="B11" s="9" t="s">
        <v>46</v>
      </c>
      <c r="C11" s="132" t="n">
        <f aca="false">AC11/$AI11</f>
        <v>0.213619144782341</v>
      </c>
      <c r="D11" s="133" t="n">
        <f aca="false">AD11/$AI11</f>
        <v>0.348739200236732</v>
      </c>
      <c r="E11" s="134" t="n">
        <f aca="false">AE11/$AI11</f>
        <v>0.162493226835203</v>
      </c>
      <c r="F11" s="130" t="n">
        <f aca="false">AF11/$AI11</f>
        <v>0.187620097149538</v>
      </c>
      <c r="G11" s="135" t="n">
        <f aca="false">AG11/$AI11</f>
        <v>0.0875283309961853</v>
      </c>
      <c r="H11" s="136" t="n">
        <f aca="false">AH11/$AI11</f>
        <v>0</v>
      </c>
      <c r="I11" s="132" t="n">
        <f aca="false">$L$3*'Voting History'!C11+$M$3*'Voting History'!I11+$N$3*'Voting History'!O11</f>
        <v>0.23086084303134</v>
      </c>
      <c r="J11" s="133" t="n">
        <f aca="false">$L$3*'Voting History'!D11+$M$3*'Voting History'!J11+$N$3*'Voting History'!P11</f>
        <v>0.309761585749385</v>
      </c>
      <c r="K11" s="134" t="n">
        <f aca="false">$L$3*'Voting History'!E11+$M$3*'Voting History'!K11+$N$3*'Voting History'!Q11</f>
        <v>0.150424937649398</v>
      </c>
      <c r="L11" s="130" t="n">
        <f aca="false">$L$3*'Voting History'!F11+$M$3*'Voting History'!L11+$N$3*'Voting History'!R11</f>
        <v>0.239689329899491</v>
      </c>
      <c r="M11" s="135" t="n">
        <f aca="false">$L$3*'Voting History'!G11+$M$3*'Voting History'!M11+$N$3*'Voting History'!S11</f>
        <v>0.0692633036703869</v>
      </c>
      <c r="N11" s="136" t="n">
        <f aca="false">$L$3*'Voting History'!H11+$M$3*'Voting History'!N11+$N$3*'Voting History'!T11</f>
        <v>0</v>
      </c>
      <c r="O11" s="132" t="n">
        <f aca="false">Polling!C11</f>
        <v>0.251914452341113</v>
      </c>
      <c r="P11" s="133" t="n">
        <f aca="false">Polling!D11</f>
        <v>0.299793465389592</v>
      </c>
      <c r="Q11" s="134" t="n">
        <f aca="false">Polling!E11</f>
        <v>0.155945266116601</v>
      </c>
      <c r="R11" s="130" t="n">
        <f aca="false">Polling!F11</f>
        <v>0.216494933930095</v>
      </c>
      <c r="S11" s="135" t="n">
        <f aca="false">Polling!G11</f>
        <v>0.0758518822226002</v>
      </c>
      <c r="T11" s="136" t="n">
        <f aca="false">Polling!H11</f>
        <v>0</v>
      </c>
      <c r="U11" s="137" t="n">
        <f aca="false">AJ11/$AP11</f>
        <v>0.235162457746038</v>
      </c>
      <c r="V11" s="138" t="n">
        <f aca="false">AK11/$AP11</f>
        <v>0.316969215933682</v>
      </c>
      <c r="W11" s="139" t="n">
        <f aca="false">AL11/$AP11</f>
        <v>0.156529572215381</v>
      </c>
      <c r="X11" s="140" t="n">
        <f aca="false">AM11/$AP11</f>
        <v>0.213631081888277</v>
      </c>
      <c r="Y11" s="141" t="n">
        <f aca="false">AN11/$AP11</f>
        <v>0.0777076722166224</v>
      </c>
      <c r="Z11" s="142" t="n">
        <f aca="false">AO11/$AP11</f>
        <v>0</v>
      </c>
      <c r="AA11" s="53" t="n">
        <f aca="false">SUMPRODUCT(Demographics!$C11:$I11,Demographics!$C$43:$I$43)</f>
        <v>0.598069390921743</v>
      </c>
      <c r="AC11" s="143" t="n">
        <f aca="false">SUMPRODUCT(Demographics!$C11:$I11,Demographics!$C$43:$I$43,Demographics!$C$44:$I$44)</f>
        <v>0.127759071809199</v>
      </c>
      <c r="AD11" s="143" t="n">
        <f aca="false">SUMPRODUCT(Demographics!$C11:$I11,Demographics!$C$43:$I$43,Demographics!$C$45:$I$45)</f>
        <v>0.208570241076118</v>
      </c>
      <c r="AE11" s="143" t="n">
        <f aca="false">SUMPRODUCT(Demographics!$C11:$I11,Demographics!$C$43:$I$43,Demographics!$C$46:$I$46)</f>
        <v>0.0971822252022388</v>
      </c>
      <c r="AF11" s="143" t="n">
        <f aca="false">SUMPRODUCT(Demographics!$C11:$I11,Demographics!$C$43:$I$43,Demographics!$C$47:$I$47)</f>
        <v>0.112209837226902</v>
      </c>
      <c r="AG11" s="143" t="n">
        <f aca="false">SUMPRODUCT(Demographics!$C11:$I11,Demographics!$C$43:$I$43,Demographics!$C$48:$I$48)</f>
        <v>0.0523480156072853</v>
      </c>
      <c r="AH11" s="143" t="n">
        <f aca="false">SUMPRODUCT(Demographics!$C11:$I11,Demographics!$C$43:$I$43,Demographics!$C$49:$I$49)</f>
        <v>0</v>
      </c>
      <c r="AI11" s="143" t="n">
        <f aca="false">SUM(AC11:AH11)</f>
        <v>0.598069390921743</v>
      </c>
      <c r="AJ11" s="143" t="n">
        <f aca="false">$D$3*C11+$F$3*I11+$H$3*O11</f>
        <v>0.235162457746038</v>
      </c>
      <c r="AK11" s="143" t="n">
        <f aca="false">$D$3*D11+$F$3*J11+$H$3*P11</f>
        <v>0.316969215933682</v>
      </c>
      <c r="AL11" s="143" t="n">
        <f aca="false">$D$3*E11+$F$3*K11+$H$3*Q11</f>
        <v>0.156529572215381</v>
      </c>
      <c r="AM11" s="143" t="n">
        <f aca="false">$D$3*F11+$F$3*L11+$H$3*R11</f>
        <v>0.213631081888277</v>
      </c>
      <c r="AN11" s="143" t="n">
        <f aca="false">$D$3*G11+$F$3*M11+$H$3*S11</f>
        <v>0.0777076722166224</v>
      </c>
      <c r="AO11" s="143" t="n">
        <f aca="false">$D$3*H11+$F$3*N11+$H$3*T11</f>
        <v>0</v>
      </c>
      <c r="AP11" s="143" t="n">
        <f aca="false">SUM(AJ11:AO11)</f>
        <v>1</v>
      </c>
      <c r="AR11" s="143" t="n">
        <f aca="false">MAX(0.0002,U11+Incumbency!C$20*Incumbency!$C$6+'Tactical &amp; Candidate'!C$12/100)</f>
        <v>0.235162457746038</v>
      </c>
      <c r="AS11" s="143" t="n">
        <f aca="false">MAX(0.0002,V11+Incumbency!D$20*Incumbency!$C$6+'Tactical &amp; Candidate'!D$12/100)</f>
        <v>0.340969215933682</v>
      </c>
      <c r="AT11" s="143" t="n">
        <f aca="false">MAX(0.0002,W11+Incumbency!E$20*Incumbency!$C$6+'Tactical &amp; Candidate'!E$12/100)</f>
        <v>0.156529572215381</v>
      </c>
      <c r="AU11" s="143" t="n">
        <f aca="false">MAX(0.0002,X11+Incumbency!F$20*Incumbency!$C$6+'Tactical &amp; Candidate'!F$12/100)</f>
        <v>0.213631081888277</v>
      </c>
      <c r="AV11" s="143" t="n">
        <f aca="false">MAX(0.0002,Y11+Incumbency!G$20*Incumbency!$C$6+'Tactical &amp; Candidate'!G$12/100)</f>
        <v>0.0777076722166224</v>
      </c>
      <c r="AW11" s="143" t="n">
        <f aca="false">MAX(0.0002,Z11+Incumbency!H$20*Incumbency!$C$6+'Tactical &amp; Candidate'!H$12/100)</f>
        <v>0.0002</v>
      </c>
      <c r="AX11" s="143" t="n">
        <f aca="false">SUM(AR11:AW11)</f>
        <v>1.0242</v>
      </c>
      <c r="AY11" s="143" t="n">
        <f aca="false">AR11/$AX11</f>
        <v>0.229605992722162</v>
      </c>
      <c r="AZ11" s="143" t="n">
        <f aca="false">AS11/$AX11</f>
        <v>0.332912727918065</v>
      </c>
      <c r="BA11" s="143" t="n">
        <f aca="false">AT11/$AX11</f>
        <v>0.152831060550069</v>
      </c>
      <c r="BB11" s="143" t="n">
        <f aca="false">AU11/$AX11</f>
        <v>0.208583364468148</v>
      </c>
      <c r="BC11" s="143" t="n">
        <f aca="false">AV11/$AX11</f>
        <v>0.0758715799810803</v>
      </c>
      <c r="BD11" s="143" t="n">
        <f aca="false">AW11/$AX11</f>
        <v>0.000195274360476469</v>
      </c>
      <c r="BF11" s="143" t="n">
        <f aca="false">AY11*(1-'Tactical &amp; Candidate'!C$8)</f>
        <v>0.229605992722162</v>
      </c>
      <c r="BG11" s="143" t="n">
        <f aca="false">AZ11*(1-'Tactical &amp; Candidate'!D$8)</f>
        <v>0.332912727918065</v>
      </c>
      <c r="BH11" s="143" t="n">
        <f aca="false">BA11*(1-'Tactical &amp; Candidate'!E$8)</f>
        <v>0.152831060550069</v>
      </c>
      <c r="BI11" s="143" t="n">
        <f aca="false">BB11*(1-'Tactical &amp; Candidate'!F$8)</f>
        <v>0.208583364468148</v>
      </c>
      <c r="BJ11" s="143" t="n">
        <f aca="false">BC11*(1-'Tactical &amp; Candidate'!G$8)</f>
        <v>0.0758715799810803</v>
      </c>
      <c r="BK11" s="143" t="n">
        <f aca="false">BD11*(1-'Tactical &amp; Candidate'!H$8)</f>
        <v>0.000195274360476469</v>
      </c>
      <c r="BL11" s="143" t="n">
        <f aca="false">LARGE(AY11:BD11,2)</f>
        <v>0.229605992722162</v>
      </c>
      <c r="BM11" s="143" t="n">
        <f aca="false">SUMPRODUCT((AY11:BD11&lt;$BL11)*AY11:BD11)*'Tactical &amp; Candidate'!$C$6</f>
        <v>0</v>
      </c>
      <c r="BN11" s="143" t="n">
        <f aca="false">MAX(BF11:BK11)</f>
        <v>0.332912727918065</v>
      </c>
      <c r="BO11" s="144" t="n">
        <f aca="false">SUMPRODUCT((BF11:BK11=$BN11)*1)</f>
        <v>1</v>
      </c>
      <c r="BQ11" s="143" t="n">
        <f aca="false">AY11*(1-'Tactical &amp; Candidate'!$C$6*(AY11&lt;$BL11))+IF(BF11=$BN11,$BM11/$BO11,0)</f>
        <v>0.229605992722162</v>
      </c>
      <c r="BR11" s="143" t="n">
        <f aca="false">AZ11*(1-'Tactical &amp; Candidate'!$C$6*(AZ11&lt;$BL11))+IF(BG11=$BN11,$BM11/$BO11,0)</f>
        <v>0.332912727918065</v>
      </c>
      <c r="BS11" s="143" t="n">
        <f aca="false">BA11*(1-'Tactical &amp; Candidate'!$C$6*(BA11&lt;$BL11))+IF(BH11=$BN11,$BM11/$BO11,0)</f>
        <v>0.152831060550069</v>
      </c>
      <c r="BT11" s="143" t="n">
        <f aca="false">BB11*(1-'Tactical &amp; Candidate'!$C$6*(BB11&lt;$BL11))+IF(BI11=$BN11,$BM11/$BO11,0)</f>
        <v>0.208583364468148</v>
      </c>
      <c r="BU11" s="143" t="n">
        <f aca="false">BC11*(1-'Tactical &amp; Candidate'!$C$6*(BC11&lt;$BL11))+IF(BJ11=$BN11,$BM11/$BO11,0)</f>
        <v>0.0758715799810803</v>
      </c>
      <c r="BV11" s="143" t="n">
        <f aca="false">BD11*(1-'Tactical &amp; Candidate'!$C$6*(BD11&lt;$BL11))+IF(BK11=$BN11,$BM11/$BO11,0)</f>
        <v>0.000195274360476469</v>
      </c>
      <c r="BW11" s="143" t="n">
        <f aca="false">SUM(BQ11:BV11)</f>
        <v>1</v>
      </c>
      <c r="BX11" s="143" t="n">
        <f aca="false">BQ11/$BW11</f>
        <v>0.229605992722162</v>
      </c>
      <c r="BY11" s="143" t="n">
        <f aca="false">BR11/$BW11</f>
        <v>0.332912727918065</v>
      </c>
      <c r="BZ11" s="143" t="n">
        <f aca="false">BS11/$BW11</f>
        <v>0.152831060550069</v>
      </c>
      <c r="CA11" s="143" t="n">
        <f aca="false">BT11/$BW11</f>
        <v>0.208583364468148</v>
      </c>
      <c r="CB11" s="143" t="n">
        <f aca="false">BU11/$BW11</f>
        <v>0.0758715799810802</v>
      </c>
      <c r="CC11" s="143" t="n">
        <f aca="false">BV11/$BW11</f>
        <v>0.000195274360476469</v>
      </c>
    </row>
    <row r="12" customFormat="false" ht="15" hidden="false" customHeight="false" outlineLevel="0" collapsed="false">
      <c r="B12" s="21" t="s">
        <v>48</v>
      </c>
      <c r="C12" s="145" t="n">
        <f aca="false">AC12/$AI12</f>
        <v>0.22042850147449</v>
      </c>
      <c r="D12" s="146" t="n">
        <f aca="false">AD12/$AI12</f>
        <v>0.328241940522996</v>
      </c>
      <c r="E12" s="147" t="n">
        <f aca="false">AE12/$AI12</f>
        <v>0.168067577386178</v>
      </c>
      <c r="F12" s="148" t="n">
        <f aca="false">AF12/$AI12</f>
        <v>0.192996069015834</v>
      </c>
      <c r="G12" s="149" t="n">
        <f aca="false">AG12/$AI12</f>
        <v>0.0902659116005028</v>
      </c>
      <c r="H12" s="150" t="n">
        <f aca="false">AH12/$AI12</f>
        <v>0</v>
      </c>
      <c r="I12" s="145" t="n">
        <f aca="false">$L$3*'Voting History'!C12+$M$3*'Voting History'!I12+$N$3*'Voting History'!O12</f>
        <v>0.225945582965552</v>
      </c>
      <c r="J12" s="146" t="n">
        <f aca="false">$L$3*'Voting History'!D12+$M$3*'Voting History'!J12+$N$3*'Voting History'!P12</f>
        <v>0.364327598892286</v>
      </c>
      <c r="K12" s="147" t="n">
        <f aca="false">$L$3*'Voting History'!E12+$M$3*'Voting History'!K12+$N$3*'Voting History'!Q12</f>
        <v>0.156016967691721</v>
      </c>
      <c r="L12" s="148" t="n">
        <f aca="false">$L$3*'Voting History'!F12+$M$3*'Voting History'!L12+$N$3*'Voting History'!R12</f>
        <v>0.188264368452675</v>
      </c>
      <c r="M12" s="149" t="n">
        <f aca="false">$L$3*'Voting History'!G12+$M$3*'Voting History'!M12+$N$3*'Voting History'!S12</f>
        <v>0.0654454819977655</v>
      </c>
      <c r="N12" s="150" t="n">
        <f aca="false">$L$3*'Voting History'!H12+$M$3*'Voting History'!N12+$N$3*'Voting History'!T12</f>
        <v>0</v>
      </c>
      <c r="O12" s="145" t="n">
        <f aca="false">Polling!C12</f>
        <v>0.25285526594941</v>
      </c>
      <c r="P12" s="146" t="n">
        <f aca="false">Polling!D12</f>
        <v>0.336337947703928</v>
      </c>
      <c r="Q12" s="147" t="n">
        <f aca="false">Polling!E12</f>
        <v>0.132714245060716</v>
      </c>
      <c r="R12" s="148" t="n">
        <f aca="false">Polling!F12</f>
        <v>0.203373106906855</v>
      </c>
      <c r="S12" s="149" t="n">
        <f aca="false">Polling!G12</f>
        <v>0.0747194343790912</v>
      </c>
      <c r="T12" s="150" t="n">
        <f aca="false">Polling!H12</f>
        <v>0</v>
      </c>
      <c r="U12" s="151" t="n">
        <f aca="false">AJ12/$AP12</f>
        <v>0.23639981586097</v>
      </c>
      <c r="V12" s="152" t="n">
        <f aca="false">AK12/$AP12</f>
        <v>0.340906558346738</v>
      </c>
      <c r="W12" s="153" t="n">
        <f aca="false">AL12/$AP12</f>
        <v>0.149145925416106</v>
      </c>
      <c r="X12" s="154" t="n">
        <f aca="false">AM12/$AP12</f>
        <v>0.196482810926003</v>
      </c>
      <c r="Y12" s="155" t="n">
        <f aca="false">AN12/$AP12</f>
        <v>0.0770648894501833</v>
      </c>
      <c r="Z12" s="156" t="n">
        <f aca="false">AO12/$AP12</f>
        <v>0</v>
      </c>
      <c r="AA12" s="64" t="n">
        <f aca="false">SUMPRODUCT(Demographics!$C12:$I12,Demographics!$C$43:$I$43)</f>
        <v>0.616210735919829</v>
      </c>
      <c r="AC12" s="143" t="n">
        <f aca="false">SUMPRODUCT(Demographics!$C12:$I12,Demographics!$C$43:$I$43,Demographics!$C$44:$I$44)</f>
        <v>0.1358304091113</v>
      </c>
      <c r="AD12" s="143" t="n">
        <f aca="false">SUMPRODUCT(Demographics!$C12:$I12,Demographics!$C$43:$I$43,Demographics!$C$45:$I$45)</f>
        <v>0.202266207729428</v>
      </c>
      <c r="AE12" s="143" t="n">
        <f aca="false">SUMPRODUCT(Demographics!$C12:$I12,Demographics!$C$43:$I$43,Demographics!$C$46:$I$46)</f>
        <v>0.103565045545399</v>
      </c>
      <c r="AF12" s="143" t="n">
        <f aca="false">SUMPRODUCT(Demographics!$C12:$I12,Demographics!$C$43:$I$43,Demographics!$C$47:$I$47)</f>
        <v>0.118926249717881</v>
      </c>
      <c r="AG12" s="143" t="n">
        <f aca="false">SUMPRODUCT(Demographics!$C12:$I12,Demographics!$C$43:$I$43,Demographics!$C$48:$I$48)</f>
        <v>0.05562282381582</v>
      </c>
      <c r="AH12" s="143" t="n">
        <f aca="false">SUMPRODUCT(Demographics!$C12:$I12,Demographics!$C$43:$I$43,Demographics!$C$49:$I$49)</f>
        <v>0</v>
      </c>
      <c r="AI12" s="143" t="n">
        <f aca="false">SUM(AC12:AH12)</f>
        <v>0.616210735919829</v>
      </c>
      <c r="AJ12" s="143" t="n">
        <f aca="false">$D$3*C12+$F$3*I12+$H$3*O12</f>
        <v>0.23639981586097</v>
      </c>
      <c r="AK12" s="143" t="n">
        <f aca="false">$D$3*D12+$F$3*J12+$H$3*P12</f>
        <v>0.340906558346738</v>
      </c>
      <c r="AL12" s="143" t="n">
        <f aca="false">$D$3*E12+$F$3*K12+$H$3*Q12</f>
        <v>0.149145925416106</v>
      </c>
      <c r="AM12" s="143" t="n">
        <f aca="false">$D$3*F12+$F$3*L12+$H$3*R12</f>
        <v>0.196482810926003</v>
      </c>
      <c r="AN12" s="143" t="n">
        <f aca="false">$D$3*G12+$F$3*M12+$H$3*S12</f>
        <v>0.0770648894501833</v>
      </c>
      <c r="AO12" s="143" t="n">
        <f aca="false">$D$3*H12+$F$3*N12+$H$3*T12</f>
        <v>0</v>
      </c>
      <c r="AP12" s="143" t="n">
        <f aca="false">SUM(AJ12:AO12)</f>
        <v>1</v>
      </c>
      <c r="AR12" s="143" t="n">
        <f aca="false">MAX(0.0002,U12+Incumbency!C$20*Incumbency!$C$6+'Tactical &amp; Candidate'!C$12/100)</f>
        <v>0.23639981586097</v>
      </c>
      <c r="AS12" s="143" t="n">
        <f aca="false">MAX(0.0002,V12+Incumbency!D$20*Incumbency!$C$6+'Tactical &amp; Candidate'!D$12/100)</f>
        <v>0.364906558346738</v>
      </c>
      <c r="AT12" s="143" t="n">
        <f aca="false">MAX(0.0002,W12+Incumbency!E$20*Incumbency!$C$6+'Tactical &amp; Candidate'!E$12/100)</f>
        <v>0.149145925416106</v>
      </c>
      <c r="AU12" s="143" t="n">
        <f aca="false">MAX(0.0002,X12+Incumbency!F$20*Incumbency!$C$6+'Tactical &amp; Candidate'!F$12/100)</f>
        <v>0.196482810926003</v>
      </c>
      <c r="AV12" s="143" t="n">
        <f aca="false">MAX(0.0002,Y12+Incumbency!G$20*Incumbency!$C$6+'Tactical &amp; Candidate'!G$12/100)</f>
        <v>0.0770648894501833</v>
      </c>
      <c r="AW12" s="143" t="n">
        <f aca="false">MAX(0.0002,Z12+Incumbency!H$20*Incumbency!$C$6+'Tactical &amp; Candidate'!H$12/100)</f>
        <v>0.0002</v>
      </c>
      <c r="AX12" s="143" t="n">
        <f aca="false">SUM(AR12:AW12)</f>
        <v>1.0242</v>
      </c>
      <c r="AY12" s="143" t="n">
        <f aca="false">AR12/$AX12</f>
        <v>0.23081411429503</v>
      </c>
      <c r="AZ12" s="143" t="n">
        <f aca="false">AS12/$AX12</f>
        <v>0.356284474074144</v>
      </c>
      <c r="BA12" s="143" t="n">
        <f aca="false">AT12/$AX12</f>
        <v>0.145621876016506</v>
      </c>
      <c r="BB12" s="143" t="n">
        <f aca="false">AU12/$AX12</f>
        <v>0.191840276240972</v>
      </c>
      <c r="BC12" s="143" t="n">
        <f aca="false">AV12/$AX12</f>
        <v>0.0752439850128718</v>
      </c>
      <c r="BD12" s="143" t="n">
        <f aca="false">AW12/$AX12</f>
        <v>0.000195274360476469</v>
      </c>
      <c r="BF12" s="143" t="n">
        <f aca="false">AY12*(1-'Tactical &amp; Candidate'!C$8)</f>
        <v>0.23081411429503</v>
      </c>
      <c r="BG12" s="143" t="n">
        <f aca="false">AZ12*(1-'Tactical &amp; Candidate'!D$8)</f>
        <v>0.356284474074144</v>
      </c>
      <c r="BH12" s="143" t="n">
        <f aca="false">BA12*(1-'Tactical &amp; Candidate'!E$8)</f>
        <v>0.145621876016506</v>
      </c>
      <c r="BI12" s="143" t="n">
        <f aca="false">BB12*(1-'Tactical &amp; Candidate'!F$8)</f>
        <v>0.191840276240972</v>
      </c>
      <c r="BJ12" s="143" t="n">
        <f aca="false">BC12*(1-'Tactical &amp; Candidate'!G$8)</f>
        <v>0.0752439850128718</v>
      </c>
      <c r="BK12" s="143" t="n">
        <f aca="false">BD12*(1-'Tactical &amp; Candidate'!H$8)</f>
        <v>0.000195274360476469</v>
      </c>
      <c r="BL12" s="143" t="n">
        <f aca="false">LARGE(AY12:BD12,2)</f>
        <v>0.23081411429503</v>
      </c>
      <c r="BM12" s="143" t="n">
        <f aca="false">SUMPRODUCT((AY12:BD12&lt;$BL12)*AY12:BD12)*'Tactical &amp; Candidate'!$C$6</f>
        <v>0</v>
      </c>
      <c r="BN12" s="143" t="n">
        <f aca="false">MAX(BF12:BK12)</f>
        <v>0.356284474074144</v>
      </c>
      <c r="BO12" s="144" t="n">
        <f aca="false">SUMPRODUCT((BF12:BK12=$BN12)*1)</f>
        <v>1</v>
      </c>
      <c r="BQ12" s="143" t="n">
        <f aca="false">AY12*(1-'Tactical &amp; Candidate'!$C$6*(AY12&lt;$BL12))+IF(BF12=$BN12,$BM12/$BO12,0)</f>
        <v>0.23081411429503</v>
      </c>
      <c r="BR12" s="143" t="n">
        <f aca="false">AZ12*(1-'Tactical &amp; Candidate'!$C$6*(AZ12&lt;$BL12))+IF(BG12=$BN12,$BM12/$BO12,0)</f>
        <v>0.356284474074144</v>
      </c>
      <c r="BS12" s="143" t="n">
        <f aca="false">BA12*(1-'Tactical &amp; Candidate'!$C$6*(BA12&lt;$BL12))+IF(BH12=$BN12,$BM12/$BO12,0)</f>
        <v>0.145621876016506</v>
      </c>
      <c r="BT12" s="143" t="n">
        <f aca="false">BB12*(1-'Tactical &amp; Candidate'!$C$6*(BB12&lt;$BL12))+IF(BI12=$BN12,$BM12/$BO12,0)</f>
        <v>0.191840276240972</v>
      </c>
      <c r="BU12" s="143" t="n">
        <f aca="false">BC12*(1-'Tactical &amp; Candidate'!$C$6*(BC12&lt;$BL12))+IF(BJ12=$BN12,$BM12/$BO12,0)</f>
        <v>0.0752439850128718</v>
      </c>
      <c r="BV12" s="143" t="n">
        <f aca="false">BD12*(1-'Tactical &amp; Candidate'!$C$6*(BD12&lt;$BL12))+IF(BK12=$BN12,$BM12/$BO12,0)</f>
        <v>0.000195274360476469</v>
      </c>
      <c r="BW12" s="143" t="n">
        <f aca="false">SUM(BQ12:BV12)</f>
        <v>1</v>
      </c>
      <c r="BX12" s="143" t="n">
        <f aca="false">BQ12/$BW12</f>
        <v>0.23081411429503</v>
      </c>
      <c r="BY12" s="143" t="n">
        <f aca="false">BR12/$BW12</f>
        <v>0.356284474074144</v>
      </c>
      <c r="BZ12" s="143" t="n">
        <f aca="false">BS12/$BW12</f>
        <v>0.145621876016506</v>
      </c>
      <c r="CA12" s="143" t="n">
        <f aca="false">BT12/$BW12</f>
        <v>0.191840276240972</v>
      </c>
      <c r="CB12" s="143" t="n">
        <f aca="false">BU12/$BW12</f>
        <v>0.0752439850128718</v>
      </c>
      <c r="CC12" s="143" t="n">
        <f aca="false">BV12/$BW12</f>
        <v>0.000195274360476469</v>
      </c>
    </row>
    <row r="13" customFormat="false" ht="15" hidden="false" customHeight="false" outlineLevel="0" collapsed="false">
      <c r="B13" s="9" t="s">
        <v>50</v>
      </c>
      <c r="C13" s="132" t="n">
        <f aca="false">AC13/$AI13</f>
        <v>0.236539027972489</v>
      </c>
      <c r="D13" s="133" t="n">
        <f aca="false">AD13/$AI13</f>
        <v>0.275204970558698</v>
      </c>
      <c r="E13" s="134" t="n">
        <f aca="false">AE13/$AI13</f>
        <v>0.146100675869895</v>
      </c>
      <c r="F13" s="130" t="n">
        <f aca="false">AF13/$AI13</f>
        <v>0.244504125305155</v>
      </c>
      <c r="G13" s="135" t="n">
        <f aca="false">AG13/$AI13</f>
        <v>0.0976512002937626</v>
      </c>
      <c r="H13" s="136" t="n">
        <f aca="false">AH13/$AI13</f>
        <v>0</v>
      </c>
      <c r="I13" s="132" t="n">
        <f aca="false">$L$3*'Voting History'!C13+$M$3*'Voting History'!I13+$N$3*'Voting History'!O13</f>
        <v>0.266995613542643</v>
      </c>
      <c r="J13" s="133" t="n">
        <f aca="false">$L$3*'Voting History'!D13+$M$3*'Voting History'!J13+$N$3*'Voting History'!P13</f>
        <v>0.238548969004668</v>
      </c>
      <c r="K13" s="134" t="n">
        <f aca="false">$L$3*'Voting History'!E13+$M$3*'Voting History'!K13+$N$3*'Voting History'!Q13</f>
        <v>0.113045457347466</v>
      </c>
      <c r="L13" s="130" t="n">
        <f aca="false">$L$3*'Voting History'!F13+$M$3*'Voting History'!L13+$N$3*'Voting History'!R13</f>
        <v>0.307398772042765</v>
      </c>
      <c r="M13" s="135" t="n">
        <f aca="false">$L$3*'Voting History'!G13+$M$3*'Voting History'!M13+$N$3*'Voting History'!S13</f>
        <v>0.0740111880624575</v>
      </c>
      <c r="N13" s="136" t="n">
        <f aca="false">$L$3*'Voting History'!H13+$M$3*'Voting History'!N13+$N$3*'Voting History'!T13</f>
        <v>0</v>
      </c>
      <c r="O13" s="132" t="n">
        <f aca="false">Polling!C13</f>
        <v>0.277172703528054</v>
      </c>
      <c r="P13" s="133" t="n">
        <f aca="false">Polling!D13</f>
        <v>0.235595885050773</v>
      </c>
      <c r="Q13" s="134" t="n">
        <f aca="false">Polling!E13</f>
        <v>0.105349990545946</v>
      </c>
      <c r="R13" s="130" t="n">
        <f aca="false">Polling!F13</f>
        <v>0.296913834862268</v>
      </c>
      <c r="S13" s="135" t="n">
        <f aca="false">Polling!G13</f>
        <v>0.0849675860129594</v>
      </c>
      <c r="T13" s="136" t="n">
        <f aca="false">Polling!H13</f>
        <v>0</v>
      </c>
      <c r="U13" s="137" t="n">
        <f aca="false">AJ13/$AP13</f>
        <v>0.262438328365032</v>
      </c>
      <c r="V13" s="138" t="n">
        <f aca="false">AK13/$AP13</f>
        <v>0.248216881691624</v>
      </c>
      <c r="W13" s="139" t="n">
        <f aca="false">AL13/$AP13</f>
        <v>0.119499062843511</v>
      </c>
      <c r="X13" s="140" t="n">
        <f aca="false">AM13/$AP13</f>
        <v>0.283812156290258</v>
      </c>
      <c r="Y13" s="141" t="n">
        <f aca="false">AN13/$AP13</f>
        <v>0.0860335708095749</v>
      </c>
      <c r="Z13" s="142" t="n">
        <f aca="false">AO13/$AP13</f>
        <v>0</v>
      </c>
      <c r="AA13" s="53" t="n">
        <f aca="false">SUMPRODUCT(Demographics!$C13:$I13,Demographics!$C$43:$I$43)</f>
        <v>0.622189766335453</v>
      </c>
      <c r="AC13" s="143" t="n">
        <f aca="false">SUMPRODUCT(Demographics!$C13:$I13,Demographics!$C$43:$I$43,Demographics!$C$44:$I$44)</f>
        <v>0.147172162543418</v>
      </c>
      <c r="AD13" s="143" t="n">
        <f aca="false">SUMPRODUCT(Demographics!$C13:$I13,Demographics!$C$43:$I$43,Demographics!$C$45:$I$45)</f>
        <v>0.171229716326272</v>
      </c>
      <c r="AE13" s="143" t="n">
        <f aca="false">SUMPRODUCT(Demographics!$C13:$I13,Demographics!$C$43:$I$43,Demographics!$C$46:$I$46)</f>
        <v>0.0909023453809417</v>
      </c>
      <c r="AF13" s="143" t="n">
        <f aca="false">SUMPRODUCT(Demographics!$C13:$I13,Demographics!$C$43:$I$43,Demographics!$C$47:$I$47)</f>
        <v>0.152127964591669</v>
      </c>
      <c r="AG13" s="143" t="n">
        <f aca="false">SUMPRODUCT(Demographics!$C13:$I13,Demographics!$C$43:$I$43,Demographics!$C$48:$I$48)</f>
        <v>0.0607575774931526</v>
      </c>
      <c r="AH13" s="143" t="n">
        <f aca="false">SUMPRODUCT(Demographics!$C13:$I13,Demographics!$C$43:$I$43,Demographics!$C$49:$I$49)</f>
        <v>0</v>
      </c>
      <c r="AI13" s="143" t="n">
        <f aca="false">SUM(AC13:AH13)</f>
        <v>0.622189766335453</v>
      </c>
      <c r="AJ13" s="143" t="n">
        <f aca="false">$D$3*C13+$F$3*I13+$H$3*O13</f>
        <v>0.262438328365032</v>
      </c>
      <c r="AK13" s="143" t="n">
        <f aca="false">$D$3*D13+$F$3*J13+$H$3*P13</f>
        <v>0.248216881691624</v>
      </c>
      <c r="AL13" s="143" t="n">
        <f aca="false">$D$3*E13+$F$3*K13+$H$3*Q13</f>
        <v>0.119499062843511</v>
      </c>
      <c r="AM13" s="143" t="n">
        <f aca="false">$D$3*F13+$F$3*L13+$H$3*R13</f>
        <v>0.283812156290258</v>
      </c>
      <c r="AN13" s="143" t="n">
        <f aca="false">$D$3*G13+$F$3*M13+$H$3*S13</f>
        <v>0.0860335708095749</v>
      </c>
      <c r="AO13" s="143" t="n">
        <f aca="false">$D$3*H13+$F$3*N13+$H$3*T13</f>
        <v>0</v>
      </c>
      <c r="AP13" s="143" t="n">
        <f aca="false">SUM(AJ13:AO13)</f>
        <v>1</v>
      </c>
      <c r="AR13" s="143" t="n">
        <f aca="false">MAX(0.0002,U13+Incumbency!C$20*Incumbency!$C$6+'Tactical &amp; Candidate'!C$12/100)</f>
        <v>0.262438328365032</v>
      </c>
      <c r="AS13" s="143" t="n">
        <f aca="false">MAX(0.0002,V13+Incumbency!D$20*Incumbency!$C$6+'Tactical &amp; Candidate'!D$12/100)</f>
        <v>0.272216881691624</v>
      </c>
      <c r="AT13" s="143" t="n">
        <f aca="false">MAX(0.0002,W13+Incumbency!E$20*Incumbency!$C$6+'Tactical &amp; Candidate'!E$12/100)</f>
        <v>0.119499062843511</v>
      </c>
      <c r="AU13" s="143" t="n">
        <f aca="false">MAX(0.0002,X13+Incumbency!F$20*Incumbency!$C$6+'Tactical &amp; Candidate'!F$12/100)</f>
        <v>0.283812156290258</v>
      </c>
      <c r="AV13" s="143" t="n">
        <f aca="false">MAX(0.0002,Y13+Incumbency!G$20*Incumbency!$C$6+'Tactical &amp; Candidate'!G$12/100)</f>
        <v>0.0860335708095749</v>
      </c>
      <c r="AW13" s="143" t="n">
        <f aca="false">MAX(0.0002,Z13+Incumbency!H$20*Incumbency!$C$6+'Tactical &amp; Candidate'!H$12/100)</f>
        <v>0.0002</v>
      </c>
      <c r="AX13" s="143" t="n">
        <f aca="false">SUM(AR13:AW13)</f>
        <v>1.0242</v>
      </c>
      <c r="AY13" s="143" t="n">
        <f aca="false">AR13/$AX13</f>
        <v>0.256237383679976</v>
      </c>
      <c r="AZ13" s="143" t="n">
        <f aca="false">AS13/$AX13</f>
        <v>0.265784887416153</v>
      </c>
      <c r="BA13" s="143" t="n">
        <f aca="false">AT13/$AX13</f>
        <v>0.11667551537152</v>
      </c>
      <c r="BB13" s="143" t="n">
        <f aca="false">AU13/$AX13</f>
        <v>0.27710618657514</v>
      </c>
      <c r="BC13" s="143" t="n">
        <f aca="false">AV13/$AX13</f>
        <v>0.0840007525967339</v>
      </c>
      <c r="BD13" s="143" t="n">
        <f aca="false">AW13/$AX13</f>
        <v>0.000195274360476469</v>
      </c>
      <c r="BF13" s="143" t="n">
        <f aca="false">AY13*(1-'Tactical &amp; Candidate'!C$8)</f>
        <v>0.256237383679976</v>
      </c>
      <c r="BG13" s="143" t="n">
        <f aca="false">AZ13*(1-'Tactical &amp; Candidate'!D$8)</f>
        <v>0.265784887416153</v>
      </c>
      <c r="BH13" s="143" t="n">
        <f aca="false">BA13*(1-'Tactical &amp; Candidate'!E$8)</f>
        <v>0.11667551537152</v>
      </c>
      <c r="BI13" s="143" t="n">
        <f aca="false">BB13*(1-'Tactical &amp; Candidate'!F$8)</f>
        <v>0.27710618657514</v>
      </c>
      <c r="BJ13" s="143" t="n">
        <f aca="false">BC13*(1-'Tactical &amp; Candidate'!G$8)</f>
        <v>0.0840007525967339</v>
      </c>
      <c r="BK13" s="143" t="n">
        <f aca="false">BD13*(1-'Tactical &amp; Candidate'!H$8)</f>
        <v>0.000195274360476469</v>
      </c>
      <c r="BL13" s="143" t="n">
        <f aca="false">LARGE(AY13:BD13,2)</f>
        <v>0.265784887416153</v>
      </c>
      <c r="BM13" s="143" t="n">
        <f aca="false">SUMPRODUCT((AY13:BD13&lt;$BL13)*AY13:BD13)*'Tactical &amp; Candidate'!$C$6</f>
        <v>0</v>
      </c>
      <c r="BN13" s="143" t="n">
        <f aca="false">MAX(BF13:BK13)</f>
        <v>0.27710618657514</v>
      </c>
      <c r="BO13" s="144" t="n">
        <f aca="false">SUMPRODUCT((BF13:BK13=$BN13)*1)</f>
        <v>1</v>
      </c>
      <c r="BQ13" s="143" t="n">
        <f aca="false">AY13*(1-'Tactical &amp; Candidate'!$C$6*(AY13&lt;$BL13))+IF(BF13=$BN13,$BM13/$BO13,0)</f>
        <v>0.256237383679976</v>
      </c>
      <c r="BR13" s="143" t="n">
        <f aca="false">AZ13*(1-'Tactical &amp; Candidate'!$C$6*(AZ13&lt;$BL13))+IF(BG13=$BN13,$BM13/$BO13,0)</f>
        <v>0.265784887416153</v>
      </c>
      <c r="BS13" s="143" t="n">
        <f aca="false">BA13*(1-'Tactical &amp; Candidate'!$C$6*(BA13&lt;$BL13))+IF(BH13=$BN13,$BM13/$BO13,0)</f>
        <v>0.11667551537152</v>
      </c>
      <c r="BT13" s="143" t="n">
        <f aca="false">BB13*(1-'Tactical &amp; Candidate'!$C$6*(BB13&lt;$BL13))+IF(BI13=$BN13,$BM13/$BO13,0)</f>
        <v>0.27710618657514</v>
      </c>
      <c r="BU13" s="143" t="n">
        <f aca="false">BC13*(1-'Tactical &amp; Candidate'!$C$6*(BC13&lt;$BL13))+IF(BJ13=$BN13,$BM13/$BO13,0)</f>
        <v>0.0840007525967339</v>
      </c>
      <c r="BV13" s="143" t="n">
        <f aca="false">BD13*(1-'Tactical &amp; Candidate'!$C$6*(BD13&lt;$BL13))+IF(BK13=$BN13,$BM13/$BO13,0)</f>
        <v>0.000195274360476469</v>
      </c>
      <c r="BW13" s="143" t="n">
        <f aca="false">SUM(BQ13:BV13)</f>
        <v>1</v>
      </c>
      <c r="BX13" s="143" t="n">
        <f aca="false">BQ13/$BW13</f>
        <v>0.256237383679976</v>
      </c>
      <c r="BY13" s="143" t="n">
        <f aca="false">BR13/$BW13</f>
        <v>0.265784887416153</v>
      </c>
      <c r="BZ13" s="143" t="n">
        <f aca="false">BS13/$BW13</f>
        <v>0.11667551537152</v>
      </c>
      <c r="CA13" s="143" t="n">
        <f aca="false">BT13/$BW13</f>
        <v>0.27710618657514</v>
      </c>
      <c r="CB13" s="143" t="n">
        <f aca="false">BU13/$BW13</f>
        <v>0.0840007525967339</v>
      </c>
      <c r="CC13" s="143" t="n">
        <f aca="false">BV13/$BW13</f>
        <v>0.000195274360476469</v>
      </c>
    </row>
    <row r="14" customFormat="false" ht="15" hidden="false" customHeight="false" outlineLevel="0" collapsed="false">
      <c r="B14" s="21" t="s">
        <v>52</v>
      </c>
      <c r="C14" s="145" t="n">
        <f aca="false">AC14/$AI14</f>
        <v>0.214342302960464</v>
      </c>
      <c r="D14" s="146" t="n">
        <f aca="false">AD14/$AI14</f>
        <v>0.335241950898165</v>
      </c>
      <c r="E14" s="147" t="n">
        <f aca="false">AE14/$AI14</f>
        <v>0.176824519920763</v>
      </c>
      <c r="F14" s="148" t="n">
        <f aca="false">AF14/$AI14</f>
        <v>0.183508076992333</v>
      </c>
      <c r="G14" s="149" t="n">
        <f aca="false">AG14/$AI14</f>
        <v>0.0900831492282742</v>
      </c>
      <c r="H14" s="150" t="n">
        <f aca="false">AH14/$AI14</f>
        <v>0</v>
      </c>
      <c r="I14" s="145" t="n">
        <f aca="false">$L$3*'Voting History'!C14+$M$3*'Voting History'!I14+$N$3*'Voting History'!O14</f>
        <v>0.196286138012157</v>
      </c>
      <c r="J14" s="146" t="n">
        <f aca="false">$L$3*'Voting History'!D14+$M$3*'Voting History'!J14+$N$3*'Voting History'!P14</f>
        <v>0.43242870513149</v>
      </c>
      <c r="K14" s="147" t="n">
        <f aca="false">$L$3*'Voting History'!E14+$M$3*'Voting History'!K14+$N$3*'Voting History'!Q14</f>
        <v>0.15876856569614</v>
      </c>
      <c r="L14" s="148" t="n">
        <f aca="false">$L$3*'Voting History'!F14+$M$3*'Voting History'!L14+$N$3*'Voting History'!R14</f>
        <v>0.152861027740704</v>
      </c>
      <c r="M14" s="149" t="n">
        <f aca="false">$L$3*'Voting History'!G14+$M$3*'Voting History'!M14+$N$3*'Voting History'!S14</f>
        <v>0.0596555634195096</v>
      </c>
      <c r="N14" s="150" t="n">
        <f aca="false">$L$3*'Voting History'!H14+$M$3*'Voting History'!N14+$N$3*'Voting History'!T14</f>
        <v>0</v>
      </c>
      <c r="O14" s="145" t="n">
        <f aca="false">Polling!C14</f>
        <v>0.231438984963838</v>
      </c>
      <c r="P14" s="146" t="n">
        <f aca="false">Polling!D14</f>
        <v>0.398265438586076</v>
      </c>
      <c r="Q14" s="147" t="n">
        <f aca="false">Polling!E14</f>
        <v>0.166441510643957</v>
      </c>
      <c r="R14" s="148" t="n">
        <f aca="false">Polling!F14</f>
        <v>0.144359975924537</v>
      </c>
      <c r="S14" s="149" t="n">
        <f aca="false">Polling!G14</f>
        <v>0.0594940898815928</v>
      </c>
      <c r="T14" s="150" t="n">
        <f aca="false">Polling!H14</f>
        <v>0</v>
      </c>
      <c r="U14" s="151" t="n">
        <f aca="false">AJ14/$AP14</f>
        <v>0.217521768624905</v>
      </c>
      <c r="V14" s="152" t="n">
        <f aca="false">AK14/$AP14</f>
        <v>0.387899208916056</v>
      </c>
      <c r="W14" s="153" t="n">
        <f aca="false">AL14/$AP14</f>
        <v>0.167638177190044</v>
      </c>
      <c r="X14" s="154" t="n">
        <f aca="false">AM14/$AP14</f>
        <v>0.158229669198917</v>
      </c>
      <c r="Y14" s="155" t="n">
        <f aca="false">AN14/$AP14</f>
        <v>0.0687111760700764</v>
      </c>
      <c r="Z14" s="156" t="n">
        <f aca="false">AO14/$AP14</f>
        <v>0</v>
      </c>
      <c r="AA14" s="64" t="n">
        <f aca="false">SUMPRODUCT(Demographics!$C14:$I14,Demographics!$C$43:$I$43)</f>
        <v>0.631946048354913</v>
      </c>
      <c r="AC14" s="143" t="n">
        <f aca="false">SUMPRODUCT(Demographics!$C14:$I14,Demographics!$C$43:$I$43,Demographics!$C$44:$I$44)</f>
        <v>0.135452771351157</v>
      </c>
      <c r="AD14" s="143" t="n">
        <f aca="false">SUMPRODUCT(Demographics!$C14:$I14,Demographics!$C$43:$I$43,Demographics!$C$45:$I$45)</f>
        <v>0.211854826112887</v>
      </c>
      <c r="AE14" s="143" t="n">
        <f aca="false">SUMPRODUCT(Demographics!$C14:$I14,Demographics!$C$43:$I$43,Demographics!$C$46:$I$46)</f>
        <v>0.111743556616181</v>
      </c>
      <c r="AF14" s="143" t="n">
        <f aca="false">SUMPRODUCT(Demographics!$C14:$I14,Demographics!$C$43:$I$43,Demographics!$C$47:$I$47)</f>
        <v>0.115967204096514</v>
      </c>
      <c r="AG14" s="143" t="n">
        <f aca="false">SUMPRODUCT(Demographics!$C14:$I14,Demographics!$C$43:$I$43,Demographics!$C$48:$I$48)</f>
        <v>0.0569276901781738</v>
      </c>
      <c r="AH14" s="143" t="n">
        <f aca="false">SUMPRODUCT(Demographics!$C14:$I14,Demographics!$C$43:$I$43,Demographics!$C$49:$I$49)</f>
        <v>0</v>
      </c>
      <c r="AI14" s="143" t="n">
        <f aca="false">SUM(AC14:AH14)</f>
        <v>0.631946048354913</v>
      </c>
      <c r="AJ14" s="143" t="n">
        <f aca="false">$D$3*C14+$F$3*I14+$H$3*O14</f>
        <v>0.217521768624905</v>
      </c>
      <c r="AK14" s="143" t="n">
        <f aca="false">$D$3*D14+$F$3*J14+$H$3*P14</f>
        <v>0.387899208916056</v>
      </c>
      <c r="AL14" s="143" t="n">
        <f aca="false">$D$3*E14+$F$3*K14+$H$3*Q14</f>
        <v>0.167638177190044</v>
      </c>
      <c r="AM14" s="143" t="n">
        <f aca="false">$D$3*F14+$F$3*L14+$H$3*R14</f>
        <v>0.158229669198917</v>
      </c>
      <c r="AN14" s="143" t="n">
        <f aca="false">$D$3*G14+$F$3*M14+$H$3*S14</f>
        <v>0.0687111760700764</v>
      </c>
      <c r="AO14" s="143" t="n">
        <f aca="false">$D$3*H14+$F$3*N14+$H$3*T14</f>
        <v>0</v>
      </c>
      <c r="AP14" s="143" t="n">
        <f aca="false">SUM(AJ14:AO14)</f>
        <v>1</v>
      </c>
      <c r="AR14" s="143" t="n">
        <f aca="false">MAX(0.0002,U14+Incumbency!C$20*Incumbency!$C$6+'Tactical &amp; Candidate'!C$12/100)</f>
        <v>0.217521768624905</v>
      </c>
      <c r="AS14" s="143" t="n">
        <f aca="false">MAX(0.0002,V14+Incumbency!D$20*Incumbency!$C$6+'Tactical &amp; Candidate'!D$12/100)</f>
        <v>0.411899208916056</v>
      </c>
      <c r="AT14" s="143" t="n">
        <f aca="false">MAX(0.0002,W14+Incumbency!E$20*Incumbency!$C$6+'Tactical &amp; Candidate'!E$12/100)</f>
        <v>0.167638177190044</v>
      </c>
      <c r="AU14" s="143" t="n">
        <f aca="false">MAX(0.0002,X14+Incumbency!F$20*Incumbency!$C$6+'Tactical &amp; Candidate'!F$12/100)</f>
        <v>0.158229669198917</v>
      </c>
      <c r="AV14" s="143" t="n">
        <f aca="false">MAX(0.0002,Y14+Incumbency!G$20*Incumbency!$C$6+'Tactical &amp; Candidate'!G$12/100)</f>
        <v>0.0687111760700764</v>
      </c>
      <c r="AW14" s="143" t="n">
        <f aca="false">MAX(0.0002,Z14+Incumbency!H$20*Incumbency!$C$6+'Tactical &amp; Candidate'!H$12/100)</f>
        <v>0.0002</v>
      </c>
      <c r="AX14" s="143" t="n">
        <f aca="false">SUM(AR14:AW14)</f>
        <v>1.0242</v>
      </c>
      <c r="AY14" s="143" t="n">
        <f aca="false">AR14/$AX14</f>
        <v>0.212382121289695</v>
      </c>
      <c r="AZ14" s="143" t="n">
        <f aca="false">AS14/$AX14</f>
        <v>0.402166773009233</v>
      </c>
      <c r="BA14" s="143" t="n">
        <f aca="false">AT14/$AX14</f>
        <v>0.163677189211135</v>
      </c>
      <c r="BB14" s="143" t="n">
        <f aca="false">AU14/$AX14</f>
        <v>0.15449098730611</v>
      </c>
      <c r="BC14" s="143" t="n">
        <f aca="false">AV14/$AX14</f>
        <v>0.0670876548233513</v>
      </c>
      <c r="BD14" s="143" t="n">
        <f aca="false">AW14/$AX14</f>
        <v>0.000195274360476469</v>
      </c>
      <c r="BF14" s="143" t="n">
        <f aca="false">AY14*(1-'Tactical &amp; Candidate'!C$8)</f>
        <v>0.212382121289695</v>
      </c>
      <c r="BG14" s="143" t="n">
        <f aca="false">AZ14*(1-'Tactical &amp; Candidate'!D$8)</f>
        <v>0.402166773009233</v>
      </c>
      <c r="BH14" s="143" t="n">
        <f aca="false">BA14*(1-'Tactical &amp; Candidate'!E$8)</f>
        <v>0.163677189211135</v>
      </c>
      <c r="BI14" s="143" t="n">
        <f aca="false">BB14*(1-'Tactical &amp; Candidate'!F$8)</f>
        <v>0.15449098730611</v>
      </c>
      <c r="BJ14" s="143" t="n">
        <f aca="false">BC14*(1-'Tactical &amp; Candidate'!G$8)</f>
        <v>0.0670876548233513</v>
      </c>
      <c r="BK14" s="143" t="n">
        <f aca="false">BD14*(1-'Tactical &amp; Candidate'!H$8)</f>
        <v>0.000195274360476469</v>
      </c>
      <c r="BL14" s="143" t="n">
        <f aca="false">LARGE(AY14:BD14,2)</f>
        <v>0.212382121289695</v>
      </c>
      <c r="BM14" s="143" t="n">
        <f aca="false">SUMPRODUCT((AY14:BD14&lt;$BL14)*AY14:BD14)*'Tactical &amp; Candidate'!$C$6</f>
        <v>0</v>
      </c>
      <c r="BN14" s="143" t="n">
        <f aca="false">MAX(BF14:BK14)</f>
        <v>0.402166773009233</v>
      </c>
      <c r="BO14" s="144" t="n">
        <f aca="false">SUMPRODUCT((BF14:BK14=$BN14)*1)</f>
        <v>1</v>
      </c>
      <c r="BQ14" s="143" t="n">
        <f aca="false">AY14*(1-'Tactical &amp; Candidate'!$C$6*(AY14&lt;$BL14))+IF(BF14=$BN14,$BM14/$BO14,0)</f>
        <v>0.212382121289695</v>
      </c>
      <c r="BR14" s="143" t="n">
        <f aca="false">AZ14*(1-'Tactical &amp; Candidate'!$C$6*(AZ14&lt;$BL14))+IF(BG14=$BN14,$BM14/$BO14,0)</f>
        <v>0.402166773009233</v>
      </c>
      <c r="BS14" s="143" t="n">
        <f aca="false">BA14*(1-'Tactical &amp; Candidate'!$C$6*(BA14&lt;$BL14))+IF(BH14=$BN14,$BM14/$BO14,0)</f>
        <v>0.163677189211135</v>
      </c>
      <c r="BT14" s="143" t="n">
        <f aca="false">BB14*(1-'Tactical &amp; Candidate'!$C$6*(BB14&lt;$BL14))+IF(BI14=$BN14,$BM14/$BO14,0)</f>
        <v>0.15449098730611</v>
      </c>
      <c r="BU14" s="143" t="n">
        <f aca="false">BC14*(1-'Tactical &amp; Candidate'!$C$6*(BC14&lt;$BL14))+IF(BJ14=$BN14,$BM14/$BO14,0)</f>
        <v>0.0670876548233513</v>
      </c>
      <c r="BV14" s="143" t="n">
        <f aca="false">BD14*(1-'Tactical &amp; Candidate'!$C$6*(BD14&lt;$BL14))+IF(BK14=$BN14,$BM14/$BO14,0)</f>
        <v>0.000195274360476469</v>
      </c>
      <c r="BW14" s="143" t="n">
        <f aca="false">SUM(BQ14:BV14)</f>
        <v>1</v>
      </c>
      <c r="BX14" s="143" t="n">
        <f aca="false">BQ14/$BW14</f>
        <v>0.212382121289695</v>
      </c>
      <c r="BY14" s="143" t="n">
        <f aca="false">BR14/$BW14</f>
        <v>0.402166773009233</v>
      </c>
      <c r="BZ14" s="143" t="n">
        <f aca="false">BS14/$BW14</f>
        <v>0.163677189211135</v>
      </c>
      <c r="CA14" s="143" t="n">
        <f aca="false">BT14/$BW14</f>
        <v>0.15449098730611</v>
      </c>
      <c r="CB14" s="143" t="n">
        <f aca="false">BU14/$BW14</f>
        <v>0.0670876548233513</v>
      </c>
      <c r="CC14" s="143" t="n">
        <f aca="false">BV14/$BW14</f>
        <v>0.000195274360476469</v>
      </c>
    </row>
    <row r="15" customFormat="false" ht="15" hidden="false" customHeight="false" outlineLevel="0" collapsed="false">
      <c r="B15" s="9" t="s">
        <v>53</v>
      </c>
      <c r="C15" s="132" t="n">
        <f aca="false">AC15/$AI15</f>
        <v>0.2314330917077</v>
      </c>
      <c r="D15" s="133" t="n">
        <f aca="false">AD15/$AI15</f>
        <v>0.291695106350241</v>
      </c>
      <c r="E15" s="134" t="n">
        <f aca="false">AE15/$AI15</f>
        <v>0.185417055340687</v>
      </c>
      <c r="F15" s="130" t="n">
        <f aca="false">AF15/$AI15</f>
        <v>0.196080386212961</v>
      </c>
      <c r="G15" s="135" t="n">
        <f aca="false">AG15/$AI15</f>
        <v>0.0953743603884119</v>
      </c>
      <c r="H15" s="136" t="n">
        <f aca="false">AH15/$AI15</f>
        <v>0</v>
      </c>
      <c r="I15" s="132" t="n">
        <f aca="false">$L$3*'Voting History'!C15+$M$3*'Voting History'!I15+$N$3*'Voting History'!O15</f>
        <v>0.302875157392046</v>
      </c>
      <c r="J15" s="133" t="n">
        <f aca="false">$L$3*'Voting History'!D15+$M$3*'Voting History'!J15+$N$3*'Voting History'!P15</f>
        <v>0.332168223731627</v>
      </c>
      <c r="K15" s="134" t="n">
        <f aca="false">$L$3*'Voting History'!E15+$M$3*'Voting History'!K15+$N$3*'Voting History'!Q15</f>
        <v>0.168597594992729</v>
      </c>
      <c r="L15" s="130" t="n">
        <f aca="false">$L$3*'Voting History'!F15+$M$3*'Voting History'!L15+$N$3*'Voting History'!R15</f>
        <v>0.128320321498535</v>
      </c>
      <c r="M15" s="135" t="n">
        <f aca="false">$L$3*'Voting History'!G15+$M$3*'Voting History'!M15+$N$3*'Voting History'!S15</f>
        <v>0.0680387023850637</v>
      </c>
      <c r="N15" s="136" t="n">
        <f aca="false">$L$3*'Voting History'!H15+$M$3*'Voting History'!N15+$N$3*'Voting History'!T15</f>
        <v>0</v>
      </c>
      <c r="O15" s="132" t="n">
        <f aca="false">Polling!C15</f>
        <v>0.308446147321489</v>
      </c>
      <c r="P15" s="133" t="n">
        <f aca="false">Polling!D15</f>
        <v>0.354980075355748</v>
      </c>
      <c r="Q15" s="134" t="n">
        <f aca="false">Polling!E15</f>
        <v>0.148293366432061</v>
      </c>
      <c r="R15" s="130" t="n">
        <f aca="false">Polling!F15</f>
        <v>0.126756560873865</v>
      </c>
      <c r="S15" s="135" t="n">
        <f aca="false">Polling!G15</f>
        <v>0.0615238500168381</v>
      </c>
      <c r="T15" s="136" t="n">
        <f aca="false">Polling!H15</f>
        <v>0</v>
      </c>
      <c r="U15" s="137" t="n">
        <f aca="false">AJ15/$AP15</f>
        <v>0.283949483154991</v>
      </c>
      <c r="V15" s="138" t="n">
        <f aca="false">AK15/$AP15</f>
        <v>0.330291621748066</v>
      </c>
      <c r="W15" s="139" t="n">
        <f aca="false">AL15/$AP15</f>
        <v>0.164506530244816</v>
      </c>
      <c r="X15" s="140" t="n">
        <f aca="false">AM15/$AP15</f>
        <v>0.147944648631761</v>
      </c>
      <c r="Y15" s="141" t="n">
        <f aca="false">AN15/$AP15</f>
        <v>0.0733077162203666</v>
      </c>
      <c r="Z15" s="142" t="n">
        <f aca="false">AO15/$AP15</f>
        <v>0</v>
      </c>
      <c r="AA15" s="53" t="n">
        <f aca="false">SUMPRODUCT(Demographics!$C15:$I15,Demographics!$C$43:$I$43)</f>
        <v>0.643774820788182</v>
      </c>
      <c r="AC15" s="143" t="n">
        <f aca="false">SUMPRODUCT(Demographics!$C15:$I15,Demographics!$C$43:$I$43,Demographics!$C$44:$I$44)</f>
        <v>0.148990797138579</v>
      </c>
      <c r="AD15" s="143" t="n">
        <f aca="false">SUMPRODUCT(Demographics!$C15:$I15,Demographics!$C$43:$I$43,Demographics!$C$45:$I$45)</f>
        <v>0.187785964815416</v>
      </c>
      <c r="AE15" s="143" t="n">
        <f aca="false">SUMPRODUCT(Demographics!$C15:$I15,Demographics!$C$43:$I$43,Demographics!$C$46:$I$46)</f>
        <v>0.119366831573023</v>
      </c>
      <c r="AF15" s="143" t="n">
        <f aca="false">SUMPRODUCT(Demographics!$C15:$I15,Demographics!$C$43:$I$43,Demographics!$C$47:$I$47)</f>
        <v>0.126231615494326</v>
      </c>
      <c r="AG15" s="143" t="n">
        <f aca="false">SUMPRODUCT(Demographics!$C15:$I15,Demographics!$C$43:$I$43,Demographics!$C$48:$I$48)</f>
        <v>0.0613996117668374</v>
      </c>
      <c r="AH15" s="143" t="n">
        <f aca="false">SUMPRODUCT(Demographics!$C15:$I15,Demographics!$C$43:$I$43,Demographics!$C$49:$I$49)</f>
        <v>0</v>
      </c>
      <c r="AI15" s="143" t="n">
        <f aca="false">SUM(AC15:AH15)</f>
        <v>0.643774820788182</v>
      </c>
      <c r="AJ15" s="143" t="n">
        <f aca="false">$D$3*C15+$F$3*I15+$H$3*O15</f>
        <v>0.283949483154991</v>
      </c>
      <c r="AK15" s="143" t="n">
        <f aca="false">$D$3*D15+$F$3*J15+$H$3*P15</f>
        <v>0.330291621748065</v>
      </c>
      <c r="AL15" s="143" t="n">
        <f aca="false">$D$3*E15+$F$3*K15+$H$3*Q15</f>
        <v>0.164506530244816</v>
      </c>
      <c r="AM15" s="143" t="n">
        <f aca="false">$D$3*F15+$F$3*L15+$H$3*R15</f>
        <v>0.147944648631761</v>
      </c>
      <c r="AN15" s="143" t="n">
        <f aca="false">$D$3*G15+$F$3*M15+$H$3*S15</f>
        <v>0.0733077162203666</v>
      </c>
      <c r="AO15" s="143" t="n">
        <f aca="false">$D$3*H15+$F$3*N15+$H$3*T15</f>
        <v>0</v>
      </c>
      <c r="AP15" s="143" t="n">
        <f aca="false">SUM(AJ15:AO15)</f>
        <v>1</v>
      </c>
      <c r="AR15" s="143" t="n">
        <f aca="false">MAX(0.0002,U15+Incumbency!C$20*Incumbency!$C$6+'Tactical &amp; Candidate'!C$12/100)</f>
        <v>0.283949483154991</v>
      </c>
      <c r="AS15" s="143" t="n">
        <f aca="false">MAX(0.0002,V15+Incumbency!D$20*Incumbency!$C$6+'Tactical &amp; Candidate'!D$12/100)</f>
        <v>0.354291621748066</v>
      </c>
      <c r="AT15" s="143" t="n">
        <f aca="false">MAX(0.0002,W15+Incumbency!E$20*Incumbency!$C$6+'Tactical &amp; Candidate'!E$12/100)</f>
        <v>0.164506530244816</v>
      </c>
      <c r="AU15" s="143" t="n">
        <f aca="false">MAX(0.0002,X15+Incumbency!F$20*Incumbency!$C$6+'Tactical &amp; Candidate'!F$12/100)</f>
        <v>0.147944648631761</v>
      </c>
      <c r="AV15" s="143" t="n">
        <f aca="false">MAX(0.0002,Y15+Incumbency!G$20*Incumbency!$C$6+'Tactical &amp; Candidate'!G$12/100)</f>
        <v>0.0733077162203666</v>
      </c>
      <c r="AW15" s="143" t="n">
        <f aca="false">MAX(0.0002,Z15+Incumbency!H$20*Incumbency!$C$6+'Tactical &amp; Candidate'!H$12/100)</f>
        <v>0.0002</v>
      </c>
      <c r="AX15" s="143" t="n">
        <f aca="false">SUM(AR15:AW15)</f>
        <v>1.0242</v>
      </c>
      <c r="AY15" s="143" t="n">
        <f aca="false">AR15/$AX15</f>
        <v>0.277240268653575</v>
      </c>
      <c r="AZ15" s="143" t="n">
        <f aca="false">AS15/$AX15</f>
        <v>0.345920349295123</v>
      </c>
      <c r="BA15" s="143" t="n">
        <f aca="false">AT15/$AX15</f>
        <v>0.160619537438797</v>
      </c>
      <c r="BB15" s="143" t="n">
        <f aca="false">AU15/$AX15</f>
        <v>0.144448983237416</v>
      </c>
      <c r="BC15" s="143" t="n">
        <f aca="false">AV15/$AX15</f>
        <v>0.071575587014613</v>
      </c>
      <c r="BD15" s="143" t="n">
        <f aca="false">AW15/$AX15</f>
        <v>0.000195274360476469</v>
      </c>
      <c r="BF15" s="143" t="n">
        <f aca="false">AY15*(1-'Tactical &amp; Candidate'!C$8)</f>
        <v>0.277240268653575</v>
      </c>
      <c r="BG15" s="143" t="n">
        <f aca="false">AZ15*(1-'Tactical &amp; Candidate'!D$8)</f>
        <v>0.345920349295123</v>
      </c>
      <c r="BH15" s="143" t="n">
        <f aca="false">BA15*(1-'Tactical &amp; Candidate'!E$8)</f>
        <v>0.160619537438797</v>
      </c>
      <c r="BI15" s="143" t="n">
        <f aca="false">BB15*(1-'Tactical &amp; Candidate'!F$8)</f>
        <v>0.144448983237416</v>
      </c>
      <c r="BJ15" s="143" t="n">
        <f aca="false">BC15*(1-'Tactical &amp; Candidate'!G$8)</f>
        <v>0.071575587014613</v>
      </c>
      <c r="BK15" s="143" t="n">
        <f aca="false">BD15*(1-'Tactical &amp; Candidate'!H$8)</f>
        <v>0.000195274360476469</v>
      </c>
      <c r="BL15" s="143" t="n">
        <f aca="false">LARGE(AY15:BD15,2)</f>
        <v>0.277240268653575</v>
      </c>
      <c r="BM15" s="143" t="n">
        <f aca="false">SUMPRODUCT((AY15:BD15&lt;$BL15)*AY15:BD15)*'Tactical &amp; Candidate'!$C$6</f>
        <v>0</v>
      </c>
      <c r="BN15" s="143" t="n">
        <f aca="false">MAX(BF15:BK15)</f>
        <v>0.345920349295123</v>
      </c>
      <c r="BO15" s="144" t="n">
        <f aca="false">SUMPRODUCT((BF15:BK15=$BN15)*1)</f>
        <v>1</v>
      </c>
      <c r="BQ15" s="143" t="n">
        <f aca="false">AY15*(1-'Tactical &amp; Candidate'!$C$6*(AY15&lt;$BL15))+IF(BF15=$BN15,$BM15/$BO15,0)</f>
        <v>0.277240268653575</v>
      </c>
      <c r="BR15" s="143" t="n">
        <f aca="false">AZ15*(1-'Tactical &amp; Candidate'!$C$6*(AZ15&lt;$BL15))+IF(BG15=$BN15,$BM15/$BO15,0)</f>
        <v>0.345920349295123</v>
      </c>
      <c r="BS15" s="143" t="n">
        <f aca="false">BA15*(1-'Tactical &amp; Candidate'!$C$6*(BA15&lt;$BL15))+IF(BH15=$BN15,$BM15/$BO15,0)</f>
        <v>0.160619537438797</v>
      </c>
      <c r="BT15" s="143" t="n">
        <f aca="false">BB15*(1-'Tactical &amp; Candidate'!$C$6*(BB15&lt;$BL15))+IF(BI15=$BN15,$BM15/$BO15,0)</f>
        <v>0.144448983237416</v>
      </c>
      <c r="BU15" s="143" t="n">
        <f aca="false">BC15*(1-'Tactical &amp; Candidate'!$C$6*(BC15&lt;$BL15))+IF(BJ15=$BN15,$BM15/$BO15,0)</f>
        <v>0.071575587014613</v>
      </c>
      <c r="BV15" s="143" t="n">
        <f aca="false">BD15*(1-'Tactical &amp; Candidate'!$C$6*(BD15&lt;$BL15))+IF(BK15=$BN15,$BM15/$BO15,0)</f>
        <v>0.000195274360476469</v>
      </c>
      <c r="BW15" s="143" t="n">
        <f aca="false">SUM(BQ15:BV15)</f>
        <v>1</v>
      </c>
      <c r="BX15" s="143" t="n">
        <f aca="false">BQ15/$BW15</f>
        <v>0.277240268653575</v>
      </c>
      <c r="BY15" s="143" t="n">
        <f aca="false">BR15/$BW15</f>
        <v>0.345920349295123</v>
      </c>
      <c r="BZ15" s="143" t="n">
        <f aca="false">BS15/$BW15</f>
        <v>0.160619537438797</v>
      </c>
      <c r="CA15" s="143" t="n">
        <f aca="false">BT15/$BW15</f>
        <v>0.144448983237416</v>
      </c>
      <c r="CB15" s="143" t="n">
        <f aca="false">BU15/$BW15</f>
        <v>0.071575587014613</v>
      </c>
      <c r="CC15" s="143" t="n">
        <f aca="false">BV15/$BW15</f>
        <v>0.000195274360476469</v>
      </c>
    </row>
    <row r="16" customFormat="false" ht="15" hidden="false" customHeight="false" outlineLevel="0" collapsed="false">
      <c r="B16" s="21" t="s">
        <v>54</v>
      </c>
      <c r="C16" s="145" t="n">
        <f aca="false">AC16/$AI16</f>
        <v>0.232776745841404</v>
      </c>
      <c r="D16" s="146" t="n">
        <f aca="false">AD16/$AI16</f>
        <v>0.290350349717794</v>
      </c>
      <c r="E16" s="147" t="n">
        <f aca="false">AE16/$AI16</f>
        <v>0.204588131017439</v>
      </c>
      <c r="F16" s="148" t="n">
        <f aca="false">AF16/$AI16</f>
        <v>0.176910192535203</v>
      </c>
      <c r="G16" s="149" t="n">
        <f aca="false">AG16/$AI16</f>
        <v>0.0953745808881605</v>
      </c>
      <c r="H16" s="150" t="n">
        <f aca="false">AH16/$AI16</f>
        <v>0</v>
      </c>
      <c r="I16" s="145" t="n">
        <f aca="false">$L$3*'Voting History'!C16+$M$3*'Voting History'!I16+$N$3*'Voting History'!O16</f>
        <v>0.266930665041759</v>
      </c>
      <c r="J16" s="146" t="n">
        <f aca="false">$L$3*'Voting History'!D16+$M$3*'Voting History'!J16+$N$3*'Voting History'!P16</f>
        <v>0.370414408308365</v>
      </c>
      <c r="K16" s="147" t="n">
        <f aca="false">$L$3*'Voting History'!E16+$M$3*'Voting History'!K16+$N$3*'Voting History'!Q16</f>
        <v>0.18597966313187</v>
      </c>
      <c r="L16" s="148" t="n">
        <f aca="false">$L$3*'Voting History'!F16+$M$3*'Voting History'!L16+$N$3*'Voting History'!R16</f>
        <v>0.118152323336545</v>
      </c>
      <c r="M16" s="149" t="n">
        <f aca="false">$L$3*'Voting History'!G16+$M$3*'Voting History'!M16+$N$3*'Voting History'!S16</f>
        <v>0.0585229401814616</v>
      </c>
      <c r="N16" s="150" t="n">
        <f aca="false">$L$3*'Voting History'!H16+$M$3*'Voting History'!N16+$N$3*'Voting History'!T16</f>
        <v>0</v>
      </c>
      <c r="O16" s="145" t="n">
        <f aca="false">Polling!C16</f>
        <v>0.248735416511717</v>
      </c>
      <c r="P16" s="146" t="n">
        <f aca="false">Polling!D16</f>
        <v>0.394119829089836</v>
      </c>
      <c r="Q16" s="147" t="n">
        <f aca="false">Polling!E16</f>
        <v>0.183684889594925</v>
      </c>
      <c r="R16" s="148" t="n">
        <f aca="false">Polling!F16</f>
        <v>0.119950830711431</v>
      </c>
      <c r="S16" s="149" t="n">
        <f aca="false">Polling!G16</f>
        <v>0.0535090340920902</v>
      </c>
      <c r="T16" s="150" t="n">
        <f aca="false">Polling!H16</f>
        <v>0</v>
      </c>
      <c r="U16" s="151" t="n">
        <f aca="false">AJ16/$AP16</f>
        <v>0.248496627443134</v>
      </c>
      <c r="V16" s="152" t="n">
        <f aca="false">AK16/$AP16</f>
        <v>0.357062630082856</v>
      </c>
      <c r="W16" s="153" t="n">
        <f aca="false">AL16/$AP16</f>
        <v>0.190529555405916</v>
      </c>
      <c r="X16" s="154" t="n">
        <f aca="false">AM16/$AP16</f>
        <v>0.136589012414841</v>
      </c>
      <c r="Y16" s="155" t="n">
        <f aca="false">AN16/$AP16</f>
        <v>0.0673221746532541</v>
      </c>
      <c r="Z16" s="156" t="n">
        <f aca="false">AO16/$AP16</f>
        <v>0</v>
      </c>
      <c r="AA16" s="64" t="n">
        <f aca="false">SUMPRODUCT(Demographics!$C16:$I16,Demographics!$C$43:$I$43)</f>
        <v>0.651062247883145</v>
      </c>
      <c r="AC16" s="143" t="n">
        <f aca="false">SUMPRODUCT(Demographics!$C16:$I16,Demographics!$C$43:$I$43,Demographics!$C$44:$I$44)</f>
        <v>0.151552151402428</v>
      </c>
      <c r="AD16" s="143" t="n">
        <f aca="false">SUMPRODUCT(Demographics!$C16:$I16,Demographics!$C$43:$I$43,Demographics!$C$45:$I$45)</f>
        <v>0.189036151360924</v>
      </c>
      <c r="AE16" s="143" t="n">
        <f aca="false">SUMPRODUCT(Demographics!$C16:$I16,Demographics!$C$43:$I$43,Demographics!$C$46:$I$46)</f>
        <v>0.133199608470425</v>
      </c>
      <c r="AF16" s="143" t="n">
        <f aca="false">SUMPRODUCT(Demographics!$C16:$I16,Demographics!$C$43:$I$43,Demographics!$C$47:$I$47)</f>
        <v>0.115179547625409</v>
      </c>
      <c r="AG16" s="143" t="n">
        <f aca="false">SUMPRODUCT(Demographics!$C16:$I16,Demographics!$C$43:$I$43,Demographics!$C$48:$I$48)</f>
        <v>0.0620947890239586</v>
      </c>
      <c r="AH16" s="143" t="n">
        <f aca="false">SUMPRODUCT(Demographics!$C16:$I16,Demographics!$C$43:$I$43,Demographics!$C$49:$I$49)</f>
        <v>0</v>
      </c>
      <c r="AI16" s="143" t="n">
        <f aca="false">SUM(AC16:AH16)</f>
        <v>0.651062247883145</v>
      </c>
      <c r="AJ16" s="143" t="n">
        <f aca="false">$D$3*C16+$F$3*I16+$H$3*O16</f>
        <v>0.248496627443134</v>
      </c>
      <c r="AK16" s="143" t="n">
        <f aca="false">$D$3*D16+$F$3*J16+$H$3*P16</f>
        <v>0.357062630082856</v>
      </c>
      <c r="AL16" s="143" t="n">
        <f aca="false">$D$3*E16+$F$3*K16+$H$3*Q16</f>
        <v>0.190529555405916</v>
      </c>
      <c r="AM16" s="143" t="n">
        <f aca="false">$D$3*F16+$F$3*L16+$H$3*R16</f>
        <v>0.136589012414841</v>
      </c>
      <c r="AN16" s="143" t="n">
        <f aca="false">$D$3*G16+$F$3*M16+$H$3*S16</f>
        <v>0.0673221746532541</v>
      </c>
      <c r="AO16" s="143" t="n">
        <f aca="false">$D$3*H16+$F$3*N16+$H$3*T16</f>
        <v>0</v>
      </c>
      <c r="AP16" s="143" t="n">
        <f aca="false">SUM(AJ16:AO16)</f>
        <v>1</v>
      </c>
      <c r="AR16" s="143" t="n">
        <f aca="false">MAX(0.0002,U16+Incumbency!C$20*Incumbency!$C$6+'Tactical &amp; Candidate'!C$12/100)</f>
        <v>0.248496627443134</v>
      </c>
      <c r="AS16" s="143" t="n">
        <f aca="false">MAX(0.0002,V16+Incumbency!D$20*Incumbency!$C$6+'Tactical &amp; Candidate'!D$12/100)</f>
        <v>0.381062630082856</v>
      </c>
      <c r="AT16" s="143" t="n">
        <f aca="false">MAX(0.0002,W16+Incumbency!E$20*Incumbency!$C$6+'Tactical &amp; Candidate'!E$12/100)</f>
        <v>0.190529555405916</v>
      </c>
      <c r="AU16" s="143" t="n">
        <f aca="false">MAX(0.0002,X16+Incumbency!F$20*Incumbency!$C$6+'Tactical &amp; Candidate'!F$12/100)</f>
        <v>0.136589012414841</v>
      </c>
      <c r="AV16" s="143" t="n">
        <f aca="false">MAX(0.0002,Y16+Incumbency!G$20*Incumbency!$C$6+'Tactical &amp; Candidate'!G$12/100)</f>
        <v>0.0673221746532541</v>
      </c>
      <c r="AW16" s="143" t="n">
        <f aca="false">MAX(0.0002,Z16+Incumbency!H$20*Incumbency!$C$6+'Tactical &amp; Candidate'!H$12/100)</f>
        <v>0.0002</v>
      </c>
      <c r="AX16" s="143" t="n">
        <f aca="false">SUM(AR16:AW16)</f>
        <v>1.0242</v>
      </c>
      <c r="AY16" s="143" t="n">
        <f aca="false">AR16/$AX16</f>
        <v>0.242625100022587</v>
      </c>
      <c r="AZ16" s="143" t="n">
        <f aca="false">AS16/$AX16</f>
        <v>0.372058806954555</v>
      </c>
      <c r="BA16" s="143" t="n">
        <f aca="false">AT16/$AX16</f>
        <v>0.186027685418781</v>
      </c>
      <c r="BB16" s="143" t="n">
        <f aca="false">AU16/$AX16</f>
        <v>0.133361660237103</v>
      </c>
      <c r="BC16" s="143" t="n">
        <f aca="false">AV16/$AX16</f>
        <v>0.0657314730064969</v>
      </c>
      <c r="BD16" s="143" t="n">
        <f aca="false">AW16/$AX16</f>
        <v>0.000195274360476469</v>
      </c>
      <c r="BF16" s="143" t="n">
        <f aca="false">AY16*(1-'Tactical &amp; Candidate'!C$8)</f>
        <v>0.242625100022587</v>
      </c>
      <c r="BG16" s="143" t="n">
        <f aca="false">AZ16*(1-'Tactical &amp; Candidate'!D$8)</f>
        <v>0.372058806954555</v>
      </c>
      <c r="BH16" s="143" t="n">
        <f aca="false">BA16*(1-'Tactical &amp; Candidate'!E$8)</f>
        <v>0.186027685418781</v>
      </c>
      <c r="BI16" s="143" t="n">
        <f aca="false">BB16*(1-'Tactical &amp; Candidate'!F$8)</f>
        <v>0.133361660237103</v>
      </c>
      <c r="BJ16" s="143" t="n">
        <f aca="false">BC16*(1-'Tactical &amp; Candidate'!G$8)</f>
        <v>0.0657314730064969</v>
      </c>
      <c r="BK16" s="143" t="n">
        <f aca="false">BD16*(1-'Tactical &amp; Candidate'!H$8)</f>
        <v>0.000195274360476469</v>
      </c>
      <c r="BL16" s="143" t="n">
        <f aca="false">LARGE(AY16:BD16,2)</f>
        <v>0.242625100022587</v>
      </c>
      <c r="BM16" s="143" t="n">
        <f aca="false">SUMPRODUCT((AY16:BD16&lt;$BL16)*AY16:BD16)*'Tactical &amp; Candidate'!$C$6</f>
        <v>0</v>
      </c>
      <c r="BN16" s="143" t="n">
        <f aca="false">MAX(BF16:BK16)</f>
        <v>0.372058806954555</v>
      </c>
      <c r="BO16" s="144" t="n">
        <f aca="false">SUMPRODUCT((BF16:BK16=$BN16)*1)</f>
        <v>1</v>
      </c>
      <c r="BQ16" s="143" t="n">
        <f aca="false">AY16*(1-'Tactical &amp; Candidate'!$C$6*(AY16&lt;$BL16))+IF(BF16=$BN16,$BM16/$BO16,0)</f>
        <v>0.242625100022587</v>
      </c>
      <c r="BR16" s="143" t="n">
        <f aca="false">AZ16*(1-'Tactical &amp; Candidate'!$C$6*(AZ16&lt;$BL16))+IF(BG16=$BN16,$BM16/$BO16,0)</f>
        <v>0.372058806954555</v>
      </c>
      <c r="BS16" s="143" t="n">
        <f aca="false">BA16*(1-'Tactical &amp; Candidate'!$C$6*(BA16&lt;$BL16))+IF(BH16=$BN16,$BM16/$BO16,0)</f>
        <v>0.186027685418781</v>
      </c>
      <c r="BT16" s="143" t="n">
        <f aca="false">BB16*(1-'Tactical &amp; Candidate'!$C$6*(BB16&lt;$BL16))+IF(BI16=$BN16,$BM16/$BO16,0)</f>
        <v>0.133361660237103</v>
      </c>
      <c r="BU16" s="143" t="n">
        <f aca="false">BC16*(1-'Tactical &amp; Candidate'!$C$6*(BC16&lt;$BL16))+IF(BJ16=$BN16,$BM16/$BO16,0)</f>
        <v>0.0657314730064969</v>
      </c>
      <c r="BV16" s="143" t="n">
        <f aca="false">BD16*(1-'Tactical &amp; Candidate'!$C$6*(BD16&lt;$BL16))+IF(BK16=$BN16,$BM16/$BO16,0)</f>
        <v>0.000195274360476469</v>
      </c>
      <c r="BW16" s="143" t="n">
        <f aca="false">SUM(BQ16:BV16)</f>
        <v>1</v>
      </c>
      <c r="BX16" s="143" t="n">
        <f aca="false">BQ16/$BW16</f>
        <v>0.242625100022587</v>
      </c>
      <c r="BY16" s="143" t="n">
        <f aca="false">BR16/$BW16</f>
        <v>0.372058806954555</v>
      </c>
      <c r="BZ16" s="143" t="n">
        <f aca="false">BS16/$BW16</f>
        <v>0.186027685418781</v>
      </c>
      <c r="CA16" s="143" t="n">
        <f aca="false">BT16/$BW16</f>
        <v>0.133361660237103</v>
      </c>
      <c r="CB16" s="143" t="n">
        <f aca="false">BU16/$BW16</f>
        <v>0.0657314730064969</v>
      </c>
      <c r="CC16" s="143" t="n">
        <f aca="false">BV16/$BW16</f>
        <v>0.000195274360476469</v>
      </c>
    </row>
    <row r="17" customFormat="false" ht="15" hidden="false" customHeight="false" outlineLevel="0" collapsed="false">
      <c r="B17" s="9" t="s">
        <v>55</v>
      </c>
      <c r="C17" s="132" t="n">
        <f aca="false">AC17/$AI17</f>
        <v>0.223295068047544</v>
      </c>
      <c r="D17" s="133" t="n">
        <f aca="false">AD17/$AI17</f>
        <v>0.312511773738886</v>
      </c>
      <c r="E17" s="134" t="n">
        <f aca="false">AE17/$AI17</f>
        <v>0.17796125459198</v>
      </c>
      <c r="F17" s="130" t="n">
        <f aca="false">AF17/$AI17</f>
        <v>0.193393271978877</v>
      </c>
      <c r="G17" s="135" t="n">
        <f aca="false">AG17/$AI17</f>
        <v>0.0928386316427141</v>
      </c>
      <c r="H17" s="136" t="n">
        <f aca="false">AH17/$AI17</f>
        <v>0</v>
      </c>
      <c r="I17" s="132" t="n">
        <f aca="false">$L$3*'Voting History'!C17+$M$3*'Voting History'!I17+$N$3*'Voting History'!O17</f>
        <v>0.296945426365309</v>
      </c>
      <c r="J17" s="133" t="n">
        <f aca="false">$L$3*'Voting History'!D17+$M$3*'Voting History'!J17+$N$3*'Voting History'!P17</f>
        <v>0.371781594273993</v>
      </c>
      <c r="K17" s="134" t="n">
        <f aca="false">$L$3*'Voting History'!E17+$M$3*'Voting History'!K17+$N$3*'Voting History'!Q17</f>
        <v>0.136394803474268</v>
      </c>
      <c r="L17" s="130" t="n">
        <f aca="false">$L$3*'Voting History'!F17+$M$3*'Voting History'!L17+$N$3*'Voting History'!R17</f>
        <v>0.134662258165267</v>
      </c>
      <c r="M17" s="135" t="n">
        <f aca="false">$L$3*'Voting History'!G17+$M$3*'Voting History'!M17+$N$3*'Voting History'!S17</f>
        <v>0.0602159177211628</v>
      </c>
      <c r="N17" s="136" t="n">
        <f aca="false">$L$3*'Voting History'!H17+$M$3*'Voting History'!N17+$N$3*'Voting History'!T17</f>
        <v>0</v>
      </c>
      <c r="O17" s="132" t="n">
        <f aca="false">Polling!C17</f>
        <v>0.307835044565545</v>
      </c>
      <c r="P17" s="133" t="n">
        <f aca="false">Polling!D17</f>
        <v>0.347215713048653</v>
      </c>
      <c r="Q17" s="134" t="n">
        <f aca="false">Polling!E17</f>
        <v>0.145562515896291</v>
      </c>
      <c r="R17" s="130" t="n">
        <f aca="false">Polling!F17</f>
        <v>0.136904836641397</v>
      </c>
      <c r="S17" s="135" t="n">
        <f aca="false">Polling!G17</f>
        <v>0.0624818898481149</v>
      </c>
      <c r="T17" s="136" t="n">
        <f aca="false">Polling!H17</f>
        <v>0</v>
      </c>
      <c r="U17" s="137" t="n">
        <f aca="false">AJ17/$AP17</f>
        <v>0.279750647060085</v>
      </c>
      <c r="V17" s="138" t="n">
        <f aca="false">AK17/$AP17</f>
        <v>0.342946001562058</v>
      </c>
      <c r="W17" s="139" t="n">
        <f aca="false">AL17/$AP17</f>
        <v>0.152990209399492</v>
      </c>
      <c r="X17" s="140" t="n">
        <f aca="false">AM17/$AP17</f>
        <v>0.153290722623608</v>
      </c>
      <c r="Y17" s="141" t="n">
        <f aca="false">AN17/$AP17</f>
        <v>0.0710224193547566</v>
      </c>
      <c r="Z17" s="142" t="n">
        <f aca="false">AO17/$AP17</f>
        <v>0</v>
      </c>
      <c r="AA17" s="53" t="n">
        <f aca="false">SUMPRODUCT(Demographics!$C17:$I17,Demographics!$C$43:$I$43)</f>
        <v>0.632804436362764</v>
      </c>
      <c r="AC17" s="143" t="n">
        <f aca="false">SUMPRODUCT(Demographics!$C17:$I17,Demographics!$C$43:$I$43,Demographics!$C$44:$I$44)</f>
        <v>0.141302109678411</v>
      </c>
      <c r="AD17" s="143" t="n">
        <f aca="false">SUMPRODUCT(Demographics!$C17:$I17,Demographics!$C$43:$I$43,Demographics!$C$45:$I$45)</f>
        <v>0.197758836837563</v>
      </c>
      <c r="AE17" s="143" t="n">
        <f aca="false">SUMPRODUCT(Demographics!$C17:$I17,Demographics!$C$43:$I$43,Demographics!$C$46:$I$46)</f>
        <v>0.112614671406488</v>
      </c>
      <c r="AF17" s="143" t="n">
        <f aca="false">SUMPRODUCT(Demographics!$C17:$I17,Demographics!$C$43:$I$43,Demographics!$C$47:$I$47)</f>
        <v>0.122380120470944</v>
      </c>
      <c r="AG17" s="143" t="n">
        <f aca="false">SUMPRODUCT(Demographics!$C17:$I17,Demographics!$C$43:$I$43,Demographics!$C$48:$I$48)</f>
        <v>0.058748697969358</v>
      </c>
      <c r="AH17" s="143" t="n">
        <f aca="false">SUMPRODUCT(Demographics!$C17:$I17,Demographics!$C$43:$I$43,Demographics!$C$49:$I$49)</f>
        <v>0</v>
      </c>
      <c r="AI17" s="143" t="n">
        <f aca="false">SUM(AC17:AH17)</f>
        <v>0.632804436362764</v>
      </c>
      <c r="AJ17" s="143" t="n">
        <f aca="false">$D$3*C17+$F$3*I17+$H$3*O17</f>
        <v>0.279750647060085</v>
      </c>
      <c r="AK17" s="143" t="n">
        <f aca="false">$D$3*D17+$F$3*J17+$H$3*P17</f>
        <v>0.342946001562058</v>
      </c>
      <c r="AL17" s="143" t="n">
        <f aca="false">$D$3*E17+$F$3*K17+$H$3*Q17</f>
        <v>0.152990209399492</v>
      </c>
      <c r="AM17" s="143" t="n">
        <f aca="false">$D$3*F17+$F$3*L17+$H$3*R17</f>
        <v>0.153290722623608</v>
      </c>
      <c r="AN17" s="143" t="n">
        <f aca="false">$D$3*G17+$F$3*M17+$H$3*S17</f>
        <v>0.0710224193547566</v>
      </c>
      <c r="AO17" s="143" t="n">
        <f aca="false">$D$3*H17+$F$3*N17+$H$3*T17</f>
        <v>0</v>
      </c>
      <c r="AP17" s="143" t="n">
        <f aca="false">SUM(AJ17:AO17)</f>
        <v>1</v>
      </c>
      <c r="AR17" s="143" t="n">
        <f aca="false">MAX(0.0002,U17+Incumbency!C$20*Incumbency!$C$6+'Tactical &amp; Candidate'!C$12/100)</f>
        <v>0.279750647060085</v>
      </c>
      <c r="AS17" s="143" t="n">
        <f aca="false">MAX(0.0002,V17+Incumbency!D$20*Incumbency!$C$6+'Tactical &amp; Candidate'!D$12/100)</f>
        <v>0.366946001562058</v>
      </c>
      <c r="AT17" s="143" t="n">
        <f aca="false">MAX(0.0002,W17+Incumbency!E$20*Incumbency!$C$6+'Tactical &amp; Candidate'!E$12/100)</f>
        <v>0.152990209399492</v>
      </c>
      <c r="AU17" s="143" t="n">
        <f aca="false">MAX(0.0002,X17+Incumbency!F$20*Incumbency!$C$6+'Tactical &amp; Candidate'!F$12/100)</f>
        <v>0.153290722623608</v>
      </c>
      <c r="AV17" s="143" t="n">
        <f aca="false">MAX(0.0002,Y17+Incumbency!G$20*Incumbency!$C$6+'Tactical &amp; Candidate'!G$12/100)</f>
        <v>0.0710224193547566</v>
      </c>
      <c r="AW17" s="143" t="n">
        <f aca="false">MAX(0.0002,Z17+Incumbency!H$20*Incumbency!$C$6+'Tactical &amp; Candidate'!H$12/100)</f>
        <v>0.0002</v>
      </c>
      <c r="AX17" s="143" t="n">
        <f aca="false">SUM(AR17:AW17)</f>
        <v>1.0242</v>
      </c>
      <c r="AY17" s="143" t="n">
        <f aca="false">AR17/$AX17</f>
        <v>0.273140643487683</v>
      </c>
      <c r="AZ17" s="143" t="n">
        <f aca="false">AS17/$AX17</f>
        <v>0.358275728922142</v>
      </c>
      <c r="BA17" s="143" t="n">
        <f aca="false">AT17/$AX17</f>
        <v>0.149375326498235</v>
      </c>
      <c r="BB17" s="143" t="n">
        <f aca="false">AU17/$AX17</f>
        <v>0.149668739136505</v>
      </c>
      <c r="BC17" s="143" t="n">
        <f aca="false">AV17/$AX17</f>
        <v>0.0693442875949586</v>
      </c>
      <c r="BD17" s="143" t="n">
        <f aca="false">AW17/$AX17</f>
        <v>0.000195274360476469</v>
      </c>
      <c r="BF17" s="143" t="n">
        <f aca="false">AY17*(1-'Tactical &amp; Candidate'!C$8)</f>
        <v>0.273140643487683</v>
      </c>
      <c r="BG17" s="143" t="n">
        <f aca="false">AZ17*(1-'Tactical &amp; Candidate'!D$8)</f>
        <v>0.358275728922142</v>
      </c>
      <c r="BH17" s="143" t="n">
        <f aca="false">BA17*(1-'Tactical &amp; Candidate'!E$8)</f>
        <v>0.149375326498235</v>
      </c>
      <c r="BI17" s="143" t="n">
        <f aca="false">BB17*(1-'Tactical &amp; Candidate'!F$8)</f>
        <v>0.149668739136505</v>
      </c>
      <c r="BJ17" s="143" t="n">
        <f aca="false">BC17*(1-'Tactical &amp; Candidate'!G$8)</f>
        <v>0.0693442875949586</v>
      </c>
      <c r="BK17" s="143" t="n">
        <f aca="false">BD17*(1-'Tactical &amp; Candidate'!H$8)</f>
        <v>0.000195274360476469</v>
      </c>
      <c r="BL17" s="143" t="n">
        <f aca="false">LARGE(AY17:BD17,2)</f>
        <v>0.273140643487683</v>
      </c>
      <c r="BM17" s="143" t="n">
        <f aca="false">SUMPRODUCT((AY17:BD17&lt;$BL17)*AY17:BD17)*'Tactical &amp; Candidate'!$C$6</f>
        <v>0</v>
      </c>
      <c r="BN17" s="143" t="n">
        <f aca="false">MAX(BF17:BK17)</f>
        <v>0.358275728922142</v>
      </c>
      <c r="BO17" s="144" t="n">
        <f aca="false">SUMPRODUCT((BF17:BK17=$BN17)*1)</f>
        <v>1</v>
      </c>
      <c r="BQ17" s="143" t="n">
        <f aca="false">AY17*(1-'Tactical &amp; Candidate'!$C$6*(AY17&lt;$BL17))+IF(BF17=$BN17,$BM17/$BO17,0)</f>
        <v>0.273140643487683</v>
      </c>
      <c r="BR17" s="143" t="n">
        <f aca="false">AZ17*(1-'Tactical &amp; Candidate'!$C$6*(AZ17&lt;$BL17))+IF(BG17=$BN17,$BM17/$BO17,0)</f>
        <v>0.358275728922142</v>
      </c>
      <c r="BS17" s="143" t="n">
        <f aca="false">BA17*(1-'Tactical &amp; Candidate'!$C$6*(BA17&lt;$BL17))+IF(BH17=$BN17,$BM17/$BO17,0)</f>
        <v>0.149375326498235</v>
      </c>
      <c r="BT17" s="143" t="n">
        <f aca="false">BB17*(1-'Tactical &amp; Candidate'!$C$6*(BB17&lt;$BL17))+IF(BI17=$BN17,$BM17/$BO17,0)</f>
        <v>0.149668739136505</v>
      </c>
      <c r="BU17" s="143" t="n">
        <f aca="false">BC17*(1-'Tactical &amp; Candidate'!$C$6*(BC17&lt;$BL17))+IF(BJ17=$BN17,$BM17/$BO17,0)</f>
        <v>0.0693442875949586</v>
      </c>
      <c r="BV17" s="143" t="n">
        <f aca="false">BD17*(1-'Tactical &amp; Candidate'!$C$6*(BD17&lt;$BL17))+IF(BK17=$BN17,$BM17/$BO17,0)</f>
        <v>0.000195274360476469</v>
      </c>
      <c r="BW17" s="143" t="n">
        <f aca="false">SUM(BQ17:BV17)</f>
        <v>1</v>
      </c>
      <c r="BX17" s="143" t="n">
        <f aca="false">BQ17/$BW17</f>
        <v>0.273140643487683</v>
      </c>
      <c r="BY17" s="143" t="n">
        <f aca="false">BR17/$BW17</f>
        <v>0.358275728922142</v>
      </c>
      <c r="BZ17" s="143" t="n">
        <f aca="false">BS17/$BW17</f>
        <v>0.149375326498235</v>
      </c>
      <c r="CA17" s="143" t="n">
        <f aca="false">BT17/$BW17</f>
        <v>0.149668739136505</v>
      </c>
      <c r="CB17" s="143" t="n">
        <f aca="false">BU17/$BW17</f>
        <v>0.0693442875949586</v>
      </c>
      <c r="CC17" s="143" t="n">
        <f aca="false">BV17/$BW17</f>
        <v>0.000195274360476469</v>
      </c>
    </row>
    <row r="18" customFormat="false" ht="15" hidden="false" customHeight="false" outlineLevel="0" collapsed="false">
      <c r="B18" s="21" t="s">
        <v>56</v>
      </c>
      <c r="C18" s="145" t="n">
        <f aca="false">AC18/$AI18</f>
        <v>0.214277439321652</v>
      </c>
      <c r="D18" s="146" t="n">
        <f aca="false">AD18/$AI18</f>
        <v>0.339839850405284</v>
      </c>
      <c r="E18" s="147" t="n">
        <f aca="false">AE18/$AI18</f>
        <v>0.166447101698047</v>
      </c>
      <c r="F18" s="148" t="n">
        <f aca="false">AF18/$AI18</f>
        <v>0.190259066520404</v>
      </c>
      <c r="G18" s="149" t="n">
        <f aca="false">AG18/$AI18</f>
        <v>0.0891765420546127</v>
      </c>
      <c r="H18" s="150" t="n">
        <f aca="false">AH18/$AI18</f>
        <v>0</v>
      </c>
      <c r="I18" s="145" t="n">
        <f aca="false">$L$3*'Voting History'!C18+$M$3*'Voting History'!I18+$N$3*'Voting History'!O18</f>
        <v>0.249323779110342</v>
      </c>
      <c r="J18" s="146" t="n">
        <f aca="false">$L$3*'Voting History'!D18+$M$3*'Voting History'!J18+$N$3*'Voting History'!P18</f>
        <v>0.350804650877402</v>
      </c>
      <c r="K18" s="147" t="n">
        <f aca="false">$L$3*'Voting History'!E18+$M$3*'Voting History'!K18+$N$3*'Voting History'!Q18</f>
        <v>0.157175412898647</v>
      </c>
      <c r="L18" s="148" t="n">
        <f aca="false">$L$3*'Voting History'!F18+$M$3*'Voting History'!L18+$N$3*'Voting History'!R18</f>
        <v>0.183762912157259</v>
      </c>
      <c r="M18" s="149" t="n">
        <f aca="false">$L$3*'Voting History'!G18+$M$3*'Voting History'!M18+$N$3*'Voting History'!S18</f>
        <v>0.0589332449563499</v>
      </c>
      <c r="N18" s="150" t="n">
        <f aca="false">$L$3*'Voting History'!H18+$M$3*'Voting History'!N18+$N$3*'Voting History'!T18</f>
        <v>0</v>
      </c>
      <c r="O18" s="145" t="n">
        <f aca="false">Polling!C18</f>
        <v>0.228250886538112</v>
      </c>
      <c r="P18" s="146" t="n">
        <f aca="false">Polling!D18</f>
        <v>0.348829732366986</v>
      </c>
      <c r="Q18" s="147" t="n">
        <f aca="false">Polling!E18</f>
        <v>0.159917574844852</v>
      </c>
      <c r="R18" s="148" t="n">
        <f aca="false">Polling!F18</f>
        <v>0.191642820773096</v>
      </c>
      <c r="S18" s="149" t="n">
        <f aca="false">Polling!G18</f>
        <v>0.0713589854769546</v>
      </c>
      <c r="T18" s="150" t="n">
        <f aca="false">Polling!H18</f>
        <v>0</v>
      </c>
      <c r="U18" s="151" t="n">
        <f aca="false">AJ18/$AP18</f>
        <v>0.229327075516232</v>
      </c>
      <c r="V18" s="152" t="n">
        <f aca="false">AK18/$AP18</f>
        <v>0.346626497406079</v>
      </c>
      <c r="W18" s="153" t="n">
        <f aca="false">AL18/$AP18</f>
        <v>0.161190892414259</v>
      </c>
      <c r="X18" s="154" t="n">
        <f aca="false">AM18/$AP18</f>
        <v>0.189257717343329</v>
      </c>
      <c r="Y18" s="155" t="n">
        <f aca="false">AN18/$AP18</f>
        <v>0.0735978173201009</v>
      </c>
      <c r="Z18" s="156" t="n">
        <f aca="false">AO18/$AP18</f>
        <v>0</v>
      </c>
      <c r="AA18" s="64" t="n">
        <f aca="false">SUMPRODUCT(Demographics!$C18:$I18,Demographics!$C$43:$I$43)</f>
        <v>0.614405115034948</v>
      </c>
      <c r="AC18" s="143" t="n">
        <f aca="false">SUMPRODUCT(Demographics!$C18:$I18,Demographics!$C$43:$I$43,Demographics!$C$44:$I$44)</f>
        <v>0.131653154755814</v>
      </c>
      <c r="AD18" s="143" t="n">
        <f aca="false">SUMPRODUCT(Demographics!$C18:$I18,Demographics!$C$43:$I$43,Demographics!$C$45:$I$45)</f>
        <v>0.208799342381718</v>
      </c>
      <c r="AE18" s="143" t="n">
        <f aca="false">SUMPRODUCT(Demographics!$C18:$I18,Demographics!$C$43:$I$43,Demographics!$C$46:$I$46)</f>
        <v>0.102265950666022</v>
      </c>
      <c r="AF18" s="143" t="n">
        <f aca="false">SUMPRODUCT(Demographics!$C18:$I18,Demographics!$C$43:$I$43,Demographics!$C$47:$I$47)</f>
        <v>0.11689614365191</v>
      </c>
      <c r="AG18" s="143" t="n">
        <f aca="false">SUMPRODUCT(Demographics!$C18:$I18,Demographics!$C$43:$I$43,Demographics!$C$48:$I$48)</f>
        <v>0.0547905235794832</v>
      </c>
      <c r="AH18" s="143" t="n">
        <f aca="false">SUMPRODUCT(Demographics!$C18:$I18,Demographics!$C$43:$I$43,Demographics!$C$49:$I$49)</f>
        <v>0</v>
      </c>
      <c r="AI18" s="143" t="n">
        <f aca="false">SUM(AC18:AH18)</f>
        <v>0.614405115034948</v>
      </c>
      <c r="AJ18" s="143" t="n">
        <f aca="false">$D$3*C18+$F$3*I18+$H$3*O18</f>
        <v>0.229327075516232</v>
      </c>
      <c r="AK18" s="143" t="n">
        <f aca="false">$D$3*D18+$F$3*J18+$H$3*P18</f>
        <v>0.346626497406079</v>
      </c>
      <c r="AL18" s="143" t="n">
        <f aca="false">$D$3*E18+$F$3*K18+$H$3*Q18</f>
        <v>0.161190892414259</v>
      </c>
      <c r="AM18" s="143" t="n">
        <f aca="false">$D$3*F18+$F$3*L18+$H$3*R18</f>
        <v>0.189257717343329</v>
      </c>
      <c r="AN18" s="143" t="n">
        <f aca="false">$D$3*G18+$F$3*M18+$H$3*S18</f>
        <v>0.0735978173201009</v>
      </c>
      <c r="AO18" s="143" t="n">
        <f aca="false">$D$3*H18+$F$3*N18+$H$3*T18</f>
        <v>0</v>
      </c>
      <c r="AP18" s="143" t="n">
        <f aca="false">SUM(AJ18:AO18)</f>
        <v>1</v>
      </c>
      <c r="AR18" s="143" t="n">
        <f aca="false">MAX(0.0002,U18+Incumbency!C$20*Incumbency!$C$6+'Tactical &amp; Candidate'!C$12/100)</f>
        <v>0.229327075516232</v>
      </c>
      <c r="AS18" s="143" t="n">
        <f aca="false">MAX(0.0002,V18+Incumbency!D$20*Incumbency!$C$6+'Tactical &amp; Candidate'!D$12/100)</f>
        <v>0.370626497406079</v>
      </c>
      <c r="AT18" s="143" t="n">
        <f aca="false">MAX(0.0002,W18+Incumbency!E$20*Incumbency!$C$6+'Tactical &amp; Candidate'!E$12/100)</f>
        <v>0.161190892414259</v>
      </c>
      <c r="AU18" s="143" t="n">
        <f aca="false">MAX(0.0002,X18+Incumbency!F$20*Incumbency!$C$6+'Tactical &amp; Candidate'!F$12/100)</f>
        <v>0.189257717343329</v>
      </c>
      <c r="AV18" s="143" t="n">
        <f aca="false">MAX(0.0002,Y18+Incumbency!G$20*Incumbency!$C$6+'Tactical &amp; Candidate'!G$12/100)</f>
        <v>0.0735978173201009</v>
      </c>
      <c r="AW18" s="143" t="n">
        <f aca="false">MAX(0.0002,Z18+Incumbency!H$20*Incumbency!$C$6+'Tactical &amp; Candidate'!H$12/100)</f>
        <v>0.0002</v>
      </c>
      <c r="AX18" s="143" t="n">
        <f aca="false">SUM(AR18:AW18)</f>
        <v>1.0242</v>
      </c>
      <c r="AY18" s="143" t="n">
        <f aca="false">AR18/$AX18</f>
        <v>0.223908490056856</v>
      </c>
      <c r="AZ18" s="143" t="n">
        <f aca="false">AS18/$AX18</f>
        <v>0.36186926128303</v>
      </c>
      <c r="BA18" s="143" t="n">
        <f aca="false">AT18/$AX18</f>
        <v>0.157382242154129</v>
      </c>
      <c r="BB18" s="143" t="n">
        <f aca="false">AU18/$AX18</f>
        <v>0.184785898597275</v>
      </c>
      <c r="BC18" s="143" t="n">
        <f aca="false">AV18/$AX18</f>
        <v>0.0718588335482336</v>
      </c>
      <c r="BD18" s="143" t="n">
        <f aca="false">AW18/$AX18</f>
        <v>0.000195274360476469</v>
      </c>
      <c r="BF18" s="143" t="n">
        <f aca="false">AY18*(1-'Tactical &amp; Candidate'!C$8)</f>
        <v>0.223908490056856</v>
      </c>
      <c r="BG18" s="143" t="n">
        <f aca="false">AZ18*(1-'Tactical &amp; Candidate'!D$8)</f>
        <v>0.36186926128303</v>
      </c>
      <c r="BH18" s="143" t="n">
        <f aca="false">BA18*(1-'Tactical &amp; Candidate'!E$8)</f>
        <v>0.157382242154129</v>
      </c>
      <c r="BI18" s="143" t="n">
        <f aca="false">BB18*(1-'Tactical &amp; Candidate'!F$8)</f>
        <v>0.184785898597275</v>
      </c>
      <c r="BJ18" s="143" t="n">
        <f aca="false">BC18*(1-'Tactical &amp; Candidate'!G$8)</f>
        <v>0.0718588335482336</v>
      </c>
      <c r="BK18" s="143" t="n">
        <f aca="false">BD18*(1-'Tactical &amp; Candidate'!H$8)</f>
        <v>0.000195274360476469</v>
      </c>
      <c r="BL18" s="143" t="n">
        <f aca="false">LARGE(AY18:BD18,2)</f>
        <v>0.223908490056856</v>
      </c>
      <c r="BM18" s="143" t="n">
        <f aca="false">SUMPRODUCT((AY18:BD18&lt;$BL18)*AY18:BD18)*'Tactical &amp; Candidate'!$C$6</f>
        <v>0</v>
      </c>
      <c r="BN18" s="143" t="n">
        <f aca="false">MAX(BF18:BK18)</f>
        <v>0.36186926128303</v>
      </c>
      <c r="BO18" s="144" t="n">
        <f aca="false">SUMPRODUCT((BF18:BK18=$BN18)*1)</f>
        <v>1</v>
      </c>
      <c r="BQ18" s="143" t="n">
        <f aca="false">AY18*(1-'Tactical &amp; Candidate'!$C$6*(AY18&lt;$BL18))+IF(BF18=$BN18,$BM18/$BO18,0)</f>
        <v>0.223908490056856</v>
      </c>
      <c r="BR18" s="143" t="n">
        <f aca="false">AZ18*(1-'Tactical &amp; Candidate'!$C$6*(AZ18&lt;$BL18))+IF(BG18=$BN18,$BM18/$BO18,0)</f>
        <v>0.36186926128303</v>
      </c>
      <c r="BS18" s="143" t="n">
        <f aca="false">BA18*(1-'Tactical &amp; Candidate'!$C$6*(BA18&lt;$BL18))+IF(BH18=$BN18,$BM18/$BO18,0)</f>
        <v>0.157382242154129</v>
      </c>
      <c r="BT18" s="143" t="n">
        <f aca="false">BB18*(1-'Tactical &amp; Candidate'!$C$6*(BB18&lt;$BL18))+IF(BI18=$BN18,$BM18/$BO18,0)</f>
        <v>0.184785898597275</v>
      </c>
      <c r="BU18" s="143" t="n">
        <f aca="false">BC18*(1-'Tactical &amp; Candidate'!$C$6*(BC18&lt;$BL18))+IF(BJ18=$BN18,$BM18/$BO18,0)</f>
        <v>0.0718588335482336</v>
      </c>
      <c r="BV18" s="143" t="n">
        <f aca="false">BD18*(1-'Tactical &amp; Candidate'!$C$6*(BD18&lt;$BL18))+IF(BK18=$BN18,$BM18/$BO18,0)</f>
        <v>0.000195274360476469</v>
      </c>
      <c r="BW18" s="143" t="n">
        <f aca="false">SUM(BQ18:BV18)</f>
        <v>1</v>
      </c>
      <c r="BX18" s="143" t="n">
        <f aca="false">BQ18/$BW18</f>
        <v>0.223908490056856</v>
      </c>
      <c r="BY18" s="143" t="n">
        <f aca="false">BR18/$BW18</f>
        <v>0.36186926128303</v>
      </c>
      <c r="BZ18" s="143" t="n">
        <f aca="false">BS18/$BW18</f>
        <v>0.157382242154129</v>
      </c>
      <c r="CA18" s="143" t="n">
        <f aca="false">BT18/$BW18</f>
        <v>0.184785898597275</v>
      </c>
      <c r="CB18" s="143" t="n">
        <f aca="false">BU18/$BW18</f>
        <v>0.0718588335482336</v>
      </c>
      <c r="CC18" s="143" t="n">
        <f aca="false">BV18/$BW18</f>
        <v>0.000195274360476469</v>
      </c>
    </row>
    <row r="19" customFormat="false" ht="15" hidden="false" customHeight="false" outlineLevel="0" collapsed="false">
      <c r="B19" s="9" t="s">
        <v>57</v>
      </c>
      <c r="C19" s="132" t="n">
        <f aca="false">AC19/$AI19</f>
        <v>0.215832444185453</v>
      </c>
      <c r="D19" s="133" t="n">
        <f aca="false">AD19/$AI19</f>
        <v>0.332796361994476</v>
      </c>
      <c r="E19" s="134" t="n">
        <f aca="false">AE19/$AI19</f>
        <v>0.189654939254433</v>
      </c>
      <c r="F19" s="130" t="n">
        <f aca="false">AF19/$AI19</f>
        <v>0.171442015801624</v>
      </c>
      <c r="G19" s="135" t="n">
        <f aca="false">AG19/$AI19</f>
        <v>0.0902742387640142</v>
      </c>
      <c r="H19" s="136" t="n">
        <f aca="false">AH19/$AI19</f>
        <v>0</v>
      </c>
      <c r="I19" s="132" t="n">
        <f aca="false">$L$3*'Voting History'!C19+$M$3*'Voting History'!I19+$N$3*'Voting History'!O19</f>
        <v>0.217610541659979</v>
      </c>
      <c r="J19" s="133" t="n">
        <f aca="false">$L$3*'Voting History'!D19+$M$3*'Voting History'!J19+$N$3*'Voting History'!P19</f>
        <v>0.408866106632725</v>
      </c>
      <c r="K19" s="134" t="n">
        <f aca="false">$L$3*'Voting History'!E19+$M$3*'Voting History'!K19+$N$3*'Voting History'!Q19</f>
        <v>0.167493847659628</v>
      </c>
      <c r="L19" s="130" t="n">
        <f aca="false">$L$3*'Voting History'!F19+$M$3*'Voting History'!L19+$N$3*'Voting History'!R19</f>
        <v>0.134101547520248</v>
      </c>
      <c r="M19" s="135" t="n">
        <f aca="false">$L$3*'Voting History'!G19+$M$3*'Voting History'!M19+$N$3*'Voting History'!S19</f>
        <v>0.0719279565274201</v>
      </c>
      <c r="N19" s="136" t="n">
        <f aca="false">$L$3*'Voting History'!H19+$M$3*'Voting History'!N19+$N$3*'Voting History'!T19</f>
        <v>0</v>
      </c>
      <c r="O19" s="132" t="n">
        <f aca="false">Polling!C19</f>
        <v>0.226650472604757</v>
      </c>
      <c r="P19" s="133" t="n">
        <f aca="false">Polling!D19</f>
        <v>0.419300670049187</v>
      </c>
      <c r="Q19" s="134" t="n">
        <f aca="false">Polling!E19</f>
        <v>0.162734281752728</v>
      </c>
      <c r="R19" s="130" t="n">
        <f aca="false">Polling!F19</f>
        <v>0.128326565344962</v>
      </c>
      <c r="S19" s="135" t="n">
        <f aca="false">Polling!G19</f>
        <v>0.0629880102483666</v>
      </c>
      <c r="T19" s="136" t="n">
        <f aca="false">Polling!H19</f>
        <v>0</v>
      </c>
      <c r="U19" s="137" t="n">
        <f aca="false">AJ19/$AP19</f>
        <v>0.221145081342771</v>
      </c>
      <c r="V19" s="138" t="n">
        <f aca="false">AK19/$AP19</f>
        <v>0.390740736778658</v>
      </c>
      <c r="W19" s="139" t="n">
        <f aca="false">AL19/$AP19</f>
        <v>0.172000370479964</v>
      </c>
      <c r="X19" s="140" t="n">
        <f aca="false">AM19/$AP19</f>
        <v>0.142704946025782</v>
      </c>
      <c r="Y19" s="141" t="n">
        <f aca="false">AN19/$AP19</f>
        <v>0.0734088653728242</v>
      </c>
      <c r="Z19" s="142" t="n">
        <f aca="false">AO19/$AP19</f>
        <v>0</v>
      </c>
      <c r="AA19" s="53" t="n">
        <f aca="false">SUMPRODUCT(Demographics!$C19:$I19,Demographics!$C$43:$I$43)</f>
        <v>0.634364018771927</v>
      </c>
      <c r="AC19" s="143" t="n">
        <f aca="false">SUMPRODUCT(Demographics!$C19:$I19,Demographics!$C$43:$I$43,Demographics!$C$44:$I$44)</f>
        <v>0.136916336674852</v>
      </c>
      <c r="AD19" s="143" t="n">
        <f aca="false">SUMPRODUCT(Demographics!$C19:$I19,Demographics!$C$43:$I$43,Demographics!$C$45:$I$45)</f>
        <v>0.211114037627493</v>
      </c>
      <c r="AE19" s="143" t="n">
        <f aca="false">SUMPRODUCT(Demographics!$C19:$I19,Demographics!$C$43:$I$43,Demographics!$C$46:$I$46)</f>
        <v>0.120310269445388</v>
      </c>
      <c r="AF19" s="143" t="n">
        <f aca="false">SUMPRODUCT(Demographics!$C19:$I19,Demographics!$C$43:$I$43,Demographics!$C$47:$I$47)</f>
        <v>0.108756646130278</v>
      </c>
      <c r="AG19" s="143" t="n">
        <f aca="false">SUMPRODUCT(Demographics!$C19:$I19,Demographics!$C$43:$I$43,Demographics!$C$48:$I$48)</f>
        <v>0.0572667288939166</v>
      </c>
      <c r="AH19" s="143" t="n">
        <f aca="false">SUMPRODUCT(Demographics!$C19:$I19,Demographics!$C$43:$I$43,Demographics!$C$49:$I$49)</f>
        <v>0</v>
      </c>
      <c r="AI19" s="143" t="n">
        <f aca="false">SUM(AC19:AH19)</f>
        <v>0.634364018771927</v>
      </c>
      <c r="AJ19" s="143" t="n">
        <f aca="false">$D$3*C19+$F$3*I19+$H$3*O19</f>
        <v>0.221145081342771</v>
      </c>
      <c r="AK19" s="143" t="n">
        <f aca="false">$D$3*D19+$F$3*J19+$H$3*P19</f>
        <v>0.390740736778658</v>
      </c>
      <c r="AL19" s="143" t="n">
        <f aca="false">$D$3*E19+$F$3*K19+$H$3*Q19</f>
        <v>0.172000370479964</v>
      </c>
      <c r="AM19" s="143" t="n">
        <f aca="false">$D$3*F19+$F$3*L19+$H$3*R19</f>
        <v>0.142704946025782</v>
      </c>
      <c r="AN19" s="143" t="n">
        <f aca="false">$D$3*G19+$F$3*M19+$H$3*S19</f>
        <v>0.0734088653728242</v>
      </c>
      <c r="AO19" s="143" t="n">
        <f aca="false">$D$3*H19+$F$3*N19+$H$3*T19</f>
        <v>0</v>
      </c>
      <c r="AP19" s="143" t="n">
        <f aca="false">SUM(AJ19:AO19)</f>
        <v>1</v>
      </c>
      <c r="AR19" s="143" t="n">
        <f aca="false">MAX(0.0002,U19+Incumbency!C$20*Incumbency!$C$6+'Tactical &amp; Candidate'!C$12/100)</f>
        <v>0.221145081342771</v>
      </c>
      <c r="AS19" s="143" t="n">
        <f aca="false">MAX(0.0002,V19+Incumbency!D$20*Incumbency!$C$6+'Tactical &amp; Candidate'!D$12/100)</f>
        <v>0.414740736778658</v>
      </c>
      <c r="AT19" s="143" t="n">
        <f aca="false">MAX(0.0002,W19+Incumbency!E$20*Incumbency!$C$6+'Tactical &amp; Candidate'!E$12/100)</f>
        <v>0.172000370479964</v>
      </c>
      <c r="AU19" s="143" t="n">
        <f aca="false">MAX(0.0002,X19+Incumbency!F$20*Incumbency!$C$6+'Tactical &amp; Candidate'!F$12/100)</f>
        <v>0.142704946025782</v>
      </c>
      <c r="AV19" s="143" t="n">
        <f aca="false">MAX(0.0002,Y19+Incumbency!G$20*Incumbency!$C$6+'Tactical &amp; Candidate'!G$12/100)</f>
        <v>0.0734088653728242</v>
      </c>
      <c r="AW19" s="143" t="n">
        <f aca="false">MAX(0.0002,Z19+Incumbency!H$20*Incumbency!$C$6+'Tactical &amp; Candidate'!H$12/100)</f>
        <v>0.0002</v>
      </c>
      <c r="AX19" s="143" t="n">
        <f aca="false">SUM(AR19:AW19)</f>
        <v>1.0242</v>
      </c>
      <c r="AY19" s="143" t="n">
        <f aca="false">AR19/$AX19</f>
        <v>0.215919821658632</v>
      </c>
      <c r="AZ19" s="143" t="n">
        <f aca="false">AS19/$AX19</f>
        <v>0.404941160689961</v>
      </c>
      <c r="BA19" s="143" t="n">
        <f aca="false">AT19/$AX19</f>
        <v>0.167936311735954</v>
      </c>
      <c r="BB19" s="143" t="n">
        <f aca="false">AU19/$AX19</f>
        <v>0.139333085360069</v>
      </c>
      <c r="BC19" s="143" t="n">
        <f aca="false">AV19/$AX19</f>
        <v>0.0716743461949075</v>
      </c>
      <c r="BD19" s="143" t="n">
        <f aca="false">AW19/$AX19</f>
        <v>0.000195274360476469</v>
      </c>
      <c r="BF19" s="143" t="n">
        <f aca="false">AY19*(1-'Tactical &amp; Candidate'!C$8)</f>
        <v>0.215919821658632</v>
      </c>
      <c r="BG19" s="143" t="n">
        <f aca="false">AZ19*(1-'Tactical &amp; Candidate'!D$8)</f>
        <v>0.404941160689961</v>
      </c>
      <c r="BH19" s="143" t="n">
        <f aca="false">BA19*(1-'Tactical &amp; Candidate'!E$8)</f>
        <v>0.167936311735954</v>
      </c>
      <c r="BI19" s="143" t="n">
        <f aca="false">BB19*(1-'Tactical &amp; Candidate'!F$8)</f>
        <v>0.139333085360069</v>
      </c>
      <c r="BJ19" s="143" t="n">
        <f aca="false">BC19*(1-'Tactical &amp; Candidate'!G$8)</f>
        <v>0.0716743461949075</v>
      </c>
      <c r="BK19" s="143" t="n">
        <f aca="false">BD19*(1-'Tactical &amp; Candidate'!H$8)</f>
        <v>0.000195274360476469</v>
      </c>
      <c r="BL19" s="143" t="n">
        <f aca="false">LARGE(AY19:BD19,2)</f>
        <v>0.215919821658632</v>
      </c>
      <c r="BM19" s="143" t="n">
        <f aca="false">SUMPRODUCT((AY19:BD19&lt;$BL19)*AY19:BD19)*'Tactical &amp; Candidate'!$C$6</f>
        <v>0</v>
      </c>
      <c r="BN19" s="143" t="n">
        <f aca="false">MAX(BF19:BK19)</f>
        <v>0.404941160689961</v>
      </c>
      <c r="BO19" s="144" t="n">
        <f aca="false">SUMPRODUCT((BF19:BK19=$BN19)*1)</f>
        <v>1</v>
      </c>
      <c r="BQ19" s="143" t="n">
        <f aca="false">AY19*(1-'Tactical &amp; Candidate'!$C$6*(AY19&lt;$BL19))+IF(BF19=$BN19,$BM19/$BO19,0)</f>
        <v>0.215919821658632</v>
      </c>
      <c r="BR19" s="143" t="n">
        <f aca="false">AZ19*(1-'Tactical &amp; Candidate'!$C$6*(AZ19&lt;$BL19))+IF(BG19=$BN19,$BM19/$BO19,0)</f>
        <v>0.404941160689961</v>
      </c>
      <c r="BS19" s="143" t="n">
        <f aca="false">BA19*(1-'Tactical &amp; Candidate'!$C$6*(BA19&lt;$BL19))+IF(BH19=$BN19,$BM19/$BO19,0)</f>
        <v>0.167936311735954</v>
      </c>
      <c r="BT19" s="143" t="n">
        <f aca="false">BB19*(1-'Tactical &amp; Candidate'!$C$6*(BB19&lt;$BL19))+IF(BI19=$BN19,$BM19/$BO19,0)</f>
        <v>0.139333085360069</v>
      </c>
      <c r="BU19" s="143" t="n">
        <f aca="false">BC19*(1-'Tactical &amp; Candidate'!$C$6*(BC19&lt;$BL19))+IF(BJ19=$BN19,$BM19/$BO19,0)</f>
        <v>0.0716743461949075</v>
      </c>
      <c r="BV19" s="143" t="n">
        <f aca="false">BD19*(1-'Tactical &amp; Candidate'!$C$6*(BD19&lt;$BL19))+IF(BK19=$BN19,$BM19/$BO19,0)</f>
        <v>0.000195274360476469</v>
      </c>
      <c r="BW19" s="143" t="n">
        <f aca="false">SUM(BQ19:BV19)</f>
        <v>1</v>
      </c>
      <c r="BX19" s="143" t="n">
        <f aca="false">BQ19/$BW19</f>
        <v>0.215919821658632</v>
      </c>
      <c r="BY19" s="143" t="n">
        <f aca="false">BR19/$BW19</f>
        <v>0.404941160689961</v>
      </c>
      <c r="BZ19" s="143" t="n">
        <f aca="false">BS19/$BW19</f>
        <v>0.167936311735954</v>
      </c>
      <c r="CA19" s="143" t="n">
        <f aca="false">BT19/$BW19</f>
        <v>0.139333085360069</v>
      </c>
      <c r="CB19" s="143" t="n">
        <f aca="false">BU19/$BW19</f>
        <v>0.0716743461949075</v>
      </c>
      <c r="CC19" s="143" t="n">
        <f aca="false">BV19/$BW19</f>
        <v>0.000195274360476469</v>
      </c>
    </row>
    <row r="20" customFormat="false" ht="15" hidden="false" customHeight="false" outlineLevel="0" collapsed="false">
      <c r="B20" s="21" t="s">
        <v>58</v>
      </c>
      <c r="C20" s="145" t="n">
        <f aca="false">AC20/$AI20</f>
        <v>0.203573308453761</v>
      </c>
      <c r="D20" s="146" t="n">
        <f aca="false">AD20/$AI20</f>
        <v>0.364419441675764</v>
      </c>
      <c r="E20" s="147" t="n">
        <f aca="false">AE20/$AI20</f>
        <v>0.138993823936868</v>
      </c>
      <c r="F20" s="148" t="n">
        <f aca="false">AF20/$AI20</f>
        <v>0.206611975959512</v>
      </c>
      <c r="G20" s="149" t="n">
        <f aca="false">AG20/$AI20</f>
        <v>0.0864014499740952</v>
      </c>
      <c r="H20" s="150" t="n">
        <f aca="false">AH20/$AI20</f>
        <v>0</v>
      </c>
      <c r="I20" s="145" t="n">
        <f aca="false">$L$3*'Voting History'!C20+$M$3*'Voting History'!I20+$N$3*'Voting History'!O20</f>
        <v>0.287466126187846</v>
      </c>
      <c r="J20" s="146" t="n">
        <f aca="false">$L$3*'Voting History'!D20+$M$3*'Voting History'!J20+$N$3*'Voting History'!P20</f>
        <v>0.293656876478227</v>
      </c>
      <c r="K20" s="147" t="n">
        <f aca="false">$L$3*'Voting History'!E20+$M$3*'Voting History'!K20+$N$3*'Voting History'!Q20</f>
        <v>0.104483271029296</v>
      </c>
      <c r="L20" s="148" t="n">
        <f aca="false">$L$3*'Voting History'!F20+$M$3*'Voting History'!L20+$N$3*'Voting History'!R20</f>
        <v>0.247798191751591</v>
      </c>
      <c r="M20" s="149" t="n">
        <f aca="false">$L$3*'Voting History'!G20+$M$3*'Voting History'!M20+$N$3*'Voting History'!S20</f>
        <v>0.0665955345530406</v>
      </c>
      <c r="N20" s="150" t="n">
        <f aca="false">$L$3*'Voting History'!H20+$M$3*'Voting History'!N20+$N$3*'Voting History'!T20</f>
        <v>0</v>
      </c>
      <c r="O20" s="145" t="n">
        <f aca="false">Polling!C20</f>
        <v>0.281829114259297</v>
      </c>
      <c r="P20" s="146" t="n">
        <f aca="false">Polling!D20</f>
        <v>0.306598554729474</v>
      </c>
      <c r="Q20" s="147" t="n">
        <f aca="false">Polling!E20</f>
        <v>0.100846935690492</v>
      </c>
      <c r="R20" s="148" t="n">
        <f aca="false">Polling!F20</f>
        <v>0.242853548142119</v>
      </c>
      <c r="S20" s="149" t="n">
        <f aca="false">Polling!G20</f>
        <v>0.067871847178618</v>
      </c>
      <c r="T20" s="150" t="n">
        <f aca="false">Polling!H20</f>
        <v>0</v>
      </c>
      <c r="U20" s="151" t="n">
        <f aca="false">AJ20/$AP20</f>
        <v>0.259761625499773</v>
      </c>
      <c r="V20" s="152" t="n">
        <f aca="false">AK20/$AP20</f>
        <v>0.320709401250549</v>
      </c>
      <c r="W20" s="153" t="n">
        <f aca="false">AL20/$AP20</f>
        <v>0.113200085999106</v>
      </c>
      <c r="X20" s="154" t="n">
        <f aca="false">AM20/$AP20</f>
        <v>0.233217237389705</v>
      </c>
      <c r="Y20" s="155" t="n">
        <f aca="false">AN20/$AP20</f>
        <v>0.0731116498608668</v>
      </c>
      <c r="Z20" s="156" t="n">
        <f aca="false">AO20/$AP20</f>
        <v>0</v>
      </c>
      <c r="AA20" s="64" t="n">
        <f aca="false">SUMPRODUCT(Demographics!$C20:$I20,Demographics!$C$43:$I$43)</f>
        <v>0.618973052353343</v>
      </c>
      <c r="AC20" s="143" t="n">
        <f aca="false">SUMPRODUCT(Demographics!$C20:$I20,Demographics!$C$43:$I$43,Demographics!$C$44:$I$44)</f>
        <v>0.126006392111293</v>
      </c>
      <c r="AD20" s="143" t="n">
        <f aca="false">SUMPRODUCT(Demographics!$C20:$I20,Demographics!$C$43:$I$43,Demographics!$C$45:$I$45)</f>
        <v>0.225565814150948</v>
      </c>
      <c r="AE20" s="143" t="n">
        <f aca="false">SUMPRODUCT(Demographics!$C20:$I20,Demographics!$C$43:$I$43,Demographics!$C$46:$I$46)</f>
        <v>0.0860334314604666</v>
      </c>
      <c r="AF20" s="143" t="n">
        <f aca="false">SUMPRODUCT(Demographics!$C20:$I20,Demographics!$C$43:$I$43,Demographics!$C$47:$I$47)</f>
        <v>0.127887245412415</v>
      </c>
      <c r="AG20" s="143" t="n">
        <f aca="false">SUMPRODUCT(Demographics!$C20:$I20,Demographics!$C$43:$I$43,Demographics!$C$48:$I$48)</f>
        <v>0.0534801692182203</v>
      </c>
      <c r="AH20" s="143" t="n">
        <f aca="false">SUMPRODUCT(Demographics!$C20:$I20,Demographics!$C$43:$I$43,Demographics!$C$49:$I$49)</f>
        <v>0</v>
      </c>
      <c r="AI20" s="143" t="n">
        <f aca="false">SUM(AC20:AH20)</f>
        <v>0.618973052353343</v>
      </c>
      <c r="AJ20" s="143" t="n">
        <f aca="false">$D$3*C20+$F$3*I20+$H$3*O20</f>
        <v>0.259761625499773</v>
      </c>
      <c r="AK20" s="143" t="n">
        <f aca="false">$D$3*D20+$F$3*J20+$H$3*P20</f>
        <v>0.320709401250549</v>
      </c>
      <c r="AL20" s="143" t="n">
        <f aca="false">$D$3*E20+$F$3*K20+$H$3*Q20</f>
        <v>0.113200085999106</v>
      </c>
      <c r="AM20" s="143" t="n">
        <f aca="false">$D$3*F20+$F$3*L20+$H$3*R20</f>
        <v>0.233217237389705</v>
      </c>
      <c r="AN20" s="143" t="n">
        <f aca="false">$D$3*G20+$F$3*M20+$H$3*S20</f>
        <v>0.0731116498608668</v>
      </c>
      <c r="AO20" s="143" t="n">
        <f aca="false">$D$3*H20+$F$3*N20+$H$3*T20</f>
        <v>0</v>
      </c>
      <c r="AP20" s="143" t="n">
        <f aca="false">SUM(AJ20:AO20)</f>
        <v>1</v>
      </c>
      <c r="AR20" s="143" t="n">
        <f aca="false">MAX(0.0002,U20+Incumbency!C$20*Incumbency!$C$6+'Tactical &amp; Candidate'!C$12/100)</f>
        <v>0.259761625499773</v>
      </c>
      <c r="AS20" s="143" t="n">
        <f aca="false">MAX(0.0002,V20+Incumbency!D$20*Incumbency!$C$6+'Tactical &amp; Candidate'!D$12/100)</f>
        <v>0.344709401250549</v>
      </c>
      <c r="AT20" s="143" t="n">
        <f aca="false">MAX(0.0002,W20+Incumbency!E$20*Incumbency!$C$6+'Tactical &amp; Candidate'!E$12/100)</f>
        <v>0.113200085999106</v>
      </c>
      <c r="AU20" s="143" t="n">
        <f aca="false">MAX(0.0002,X20+Incumbency!F$20*Incumbency!$C$6+'Tactical &amp; Candidate'!F$12/100)</f>
        <v>0.233217237389705</v>
      </c>
      <c r="AV20" s="143" t="n">
        <f aca="false">MAX(0.0002,Y20+Incumbency!G$20*Incumbency!$C$6+'Tactical &amp; Candidate'!G$12/100)</f>
        <v>0.0731116498608668</v>
      </c>
      <c r="AW20" s="143" t="n">
        <f aca="false">MAX(0.0002,Z20+Incumbency!H$20*Incumbency!$C$6+'Tactical &amp; Candidate'!H$12/100)</f>
        <v>0.0002</v>
      </c>
      <c r="AX20" s="143" t="n">
        <f aca="false">SUM(AR20:AW20)</f>
        <v>1.0242</v>
      </c>
      <c r="AY20" s="143" t="n">
        <f aca="false">AR20/$AX20</f>
        <v>0.253623926478982</v>
      </c>
      <c r="AZ20" s="143" t="n">
        <f aca="false">AS20/$AX20</f>
        <v>0.336564539397139</v>
      </c>
      <c r="BA20" s="143" t="n">
        <f aca="false">AT20/$AX20</f>
        <v>0.110525371996784</v>
      </c>
      <c r="BB20" s="143" t="n">
        <f aca="false">AU20/$AX20</f>
        <v>0.227706734416818</v>
      </c>
      <c r="BC20" s="143" t="n">
        <f aca="false">AV20/$AX20</f>
        <v>0.0713841533498016</v>
      </c>
      <c r="BD20" s="143" t="n">
        <f aca="false">AW20/$AX20</f>
        <v>0.000195274360476469</v>
      </c>
      <c r="BF20" s="143" t="n">
        <f aca="false">AY20*(1-'Tactical &amp; Candidate'!C$8)</f>
        <v>0.253623926478982</v>
      </c>
      <c r="BG20" s="143" t="n">
        <f aca="false">AZ20*(1-'Tactical &amp; Candidate'!D$8)</f>
        <v>0.336564539397139</v>
      </c>
      <c r="BH20" s="143" t="n">
        <f aca="false">BA20*(1-'Tactical &amp; Candidate'!E$8)</f>
        <v>0.110525371996784</v>
      </c>
      <c r="BI20" s="143" t="n">
        <f aca="false">BB20*(1-'Tactical &amp; Candidate'!F$8)</f>
        <v>0.227706734416818</v>
      </c>
      <c r="BJ20" s="143" t="n">
        <f aca="false">BC20*(1-'Tactical &amp; Candidate'!G$8)</f>
        <v>0.0713841533498016</v>
      </c>
      <c r="BK20" s="143" t="n">
        <f aca="false">BD20*(1-'Tactical &amp; Candidate'!H$8)</f>
        <v>0.000195274360476469</v>
      </c>
      <c r="BL20" s="143" t="n">
        <f aca="false">LARGE(AY20:BD20,2)</f>
        <v>0.253623926478982</v>
      </c>
      <c r="BM20" s="143" t="n">
        <f aca="false">SUMPRODUCT((AY20:BD20&lt;$BL20)*AY20:BD20)*'Tactical &amp; Candidate'!$C$6</f>
        <v>0</v>
      </c>
      <c r="BN20" s="143" t="n">
        <f aca="false">MAX(BF20:BK20)</f>
        <v>0.336564539397139</v>
      </c>
      <c r="BO20" s="144" t="n">
        <f aca="false">SUMPRODUCT((BF20:BK20=$BN20)*1)</f>
        <v>1</v>
      </c>
      <c r="BQ20" s="143" t="n">
        <f aca="false">AY20*(1-'Tactical &amp; Candidate'!$C$6*(AY20&lt;$BL20))+IF(BF20=$BN20,$BM20/$BO20,0)</f>
        <v>0.253623926478982</v>
      </c>
      <c r="BR20" s="143" t="n">
        <f aca="false">AZ20*(1-'Tactical &amp; Candidate'!$C$6*(AZ20&lt;$BL20))+IF(BG20=$BN20,$BM20/$BO20,0)</f>
        <v>0.336564539397139</v>
      </c>
      <c r="BS20" s="143" t="n">
        <f aca="false">BA20*(1-'Tactical &amp; Candidate'!$C$6*(BA20&lt;$BL20))+IF(BH20=$BN20,$BM20/$BO20,0)</f>
        <v>0.110525371996784</v>
      </c>
      <c r="BT20" s="143" t="n">
        <f aca="false">BB20*(1-'Tactical &amp; Candidate'!$C$6*(BB20&lt;$BL20))+IF(BI20=$BN20,$BM20/$BO20,0)</f>
        <v>0.227706734416818</v>
      </c>
      <c r="BU20" s="143" t="n">
        <f aca="false">BC20*(1-'Tactical &amp; Candidate'!$C$6*(BC20&lt;$BL20))+IF(BJ20=$BN20,$BM20/$BO20,0)</f>
        <v>0.0713841533498016</v>
      </c>
      <c r="BV20" s="143" t="n">
        <f aca="false">BD20*(1-'Tactical &amp; Candidate'!$C$6*(BD20&lt;$BL20))+IF(BK20=$BN20,$BM20/$BO20,0)</f>
        <v>0.000195274360476469</v>
      </c>
      <c r="BW20" s="143" t="n">
        <f aca="false">SUM(BQ20:BV20)</f>
        <v>1</v>
      </c>
      <c r="BX20" s="143" t="n">
        <f aca="false">BQ20/$BW20</f>
        <v>0.253623926478982</v>
      </c>
      <c r="BY20" s="143" t="n">
        <f aca="false">BR20/$BW20</f>
        <v>0.336564539397139</v>
      </c>
      <c r="BZ20" s="143" t="n">
        <f aca="false">BS20/$BW20</f>
        <v>0.110525371996784</v>
      </c>
      <c r="CA20" s="143" t="n">
        <f aca="false">BT20/$BW20</f>
        <v>0.227706734416818</v>
      </c>
      <c r="CB20" s="143" t="n">
        <f aca="false">BU20/$BW20</f>
        <v>0.0713841533498016</v>
      </c>
      <c r="CC20" s="143" t="n">
        <f aca="false">BV20/$BW20</f>
        <v>0.000195274360476469</v>
      </c>
    </row>
    <row r="21" customFormat="false" ht="15" hidden="false" customHeight="false" outlineLevel="0" collapsed="false">
      <c r="B21" s="9" t="s">
        <v>59</v>
      </c>
      <c r="C21" s="132" t="n">
        <f aca="false">AC21/$AI21</f>
        <v>0.223402591572465</v>
      </c>
      <c r="D21" s="133" t="n">
        <f aca="false">AD21/$AI21</f>
        <v>0.310236008962621</v>
      </c>
      <c r="E21" s="134" t="n">
        <f aca="false">AE21/$AI21</f>
        <v>0.181358776157861</v>
      </c>
      <c r="F21" s="130" t="n">
        <f aca="false">AF21/$AI21</f>
        <v>0.19173034341407</v>
      </c>
      <c r="G21" s="135" t="n">
        <f aca="false">AG21/$AI21</f>
        <v>0.0932722798929828</v>
      </c>
      <c r="H21" s="136" t="n">
        <f aca="false">AH21/$AI21</f>
        <v>0</v>
      </c>
      <c r="I21" s="132" t="n">
        <f aca="false">$L$3*'Voting History'!C21+$M$3*'Voting History'!I21+$N$3*'Voting History'!O21</f>
        <v>0.223061612186814</v>
      </c>
      <c r="J21" s="133" t="n">
        <f aca="false">$L$3*'Voting History'!D21+$M$3*'Voting History'!J21+$N$3*'Voting History'!P21</f>
        <v>0.360826330520875</v>
      </c>
      <c r="K21" s="134" t="n">
        <f aca="false">$L$3*'Voting History'!E21+$M$3*'Voting History'!K21+$N$3*'Voting History'!Q21</f>
        <v>0.192406072408809</v>
      </c>
      <c r="L21" s="130" t="n">
        <f aca="false">$L$3*'Voting History'!F21+$M$3*'Voting History'!L21+$N$3*'Voting History'!R21</f>
        <v>0.170388991777238</v>
      </c>
      <c r="M21" s="135" t="n">
        <f aca="false">$L$3*'Voting History'!G21+$M$3*'Voting History'!M21+$N$3*'Voting History'!S21</f>
        <v>0.0533169931062633</v>
      </c>
      <c r="N21" s="136" t="n">
        <f aca="false">$L$3*'Voting History'!H21+$M$3*'Voting History'!N21+$N$3*'Voting History'!T21</f>
        <v>0</v>
      </c>
      <c r="O21" s="132" t="n">
        <f aca="false">Polling!C21</f>
        <v>0.241941815349889</v>
      </c>
      <c r="P21" s="133" t="n">
        <f aca="false">Polling!D21</f>
        <v>0.347642381884803</v>
      </c>
      <c r="Q21" s="134" t="n">
        <f aca="false">Polling!E21</f>
        <v>0.169755511479081</v>
      </c>
      <c r="R21" s="130" t="n">
        <f aca="false">Polling!F21</f>
        <v>0.172887946494948</v>
      </c>
      <c r="S21" s="135" t="n">
        <f aca="false">Polling!G21</f>
        <v>0.0677723447912795</v>
      </c>
      <c r="T21" s="136" t="n">
        <f aca="false">Polling!H21</f>
        <v>0</v>
      </c>
      <c r="U21" s="137" t="n">
        <f aca="false">AJ21/$AP21</f>
        <v>0.231659997425893</v>
      </c>
      <c r="V21" s="138" t="n">
        <f aca="false">AK21/$AP21</f>
        <v>0.339716457167167</v>
      </c>
      <c r="W21" s="139" t="n">
        <f aca="false">AL21/$AP21</f>
        <v>0.178899131115147</v>
      </c>
      <c r="X21" s="140" t="n">
        <f aca="false">AM21/$AP21</f>
        <v>0.177915926891257</v>
      </c>
      <c r="Y21" s="141" t="n">
        <f aca="false">AN21/$AP21</f>
        <v>0.0718084874005364</v>
      </c>
      <c r="Z21" s="142" t="n">
        <f aca="false">AO21/$AP21</f>
        <v>0</v>
      </c>
      <c r="AA21" s="53" t="n">
        <f aca="false">SUMPRODUCT(Demographics!$C21:$I21,Demographics!$C$43:$I$43)</f>
        <v>0.635850479284169</v>
      </c>
      <c r="AC21" s="143" t="n">
        <f aca="false">SUMPRODUCT(Demographics!$C21:$I21,Demographics!$C$43:$I$43,Demographics!$C$44:$I$44)</f>
        <v>0.142050644924677</v>
      </c>
      <c r="AD21" s="143" t="n">
        <f aca="false">SUMPRODUCT(Demographics!$C21:$I21,Demographics!$C$43:$I$43,Demographics!$C$45:$I$45)</f>
        <v>0.19726371499009</v>
      </c>
      <c r="AE21" s="143" t="n">
        <f aca="false">SUMPRODUCT(Demographics!$C21:$I21,Demographics!$C$43:$I$43,Demographics!$C$46:$I$46)</f>
        <v>0.115317064742366</v>
      </c>
      <c r="AF21" s="143" t="n">
        <f aca="false">SUMPRODUCT(Demographics!$C21:$I21,Demographics!$C$43:$I$43,Demographics!$C$47:$I$47)</f>
        <v>0.121911830753154</v>
      </c>
      <c r="AG21" s="143" t="n">
        <f aca="false">SUMPRODUCT(Demographics!$C21:$I21,Demographics!$C$43:$I$43,Demographics!$C$48:$I$48)</f>
        <v>0.0593072238738802</v>
      </c>
      <c r="AH21" s="143" t="n">
        <f aca="false">SUMPRODUCT(Demographics!$C21:$I21,Demographics!$C$43:$I$43,Demographics!$C$49:$I$49)</f>
        <v>0</v>
      </c>
      <c r="AI21" s="143" t="n">
        <f aca="false">SUM(AC21:AH21)</f>
        <v>0.635850479284169</v>
      </c>
      <c r="AJ21" s="143" t="n">
        <f aca="false">$D$3*C21+$F$3*I21+$H$3*O21</f>
        <v>0.231659997425893</v>
      </c>
      <c r="AK21" s="143" t="n">
        <f aca="false">$D$3*D21+$F$3*J21+$H$3*P21</f>
        <v>0.339716457167167</v>
      </c>
      <c r="AL21" s="143" t="n">
        <f aca="false">$D$3*E21+$F$3*K21+$H$3*Q21</f>
        <v>0.178899131115147</v>
      </c>
      <c r="AM21" s="143" t="n">
        <f aca="false">$D$3*F21+$F$3*L21+$H$3*R21</f>
        <v>0.177915926891257</v>
      </c>
      <c r="AN21" s="143" t="n">
        <f aca="false">$D$3*G21+$F$3*M21+$H$3*S21</f>
        <v>0.0718084874005364</v>
      </c>
      <c r="AO21" s="143" t="n">
        <f aca="false">$D$3*H21+$F$3*N21+$H$3*T21</f>
        <v>0</v>
      </c>
      <c r="AP21" s="143" t="n">
        <f aca="false">SUM(AJ21:AO21)</f>
        <v>1</v>
      </c>
      <c r="AR21" s="143" t="n">
        <f aca="false">MAX(0.0002,U21+Incumbency!C$20*Incumbency!$C$6+'Tactical &amp; Candidate'!C$12/100)</f>
        <v>0.231659997425893</v>
      </c>
      <c r="AS21" s="143" t="n">
        <f aca="false">MAX(0.0002,V21+Incumbency!D$20*Incumbency!$C$6+'Tactical &amp; Candidate'!D$12/100)</f>
        <v>0.363716457167167</v>
      </c>
      <c r="AT21" s="143" t="n">
        <f aca="false">MAX(0.0002,W21+Incumbency!E$20*Incumbency!$C$6+'Tactical &amp; Candidate'!E$12/100)</f>
        <v>0.178899131115147</v>
      </c>
      <c r="AU21" s="143" t="n">
        <f aca="false">MAX(0.0002,X21+Incumbency!F$20*Incumbency!$C$6+'Tactical &amp; Candidate'!F$12/100)</f>
        <v>0.177915926891257</v>
      </c>
      <c r="AV21" s="143" t="n">
        <f aca="false">MAX(0.0002,Y21+Incumbency!G$20*Incumbency!$C$6+'Tactical &amp; Candidate'!G$12/100)</f>
        <v>0.0718084874005364</v>
      </c>
      <c r="AW21" s="143" t="n">
        <f aca="false">MAX(0.0002,Z21+Incumbency!H$20*Incumbency!$C$6+'Tactical &amp; Candidate'!H$12/100)</f>
        <v>0.0002</v>
      </c>
      <c r="AX21" s="143" t="n">
        <f aca="false">SUM(AR21:AW21)</f>
        <v>1.0242</v>
      </c>
      <c r="AY21" s="143" t="n">
        <f aca="false">AR21/$AX21</f>
        <v>0.226186289226609</v>
      </c>
      <c r="AZ21" s="143" t="n">
        <f aca="false">AS21/$AX21</f>
        <v>0.355122492840428</v>
      </c>
      <c r="BA21" s="143" t="n">
        <f aca="false">AT21/$AX21</f>
        <v>0.174672067091532</v>
      </c>
      <c r="BB21" s="143" t="n">
        <f aca="false">AU21/$AX21</f>
        <v>0.173712094211343</v>
      </c>
      <c r="BC21" s="143" t="n">
        <f aca="false">AV21/$AX21</f>
        <v>0.0701117822696118</v>
      </c>
      <c r="BD21" s="143" t="n">
        <f aca="false">AW21/$AX21</f>
        <v>0.000195274360476469</v>
      </c>
      <c r="BF21" s="143" t="n">
        <f aca="false">AY21*(1-'Tactical &amp; Candidate'!C$8)</f>
        <v>0.226186289226609</v>
      </c>
      <c r="BG21" s="143" t="n">
        <f aca="false">AZ21*(1-'Tactical &amp; Candidate'!D$8)</f>
        <v>0.355122492840428</v>
      </c>
      <c r="BH21" s="143" t="n">
        <f aca="false">BA21*(1-'Tactical &amp; Candidate'!E$8)</f>
        <v>0.174672067091532</v>
      </c>
      <c r="BI21" s="143" t="n">
        <f aca="false">BB21*(1-'Tactical &amp; Candidate'!F$8)</f>
        <v>0.173712094211343</v>
      </c>
      <c r="BJ21" s="143" t="n">
        <f aca="false">BC21*(1-'Tactical &amp; Candidate'!G$8)</f>
        <v>0.0701117822696118</v>
      </c>
      <c r="BK21" s="143" t="n">
        <f aca="false">BD21*(1-'Tactical &amp; Candidate'!H$8)</f>
        <v>0.000195274360476469</v>
      </c>
      <c r="BL21" s="143" t="n">
        <f aca="false">LARGE(AY21:BD21,2)</f>
        <v>0.226186289226609</v>
      </c>
      <c r="BM21" s="143" t="n">
        <f aca="false">SUMPRODUCT((AY21:BD21&lt;$BL21)*AY21:BD21)*'Tactical &amp; Candidate'!$C$6</f>
        <v>0</v>
      </c>
      <c r="BN21" s="143" t="n">
        <f aca="false">MAX(BF21:BK21)</f>
        <v>0.355122492840428</v>
      </c>
      <c r="BO21" s="144" t="n">
        <f aca="false">SUMPRODUCT((BF21:BK21=$BN21)*1)</f>
        <v>1</v>
      </c>
      <c r="BQ21" s="143" t="n">
        <f aca="false">AY21*(1-'Tactical &amp; Candidate'!$C$6*(AY21&lt;$BL21))+IF(BF21=$BN21,$BM21/$BO21,0)</f>
        <v>0.226186289226609</v>
      </c>
      <c r="BR21" s="143" t="n">
        <f aca="false">AZ21*(1-'Tactical &amp; Candidate'!$C$6*(AZ21&lt;$BL21))+IF(BG21=$BN21,$BM21/$BO21,0)</f>
        <v>0.355122492840428</v>
      </c>
      <c r="BS21" s="143" t="n">
        <f aca="false">BA21*(1-'Tactical &amp; Candidate'!$C$6*(BA21&lt;$BL21))+IF(BH21=$BN21,$BM21/$BO21,0)</f>
        <v>0.174672067091532</v>
      </c>
      <c r="BT21" s="143" t="n">
        <f aca="false">BB21*(1-'Tactical &amp; Candidate'!$C$6*(BB21&lt;$BL21))+IF(BI21=$BN21,$BM21/$BO21,0)</f>
        <v>0.173712094211343</v>
      </c>
      <c r="BU21" s="143" t="n">
        <f aca="false">BC21*(1-'Tactical &amp; Candidate'!$C$6*(BC21&lt;$BL21))+IF(BJ21=$BN21,$BM21/$BO21,0)</f>
        <v>0.0701117822696118</v>
      </c>
      <c r="BV21" s="143" t="n">
        <f aca="false">BD21*(1-'Tactical &amp; Candidate'!$C$6*(BD21&lt;$BL21))+IF(BK21=$BN21,$BM21/$BO21,0)</f>
        <v>0.000195274360476469</v>
      </c>
      <c r="BW21" s="143" t="n">
        <f aca="false">SUM(BQ21:BV21)</f>
        <v>1</v>
      </c>
      <c r="BX21" s="143" t="n">
        <f aca="false">BQ21/$BW21</f>
        <v>0.226186289226609</v>
      </c>
      <c r="BY21" s="143" t="n">
        <f aca="false">BR21/$BW21</f>
        <v>0.355122492840428</v>
      </c>
      <c r="BZ21" s="143" t="n">
        <f aca="false">BS21/$BW21</f>
        <v>0.174672067091532</v>
      </c>
      <c r="CA21" s="143" t="n">
        <f aca="false">BT21/$BW21</f>
        <v>0.173712094211343</v>
      </c>
      <c r="CB21" s="143" t="n">
        <f aca="false">BU21/$BW21</f>
        <v>0.0701117822696118</v>
      </c>
      <c r="CC21" s="143" t="n">
        <f aca="false">BV21/$BW21</f>
        <v>0.000195274360476469</v>
      </c>
    </row>
    <row r="22" customFormat="false" ht="15" hidden="false" customHeight="false" outlineLevel="0" collapsed="false">
      <c r="B22" s="21" t="s">
        <v>60</v>
      </c>
      <c r="C22" s="145" t="n">
        <f aca="false">AC22/$AI22</f>
        <v>0.244243821099598</v>
      </c>
      <c r="D22" s="146" t="n">
        <f aca="false">AD22/$AI22</f>
        <v>0.251349237041025</v>
      </c>
      <c r="E22" s="147" t="n">
        <f aca="false">AE22/$AI22</f>
        <v>0.133180730100063</v>
      </c>
      <c r="F22" s="148" t="n">
        <f aca="false">AF22/$AI22</f>
        <v>0.270344823387438</v>
      </c>
      <c r="G22" s="149" t="n">
        <f aca="false">AG22/$AI22</f>
        <v>0.100881388371875</v>
      </c>
      <c r="H22" s="150" t="n">
        <f aca="false">AH22/$AI22</f>
        <v>0</v>
      </c>
      <c r="I22" s="145" t="n">
        <f aca="false">$L$3*'Voting History'!C22+$M$3*'Voting History'!I22+$N$3*'Voting History'!O22</f>
        <v>0.30529998171161</v>
      </c>
      <c r="J22" s="146" t="n">
        <f aca="false">$L$3*'Voting History'!D22+$M$3*'Voting History'!J22+$N$3*'Voting History'!P22</f>
        <v>0.177742179793896</v>
      </c>
      <c r="K22" s="147" t="n">
        <f aca="false">$L$3*'Voting History'!E22+$M$3*'Voting History'!K22+$N$3*'Voting History'!Q22</f>
        <v>0.118207901565701</v>
      </c>
      <c r="L22" s="148" t="n">
        <f aca="false">$L$3*'Voting History'!F22+$M$3*'Voting History'!L22+$N$3*'Voting History'!R22</f>
        <v>0.328811285054727</v>
      </c>
      <c r="M22" s="149" t="n">
        <f aca="false">$L$3*'Voting History'!G22+$M$3*'Voting History'!M22+$N$3*'Voting History'!S22</f>
        <v>0.0699386518740667</v>
      </c>
      <c r="N22" s="150" t="n">
        <f aca="false">$L$3*'Voting History'!H22+$M$3*'Voting History'!N22+$N$3*'Voting History'!T22</f>
        <v>0</v>
      </c>
      <c r="O22" s="145" t="n">
        <f aca="false">Polling!C22</f>
        <v>0.319064289323001</v>
      </c>
      <c r="P22" s="146" t="n">
        <f aca="false">Polling!D22</f>
        <v>0.192796995784947</v>
      </c>
      <c r="Q22" s="147" t="n">
        <f aca="false">Polling!E22</f>
        <v>0.107056901418388</v>
      </c>
      <c r="R22" s="148" t="n">
        <f aca="false">Polling!F22</f>
        <v>0.300428446676234</v>
      </c>
      <c r="S22" s="149" t="n">
        <f aca="false">Polling!G22</f>
        <v>0.0806533667974296</v>
      </c>
      <c r="T22" s="150" t="n">
        <f aca="false">Polling!H22</f>
        <v>0</v>
      </c>
      <c r="U22" s="151" t="n">
        <f aca="false">AJ22/$AP22</f>
        <v>0.293177071953133</v>
      </c>
      <c r="V22" s="152" t="n">
        <f aca="false">AK22/$AP22</f>
        <v>0.206598964164007</v>
      </c>
      <c r="W22" s="153" t="n">
        <f aca="false">AL22/$AP22</f>
        <v>0.117681800059719</v>
      </c>
      <c r="X22" s="154" t="n">
        <f aca="false">AM22/$AP22</f>
        <v>0.298499069284219</v>
      </c>
      <c r="Y22" s="155" t="n">
        <f aca="false">AN22/$AP22</f>
        <v>0.0840430945389226</v>
      </c>
      <c r="Z22" s="156" t="n">
        <f aca="false">AO22/$AP22</f>
        <v>0</v>
      </c>
      <c r="AA22" s="64" t="n">
        <f aca="false">SUMPRODUCT(Demographics!$C22:$I22,Demographics!$C$43:$I$43)</f>
        <v>0.621211041522398</v>
      </c>
      <c r="AC22" s="143" t="n">
        <f aca="false">SUMPRODUCT(Demographics!$C22:$I22,Demographics!$C$43:$I$43,Demographics!$C$44:$I$44)</f>
        <v>0.151726958490692</v>
      </c>
      <c r="AD22" s="143" t="n">
        <f aca="false">SUMPRODUCT(Demographics!$C22:$I22,Demographics!$C$43:$I$43,Demographics!$C$45:$I$45)</f>
        <v>0.156140921328115</v>
      </c>
      <c r="AE22" s="143" t="n">
        <f aca="false">SUMPRODUCT(Demographics!$C22:$I22,Demographics!$C$43:$I$43,Demographics!$C$46:$I$46)</f>
        <v>0.0827333400561734</v>
      </c>
      <c r="AF22" s="143" t="n">
        <f aca="false">SUMPRODUCT(Demographics!$C22:$I22,Demographics!$C$43:$I$43,Demographics!$C$47:$I$47)</f>
        <v>0.167941189306699</v>
      </c>
      <c r="AG22" s="143" t="n">
        <f aca="false">SUMPRODUCT(Demographics!$C22:$I22,Demographics!$C$43:$I$43,Demographics!$C$48:$I$48)</f>
        <v>0.0626686323407181</v>
      </c>
      <c r="AH22" s="143" t="n">
        <f aca="false">SUMPRODUCT(Demographics!$C22:$I22,Demographics!$C$43:$I$43,Demographics!$C$49:$I$49)</f>
        <v>0</v>
      </c>
      <c r="AI22" s="143" t="n">
        <f aca="false">SUM(AC22:AH22)</f>
        <v>0.621211041522398</v>
      </c>
      <c r="AJ22" s="143" t="n">
        <f aca="false">$D$3*C22+$F$3*I22+$H$3*O22</f>
        <v>0.293177071953133</v>
      </c>
      <c r="AK22" s="143" t="n">
        <f aca="false">$D$3*D22+$F$3*J22+$H$3*P22</f>
        <v>0.206598964164007</v>
      </c>
      <c r="AL22" s="143" t="n">
        <f aca="false">$D$3*E22+$F$3*K22+$H$3*Q22</f>
        <v>0.117681800059719</v>
      </c>
      <c r="AM22" s="143" t="n">
        <f aca="false">$D$3*F22+$F$3*L22+$H$3*R22</f>
        <v>0.298499069284219</v>
      </c>
      <c r="AN22" s="143" t="n">
        <f aca="false">$D$3*G22+$F$3*M22+$H$3*S22</f>
        <v>0.0840430945389226</v>
      </c>
      <c r="AO22" s="143" t="n">
        <f aca="false">$D$3*H22+$F$3*N22+$H$3*T22</f>
        <v>0</v>
      </c>
      <c r="AP22" s="143" t="n">
        <f aca="false">SUM(AJ22:AO22)</f>
        <v>1</v>
      </c>
      <c r="AR22" s="143" t="n">
        <f aca="false">MAX(0.0002,U22+Incumbency!C$20*Incumbency!$C$6+'Tactical &amp; Candidate'!C$12/100)</f>
        <v>0.293177071953133</v>
      </c>
      <c r="AS22" s="143" t="n">
        <f aca="false">MAX(0.0002,V22+Incumbency!D$20*Incumbency!$C$6+'Tactical &amp; Candidate'!D$12/100)</f>
        <v>0.230598964164007</v>
      </c>
      <c r="AT22" s="143" t="n">
        <f aca="false">MAX(0.0002,W22+Incumbency!E$20*Incumbency!$C$6+'Tactical &amp; Candidate'!E$12/100)</f>
        <v>0.117681800059719</v>
      </c>
      <c r="AU22" s="143" t="n">
        <f aca="false">MAX(0.0002,X22+Incumbency!F$20*Incumbency!$C$6+'Tactical &amp; Candidate'!F$12/100)</f>
        <v>0.298499069284219</v>
      </c>
      <c r="AV22" s="143" t="n">
        <f aca="false">MAX(0.0002,Y22+Incumbency!G$20*Incumbency!$C$6+'Tactical &amp; Candidate'!G$12/100)</f>
        <v>0.0840430945389226</v>
      </c>
      <c r="AW22" s="143" t="n">
        <f aca="false">MAX(0.0002,Z22+Incumbency!H$20*Incumbency!$C$6+'Tactical &amp; Candidate'!H$12/100)</f>
        <v>0.0002</v>
      </c>
      <c r="AX22" s="143" t="n">
        <f aca="false">SUM(AR22:AW22)</f>
        <v>1.0242</v>
      </c>
      <c r="AY22" s="143" t="n">
        <f aca="false">AR22/$AX22</f>
        <v>0.286249826160059</v>
      </c>
      <c r="AZ22" s="143" t="n">
        <f aca="false">AS22/$AX22</f>
        <v>0.225150326268314</v>
      </c>
      <c r="BA22" s="143" t="n">
        <f aca="false">AT22/$AX22</f>
        <v>0.114901191231907</v>
      </c>
      <c r="BB22" s="143" t="n">
        <f aca="false">AU22/$AX22</f>
        <v>0.291446074286486</v>
      </c>
      <c r="BC22" s="143" t="n">
        <f aca="false">AV22/$AX22</f>
        <v>0.0820573076927578</v>
      </c>
      <c r="BD22" s="143" t="n">
        <f aca="false">AW22/$AX22</f>
        <v>0.000195274360476469</v>
      </c>
      <c r="BF22" s="143" t="n">
        <f aca="false">AY22*(1-'Tactical &amp; Candidate'!C$8)</f>
        <v>0.286249826160059</v>
      </c>
      <c r="BG22" s="143" t="n">
        <f aca="false">AZ22*(1-'Tactical &amp; Candidate'!D$8)</f>
        <v>0.225150326268314</v>
      </c>
      <c r="BH22" s="143" t="n">
        <f aca="false">BA22*(1-'Tactical &amp; Candidate'!E$8)</f>
        <v>0.114901191231907</v>
      </c>
      <c r="BI22" s="143" t="n">
        <f aca="false">BB22*(1-'Tactical &amp; Candidate'!F$8)</f>
        <v>0.291446074286486</v>
      </c>
      <c r="BJ22" s="143" t="n">
        <f aca="false">BC22*(1-'Tactical &amp; Candidate'!G$8)</f>
        <v>0.0820573076927578</v>
      </c>
      <c r="BK22" s="143" t="n">
        <f aca="false">BD22*(1-'Tactical &amp; Candidate'!H$8)</f>
        <v>0.000195274360476469</v>
      </c>
      <c r="BL22" s="143" t="n">
        <f aca="false">LARGE(AY22:BD22,2)</f>
        <v>0.286249826160059</v>
      </c>
      <c r="BM22" s="143" t="n">
        <f aca="false">SUMPRODUCT((AY22:BD22&lt;$BL22)*AY22:BD22)*'Tactical &amp; Candidate'!$C$6</f>
        <v>0</v>
      </c>
      <c r="BN22" s="143" t="n">
        <f aca="false">MAX(BF22:BK22)</f>
        <v>0.291446074286486</v>
      </c>
      <c r="BO22" s="144" t="n">
        <f aca="false">SUMPRODUCT((BF22:BK22=$BN22)*1)</f>
        <v>1</v>
      </c>
      <c r="BQ22" s="143" t="n">
        <f aca="false">AY22*(1-'Tactical &amp; Candidate'!$C$6*(AY22&lt;$BL22))+IF(BF22=$BN22,$BM22/$BO22,0)</f>
        <v>0.286249826160059</v>
      </c>
      <c r="BR22" s="143" t="n">
        <f aca="false">AZ22*(1-'Tactical &amp; Candidate'!$C$6*(AZ22&lt;$BL22))+IF(BG22=$BN22,$BM22/$BO22,0)</f>
        <v>0.225150326268314</v>
      </c>
      <c r="BS22" s="143" t="n">
        <f aca="false">BA22*(1-'Tactical &amp; Candidate'!$C$6*(BA22&lt;$BL22))+IF(BH22=$BN22,$BM22/$BO22,0)</f>
        <v>0.114901191231907</v>
      </c>
      <c r="BT22" s="143" t="n">
        <f aca="false">BB22*(1-'Tactical &amp; Candidate'!$C$6*(BB22&lt;$BL22))+IF(BI22=$BN22,$BM22/$BO22,0)</f>
        <v>0.291446074286486</v>
      </c>
      <c r="BU22" s="143" t="n">
        <f aca="false">BC22*(1-'Tactical &amp; Candidate'!$C$6*(BC22&lt;$BL22))+IF(BJ22=$BN22,$BM22/$BO22,0)</f>
        <v>0.0820573076927578</v>
      </c>
      <c r="BV22" s="143" t="n">
        <f aca="false">BD22*(1-'Tactical &amp; Candidate'!$C$6*(BD22&lt;$BL22))+IF(BK22=$BN22,$BM22/$BO22,0)</f>
        <v>0.000195274360476469</v>
      </c>
      <c r="BW22" s="143" t="n">
        <f aca="false">SUM(BQ22:BV22)</f>
        <v>1</v>
      </c>
      <c r="BX22" s="143" t="n">
        <f aca="false">BQ22/$BW22</f>
        <v>0.286249826160059</v>
      </c>
      <c r="BY22" s="143" t="n">
        <f aca="false">BR22/$BW22</f>
        <v>0.225150326268314</v>
      </c>
      <c r="BZ22" s="143" t="n">
        <f aca="false">BS22/$BW22</f>
        <v>0.114901191231907</v>
      </c>
      <c r="CA22" s="143" t="n">
        <f aca="false">BT22/$BW22</f>
        <v>0.291446074286486</v>
      </c>
      <c r="CB22" s="143" t="n">
        <f aca="false">BU22/$BW22</f>
        <v>0.0820573076927578</v>
      </c>
      <c r="CC22" s="143" t="n">
        <f aca="false">BV22/$BW22</f>
        <v>0.000195274360476469</v>
      </c>
    </row>
    <row r="23" customFormat="false" ht="15" hidden="false" customHeight="false" outlineLevel="0" collapsed="false">
      <c r="B23" s="9" t="s">
        <v>62</v>
      </c>
      <c r="C23" s="132" t="n">
        <f aca="false">AC23/$AI23</f>
        <v>0.210607712993139</v>
      </c>
      <c r="D23" s="133" t="n">
        <f aca="false">AD23/$AI23</f>
        <v>0.350819983919666</v>
      </c>
      <c r="E23" s="134" t="n">
        <f aca="false">AE23/$AI23</f>
        <v>0.157295340688235</v>
      </c>
      <c r="F23" s="130" t="n">
        <f aca="false">AF23/$AI23</f>
        <v>0.193562501781521</v>
      </c>
      <c r="G23" s="135" t="n">
        <f aca="false">AG23/$AI23</f>
        <v>0.0877144606174391</v>
      </c>
      <c r="H23" s="136" t="n">
        <f aca="false">AH23/$AI23</f>
        <v>0</v>
      </c>
      <c r="I23" s="132" t="n">
        <f aca="false">$L$3*'Voting History'!C23+$M$3*'Voting History'!I23+$N$3*'Voting History'!O23</f>
        <v>0.223075595616637</v>
      </c>
      <c r="J23" s="133" t="n">
        <f aca="false">$L$3*'Voting History'!D23+$M$3*'Voting History'!J23+$N$3*'Voting History'!P23</f>
        <v>0.350721269555458</v>
      </c>
      <c r="K23" s="134" t="n">
        <f aca="false">$L$3*'Voting History'!E23+$M$3*'Voting History'!K23+$N$3*'Voting History'!Q23</f>
        <v>0.135578051919063</v>
      </c>
      <c r="L23" s="130" t="n">
        <f aca="false">$L$3*'Voting History'!F23+$M$3*'Voting History'!L23+$N$3*'Voting History'!R23</f>
        <v>0.21400309485234</v>
      </c>
      <c r="M23" s="135" t="n">
        <f aca="false">$L$3*'Voting History'!G23+$M$3*'Voting History'!M23+$N$3*'Voting History'!S23</f>
        <v>0.0766219880565027</v>
      </c>
      <c r="N23" s="136" t="n">
        <f aca="false">$L$3*'Voting History'!H23+$M$3*'Voting History'!N23+$N$3*'Voting History'!T23</f>
        <v>0</v>
      </c>
      <c r="O23" s="132" t="n">
        <f aca="false">Polling!C23</f>
        <v>0.201699045349932</v>
      </c>
      <c r="P23" s="133" t="n">
        <f aca="false">Polling!D23</f>
        <v>0.360823242259454</v>
      </c>
      <c r="Q23" s="134" t="n">
        <f aca="false">Polling!E23</f>
        <v>0.13251752799281</v>
      </c>
      <c r="R23" s="130" t="n">
        <f aca="false">Polling!F23</f>
        <v>0.212635610083875</v>
      </c>
      <c r="S23" s="135" t="n">
        <f aca="false">Polling!G23</f>
        <v>0.0923245743139293</v>
      </c>
      <c r="T23" s="136" t="n">
        <f aca="false">Polling!H23</f>
        <v>0</v>
      </c>
      <c r="U23" s="137" t="n">
        <f aca="false">AJ23/$AP23</f>
        <v>0.20971578320957</v>
      </c>
      <c r="V23" s="138" t="n">
        <f aca="false">AK23/$AP23</f>
        <v>0.355296771581519</v>
      </c>
      <c r="W23" s="139" t="n">
        <f aca="false">AL23/$AP23</f>
        <v>0.140716002783001</v>
      </c>
      <c r="X23" s="140" t="n">
        <f aca="false">AM23/$AP23</f>
        <v>0.207255548785285</v>
      </c>
      <c r="Y23" s="141" t="n">
        <f aca="false">AN23/$AP23</f>
        <v>0.0870158936406256</v>
      </c>
      <c r="Z23" s="142" t="n">
        <f aca="false">AO23/$AP23</f>
        <v>0</v>
      </c>
      <c r="AA23" s="53" t="n">
        <f aca="false">SUMPRODUCT(Demographics!$C23:$I23,Demographics!$C$43:$I$43)</f>
        <v>0.618146982672401</v>
      </c>
      <c r="AC23" s="143" t="n">
        <f aca="false">SUMPRODUCT(Demographics!$C23:$I23,Demographics!$C$43:$I$43,Demographics!$C$44:$I$44)</f>
        <v>0.130186522314244</v>
      </c>
      <c r="AD23" s="143" t="n">
        <f aca="false">SUMPRODUCT(Demographics!$C23:$I23,Demographics!$C$43:$I$43,Demographics!$C$45:$I$45)</f>
        <v>0.216858314521122</v>
      </c>
      <c r="AE23" s="143" t="n">
        <f aca="false">SUMPRODUCT(Demographics!$C23:$I23,Demographics!$C$43:$I$43,Demographics!$C$46:$I$46)</f>
        <v>0.0972316402348601</v>
      </c>
      <c r="AF23" s="143" t="n">
        <f aca="false">SUMPRODUCT(Demographics!$C23:$I23,Demographics!$C$43:$I$43,Demographics!$C$47:$I$47)</f>
        <v>0.119650076434768</v>
      </c>
      <c r="AG23" s="143" t="n">
        <f aca="false">SUMPRODUCT(Demographics!$C23:$I23,Demographics!$C$43:$I$43,Demographics!$C$48:$I$48)</f>
        <v>0.0542204291674071</v>
      </c>
      <c r="AH23" s="143" t="n">
        <f aca="false">SUMPRODUCT(Demographics!$C23:$I23,Demographics!$C$43:$I$43,Demographics!$C$49:$I$49)</f>
        <v>0</v>
      </c>
      <c r="AI23" s="143" t="n">
        <f aca="false">SUM(AC23:AH23)</f>
        <v>0.618146982672401</v>
      </c>
      <c r="AJ23" s="143" t="n">
        <f aca="false">$D$3*C23+$F$3*I23+$H$3*O23</f>
        <v>0.20971578320957</v>
      </c>
      <c r="AK23" s="143" t="n">
        <f aca="false">$D$3*D23+$F$3*J23+$H$3*P23</f>
        <v>0.355296771581519</v>
      </c>
      <c r="AL23" s="143" t="n">
        <f aca="false">$D$3*E23+$F$3*K23+$H$3*Q23</f>
        <v>0.140716002783001</v>
      </c>
      <c r="AM23" s="143" t="n">
        <f aca="false">$D$3*F23+$F$3*L23+$H$3*R23</f>
        <v>0.207255548785285</v>
      </c>
      <c r="AN23" s="143" t="n">
        <f aca="false">$D$3*G23+$F$3*M23+$H$3*S23</f>
        <v>0.0870158936406256</v>
      </c>
      <c r="AO23" s="143" t="n">
        <f aca="false">$D$3*H23+$F$3*N23+$H$3*T23</f>
        <v>0</v>
      </c>
      <c r="AP23" s="143" t="n">
        <f aca="false">SUM(AJ23:AO23)</f>
        <v>1</v>
      </c>
      <c r="AR23" s="143" t="n">
        <f aca="false">MAX(0.0002,U23+Incumbency!C$20*Incumbency!$C$6+'Tactical &amp; Candidate'!C$12/100)</f>
        <v>0.20971578320957</v>
      </c>
      <c r="AS23" s="143" t="n">
        <f aca="false">MAX(0.0002,V23+Incumbency!D$20*Incumbency!$C$6+'Tactical &amp; Candidate'!D$12/100)</f>
        <v>0.379296771581519</v>
      </c>
      <c r="AT23" s="143" t="n">
        <f aca="false">MAX(0.0002,W23+Incumbency!E$20*Incumbency!$C$6+'Tactical &amp; Candidate'!E$12/100)</f>
        <v>0.140716002783001</v>
      </c>
      <c r="AU23" s="143" t="n">
        <f aca="false">MAX(0.0002,X23+Incumbency!F$20*Incumbency!$C$6+'Tactical &amp; Candidate'!F$12/100)</f>
        <v>0.207255548785285</v>
      </c>
      <c r="AV23" s="143" t="n">
        <f aca="false">MAX(0.0002,Y23+Incumbency!G$20*Incumbency!$C$6+'Tactical &amp; Candidate'!G$12/100)</f>
        <v>0.0870158936406256</v>
      </c>
      <c r="AW23" s="143" t="n">
        <f aca="false">MAX(0.0002,Z23+Incumbency!H$20*Incumbency!$C$6+'Tactical &amp; Candidate'!H$12/100)</f>
        <v>0.0002</v>
      </c>
      <c r="AX23" s="143" t="n">
        <f aca="false">SUM(AR23:AW23)</f>
        <v>1.0242</v>
      </c>
      <c r="AY23" s="143" t="n">
        <f aca="false">AR23/$AX23</f>
        <v>0.204760577240354</v>
      </c>
      <c r="AZ23" s="143" t="n">
        <f aca="false">AS23/$AX23</f>
        <v>0.370334672506853</v>
      </c>
      <c r="BA23" s="143" t="n">
        <f aca="false">AT23/$AX23</f>
        <v>0.137391137261278</v>
      </c>
      <c r="BB23" s="143" t="n">
        <f aca="false">AU23/$AX23</f>
        <v>0.202358473721231</v>
      </c>
      <c r="BC23" s="143" t="n">
        <f aca="false">AV23/$AX23</f>
        <v>0.0849598649098082</v>
      </c>
      <c r="BD23" s="143" t="n">
        <f aca="false">AW23/$AX23</f>
        <v>0.000195274360476469</v>
      </c>
      <c r="BF23" s="143" t="n">
        <f aca="false">AY23*(1-'Tactical &amp; Candidate'!C$8)</f>
        <v>0.204760577240354</v>
      </c>
      <c r="BG23" s="143" t="n">
        <f aca="false">AZ23*(1-'Tactical &amp; Candidate'!D$8)</f>
        <v>0.370334672506853</v>
      </c>
      <c r="BH23" s="143" t="n">
        <f aca="false">BA23*(1-'Tactical &amp; Candidate'!E$8)</f>
        <v>0.137391137261278</v>
      </c>
      <c r="BI23" s="143" t="n">
        <f aca="false">BB23*(1-'Tactical &amp; Candidate'!F$8)</f>
        <v>0.202358473721231</v>
      </c>
      <c r="BJ23" s="143" t="n">
        <f aca="false">BC23*(1-'Tactical &amp; Candidate'!G$8)</f>
        <v>0.0849598649098082</v>
      </c>
      <c r="BK23" s="143" t="n">
        <f aca="false">BD23*(1-'Tactical &amp; Candidate'!H$8)</f>
        <v>0.000195274360476469</v>
      </c>
      <c r="BL23" s="143" t="n">
        <f aca="false">LARGE(AY23:BD23,2)</f>
        <v>0.204760577240354</v>
      </c>
      <c r="BM23" s="143" t="n">
        <f aca="false">SUMPRODUCT((AY23:BD23&lt;$BL23)*AY23:BD23)*'Tactical &amp; Candidate'!$C$6</f>
        <v>0</v>
      </c>
      <c r="BN23" s="143" t="n">
        <f aca="false">MAX(BF23:BK23)</f>
        <v>0.370334672506853</v>
      </c>
      <c r="BO23" s="144" t="n">
        <f aca="false">SUMPRODUCT((BF23:BK23=$BN23)*1)</f>
        <v>1</v>
      </c>
      <c r="BQ23" s="143" t="n">
        <f aca="false">AY23*(1-'Tactical &amp; Candidate'!$C$6*(AY23&lt;$BL23))+IF(BF23=$BN23,$BM23/$BO23,0)</f>
        <v>0.204760577240354</v>
      </c>
      <c r="BR23" s="143" t="n">
        <f aca="false">AZ23*(1-'Tactical &amp; Candidate'!$C$6*(AZ23&lt;$BL23))+IF(BG23=$BN23,$BM23/$BO23,0)</f>
        <v>0.370334672506853</v>
      </c>
      <c r="BS23" s="143" t="n">
        <f aca="false">BA23*(1-'Tactical &amp; Candidate'!$C$6*(BA23&lt;$BL23))+IF(BH23=$BN23,$BM23/$BO23,0)</f>
        <v>0.137391137261278</v>
      </c>
      <c r="BT23" s="143" t="n">
        <f aca="false">BB23*(1-'Tactical &amp; Candidate'!$C$6*(BB23&lt;$BL23))+IF(BI23=$BN23,$BM23/$BO23,0)</f>
        <v>0.202358473721231</v>
      </c>
      <c r="BU23" s="143" t="n">
        <f aca="false">BC23*(1-'Tactical &amp; Candidate'!$C$6*(BC23&lt;$BL23))+IF(BJ23=$BN23,$BM23/$BO23,0)</f>
        <v>0.0849598649098082</v>
      </c>
      <c r="BV23" s="143" t="n">
        <f aca="false">BD23*(1-'Tactical &amp; Candidate'!$C$6*(BD23&lt;$BL23))+IF(BK23=$BN23,$BM23/$BO23,0)</f>
        <v>0.000195274360476469</v>
      </c>
      <c r="BW23" s="143" t="n">
        <f aca="false">SUM(BQ23:BV23)</f>
        <v>1</v>
      </c>
      <c r="BX23" s="143" t="n">
        <f aca="false">BQ23/$BW23</f>
        <v>0.204760577240354</v>
      </c>
      <c r="BY23" s="143" t="n">
        <f aca="false">BR23/$BW23</f>
        <v>0.370334672506853</v>
      </c>
      <c r="BZ23" s="143" t="n">
        <f aca="false">BS23/$BW23</f>
        <v>0.137391137261278</v>
      </c>
      <c r="CA23" s="143" t="n">
        <f aca="false">BT23/$BW23</f>
        <v>0.202358473721231</v>
      </c>
      <c r="CB23" s="143" t="n">
        <f aca="false">BU23/$BW23</f>
        <v>0.0849598649098082</v>
      </c>
      <c r="CC23" s="143" t="n">
        <f aca="false">BV23/$BW23</f>
        <v>0.000195274360476469</v>
      </c>
    </row>
    <row r="24" customFormat="false" ht="15" hidden="false" customHeight="false" outlineLevel="0" collapsed="false">
      <c r="B24" s="21" t="s">
        <v>64</v>
      </c>
      <c r="C24" s="145" t="n">
        <f aca="false">AC24/$AI24</f>
        <v>0.223957013505801</v>
      </c>
      <c r="D24" s="146" t="n">
        <f aca="false">AD24/$AI24</f>
        <v>0.307903843309726</v>
      </c>
      <c r="E24" s="147" t="n">
        <f aca="false">AE24/$AI24</f>
        <v>0.182874883846498</v>
      </c>
      <c r="F24" s="148" t="n">
        <f aca="false">AF24/$AI24</f>
        <v>0.19163643070108</v>
      </c>
      <c r="G24" s="149" t="n">
        <f aca="false">AG24/$AI24</f>
        <v>0.0936278286368946</v>
      </c>
      <c r="H24" s="150" t="n">
        <f aca="false">AH24/$AI24</f>
        <v>0</v>
      </c>
      <c r="I24" s="145" t="n">
        <f aca="false">$L$3*'Voting History'!C24+$M$3*'Voting History'!I24+$N$3*'Voting History'!O24</f>
        <v>0.261484182502461</v>
      </c>
      <c r="J24" s="146" t="n">
        <f aca="false">$L$3*'Voting History'!D24+$M$3*'Voting History'!J24+$N$3*'Voting History'!P24</f>
        <v>0.342583157932716</v>
      </c>
      <c r="K24" s="147" t="n">
        <f aca="false">$L$3*'Voting History'!E24+$M$3*'Voting History'!K24+$N$3*'Voting History'!Q24</f>
        <v>0.177816570966176</v>
      </c>
      <c r="L24" s="148" t="n">
        <f aca="false">$L$3*'Voting History'!F24+$M$3*'Voting History'!L24+$N$3*'Voting History'!R24</f>
        <v>0.153809777310955</v>
      </c>
      <c r="M24" s="149" t="n">
        <f aca="false">$L$3*'Voting History'!G24+$M$3*'Voting History'!M24+$N$3*'Voting History'!S24</f>
        <v>0.0643063112876915</v>
      </c>
      <c r="N24" s="150" t="n">
        <f aca="false">$L$3*'Voting History'!H24+$M$3*'Voting History'!N24+$N$3*'Voting History'!T24</f>
        <v>0</v>
      </c>
      <c r="O24" s="145" t="n">
        <f aca="false">Polling!C24</f>
        <v>0.236313036451467</v>
      </c>
      <c r="P24" s="146" t="n">
        <f aca="false">Polling!D24</f>
        <v>0.400593134200659</v>
      </c>
      <c r="Q24" s="147" t="n">
        <f aca="false">Polling!E24</f>
        <v>0.177700591224149</v>
      </c>
      <c r="R24" s="148" t="n">
        <f aca="false">Polling!F24</f>
        <v>0.130582243092721</v>
      </c>
      <c r="S24" s="149" t="n">
        <f aca="false">Polling!G24</f>
        <v>0.0548109950310049</v>
      </c>
      <c r="T24" s="150" t="n">
        <f aca="false">Polling!H24</f>
        <v>0</v>
      </c>
      <c r="U24" s="151" t="n">
        <f aca="false">AJ24/$AP24</f>
        <v>0.238899016080516</v>
      </c>
      <c r="V24" s="152" t="n">
        <f aca="false">AK24/$AP24</f>
        <v>0.358283852866393</v>
      </c>
      <c r="W24" s="153" t="n">
        <f aca="false">AL24/$AP24</f>
        <v>0.17928187394636</v>
      </c>
      <c r="X24" s="154" t="n">
        <f aca="false">AM24/$AP24</f>
        <v>0.154705382929787</v>
      </c>
      <c r="Y24" s="155" t="n">
        <f aca="false">AN24/$AP24</f>
        <v>0.0688298741769434</v>
      </c>
      <c r="Z24" s="156" t="n">
        <f aca="false">AO24/$AP24</f>
        <v>0</v>
      </c>
      <c r="AA24" s="64" t="n">
        <f aca="false">SUMPRODUCT(Demographics!$C24:$I24,Demographics!$C$43:$I$43)</f>
        <v>0.635761095542182</v>
      </c>
      <c r="AC24" s="143" t="n">
        <f aca="false">SUMPRODUCT(Demographics!$C24:$I24,Demographics!$C$43:$I$43,Demographics!$C$44:$I$44)</f>
        <v>0.142383156260803</v>
      </c>
      <c r="AD24" s="143" t="n">
        <f aca="false">SUMPRODUCT(Demographics!$C24:$I24,Demographics!$C$43:$I$43,Demographics!$C$45:$I$45)</f>
        <v>0.19575328474424</v>
      </c>
      <c r="AE24" s="143" t="n">
        <f aca="false">SUMPRODUCT(Demographics!$C24:$I24,Demographics!$C$43:$I$43,Demographics!$C$46:$I$46)</f>
        <v>0.116264736501399</v>
      </c>
      <c r="AF24" s="143" t="n">
        <f aca="false">SUMPRODUCT(Demographics!$C24:$I24,Demographics!$C$43:$I$43,Demographics!$C$47:$I$47)</f>
        <v>0.121834987128312</v>
      </c>
      <c r="AG24" s="143" t="n">
        <f aca="false">SUMPRODUCT(Demographics!$C24:$I24,Demographics!$C$43:$I$43,Demographics!$C$48:$I$48)</f>
        <v>0.0595249309074277</v>
      </c>
      <c r="AH24" s="143" t="n">
        <f aca="false">SUMPRODUCT(Demographics!$C24:$I24,Demographics!$C$43:$I$43,Demographics!$C$49:$I$49)</f>
        <v>0</v>
      </c>
      <c r="AI24" s="143" t="n">
        <f aca="false">SUM(AC24:AH24)</f>
        <v>0.635761095542182</v>
      </c>
      <c r="AJ24" s="143" t="n">
        <f aca="false">$D$3*C24+$F$3*I24+$H$3*O24</f>
        <v>0.238899016080516</v>
      </c>
      <c r="AK24" s="143" t="n">
        <f aca="false">$D$3*D24+$F$3*J24+$H$3*P24</f>
        <v>0.358283852866393</v>
      </c>
      <c r="AL24" s="143" t="n">
        <f aca="false">$D$3*E24+$F$3*K24+$H$3*Q24</f>
        <v>0.17928187394636</v>
      </c>
      <c r="AM24" s="143" t="n">
        <f aca="false">$D$3*F24+$F$3*L24+$H$3*R24</f>
        <v>0.154705382929787</v>
      </c>
      <c r="AN24" s="143" t="n">
        <f aca="false">$D$3*G24+$F$3*M24+$H$3*S24</f>
        <v>0.0688298741769434</v>
      </c>
      <c r="AO24" s="143" t="n">
        <f aca="false">$D$3*H24+$F$3*N24+$H$3*T24</f>
        <v>0</v>
      </c>
      <c r="AP24" s="143" t="n">
        <f aca="false">SUM(AJ24:AO24)</f>
        <v>1</v>
      </c>
      <c r="AR24" s="143" t="n">
        <f aca="false">MAX(0.0002,U24+Incumbency!C$20*Incumbency!$C$6+'Tactical &amp; Candidate'!C$12/100)</f>
        <v>0.238899016080516</v>
      </c>
      <c r="AS24" s="143" t="n">
        <f aca="false">MAX(0.0002,V24+Incumbency!D$20*Incumbency!$C$6+'Tactical &amp; Candidate'!D$12/100)</f>
        <v>0.382283852866393</v>
      </c>
      <c r="AT24" s="143" t="n">
        <f aca="false">MAX(0.0002,W24+Incumbency!E$20*Incumbency!$C$6+'Tactical &amp; Candidate'!E$12/100)</f>
        <v>0.17928187394636</v>
      </c>
      <c r="AU24" s="143" t="n">
        <f aca="false">MAX(0.0002,X24+Incumbency!F$20*Incumbency!$C$6+'Tactical &amp; Candidate'!F$12/100)</f>
        <v>0.154705382929787</v>
      </c>
      <c r="AV24" s="143" t="n">
        <f aca="false">MAX(0.0002,Y24+Incumbency!G$20*Incumbency!$C$6+'Tactical &amp; Candidate'!G$12/100)</f>
        <v>0.0688298741769434</v>
      </c>
      <c r="AW24" s="143" t="n">
        <f aca="false">MAX(0.0002,Z24+Incumbency!H$20*Incumbency!$C$6+'Tactical &amp; Candidate'!H$12/100)</f>
        <v>0.0002</v>
      </c>
      <c r="AX24" s="143" t="n">
        <f aca="false">SUM(AR24:AW24)</f>
        <v>1.0242</v>
      </c>
      <c r="AY24" s="143" t="n">
        <f aca="false">AR24/$AX24</f>
        <v>0.233254262917902</v>
      </c>
      <c r="AZ24" s="143" t="n">
        <f aca="false">AS24/$AX24</f>
        <v>0.373251174444829</v>
      </c>
      <c r="BA24" s="143" t="n">
        <f aca="false">AT24/$AX24</f>
        <v>0.175045766399493</v>
      </c>
      <c r="BB24" s="143" t="n">
        <f aca="false">AU24/$AX24</f>
        <v>0.151049973569408</v>
      </c>
      <c r="BC24" s="143" t="n">
        <f aca="false">AV24/$AX24</f>
        <v>0.0672035483078924</v>
      </c>
      <c r="BD24" s="143" t="n">
        <f aca="false">AW24/$AX24</f>
        <v>0.000195274360476469</v>
      </c>
      <c r="BF24" s="143" t="n">
        <f aca="false">AY24*(1-'Tactical &amp; Candidate'!C$8)</f>
        <v>0.233254262917902</v>
      </c>
      <c r="BG24" s="143" t="n">
        <f aca="false">AZ24*(1-'Tactical &amp; Candidate'!D$8)</f>
        <v>0.373251174444829</v>
      </c>
      <c r="BH24" s="143" t="n">
        <f aca="false">BA24*(1-'Tactical &amp; Candidate'!E$8)</f>
        <v>0.175045766399493</v>
      </c>
      <c r="BI24" s="143" t="n">
        <f aca="false">BB24*(1-'Tactical &amp; Candidate'!F$8)</f>
        <v>0.151049973569408</v>
      </c>
      <c r="BJ24" s="143" t="n">
        <f aca="false">BC24*(1-'Tactical &amp; Candidate'!G$8)</f>
        <v>0.0672035483078924</v>
      </c>
      <c r="BK24" s="143" t="n">
        <f aca="false">BD24*(1-'Tactical &amp; Candidate'!H$8)</f>
        <v>0.000195274360476469</v>
      </c>
      <c r="BL24" s="143" t="n">
        <f aca="false">LARGE(AY24:BD24,2)</f>
        <v>0.233254262917902</v>
      </c>
      <c r="BM24" s="143" t="n">
        <f aca="false">SUMPRODUCT((AY24:BD24&lt;$BL24)*AY24:BD24)*'Tactical &amp; Candidate'!$C$6</f>
        <v>0</v>
      </c>
      <c r="BN24" s="143" t="n">
        <f aca="false">MAX(BF24:BK24)</f>
        <v>0.373251174444829</v>
      </c>
      <c r="BO24" s="144" t="n">
        <f aca="false">SUMPRODUCT((BF24:BK24=$BN24)*1)</f>
        <v>1</v>
      </c>
      <c r="BQ24" s="143" t="n">
        <f aca="false">AY24*(1-'Tactical &amp; Candidate'!$C$6*(AY24&lt;$BL24))+IF(BF24=$BN24,$BM24/$BO24,0)</f>
        <v>0.233254262917902</v>
      </c>
      <c r="BR24" s="143" t="n">
        <f aca="false">AZ24*(1-'Tactical &amp; Candidate'!$C$6*(AZ24&lt;$BL24))+IF(BG24=$BN24,$BM24/$BO24,0)</f>
        <v>0.373251174444829</v>
      </c>
      <c r="BS24" s="143" t="n">
        <f aca="false">BA24*(1-'Tactical &amp; Candidate'!$C$6*(BA24&lt;$BL24))+IF(BH24=$BN24,$BM24/$BO24,0)</f>
        <v>0.175045766399493</v>
      </c>
      <c r="BT24" s="143" t="n">
        <f aca="false">BB24*(1-'Tactical &amp; Candidate'!$C$6*(BB24&lt;$BL24))+IF(BI24=$BN24,$BM24/$BO24,0)</f>
        <v>0.151049973569408</v>
      </c>
      <c r="BU24" s="143" t="n">
        <f aca="false">BC24*(1-'Tactical &amp; Candidate'!$C$6*(BC24&lt;$BL24))+IF(BJ24=$BN24,$BM24/$BO24,0)</f>
        <v>0.0672035483078924</v>
      </c>
      <c r="BV24" s="143" t="n">
        <f aca="false">BD24*(1-'Tactical &amp; Candidate'!$C$6*(BD24&lt;$BL24))+IF(BK24=$BN24,$BM24/$BO24,0)</f>
        <v>0.000195274360476469</v>
      </c>
      <c r="BW24" s="143" t="n">
        <f aca="false">SUM(BQ24:BV24)</f>
        <v>1</v>
      </c>
      <c r="BX24" s="143" t="n">
        <f aca="false">BQ24/$BW24</f>
        <v>0.233254262917902</v>
      </c>
      <c r="BY24" s="143" t="n">
        <f aca="false">BR24/$BW24</f>
        <v>0.373251174444829</v>
      </c>
      <c r="BZ24" s="143" t="n">
        <f aca="false">BS24/$BW24</f>
        <v>0.175045766399493</v>
      </c>
      <c r="CA24" s="143" t="n">
        <f aca="false">BT24/$BW24</f>
        <v>0.151049973569408</v>
      </c>
      <c r="CB24" s="143" t="n">
        <f aca="false">BU24/$BW24</f>
        <v>0.0672035483078924</v>
      </c>
      <c r="CC24" s="143" t="n">
        <f aca="false">BV24/$BW24</f>
        <v>0.000195274360476469</v>
      </c>
    </row>
    <row r="25" customFormat="false" ht="15" hidden="false" customHeight="false" outlineLevel="0" collapsed="false">
      <c r="B25" s="9" t="s">
        <v>65</v>
      </c>
      <c r="C25" s="132" t="n">
        <f aca="false">AC25/$AI25</f>
        <v>0.216793269829341</v>
      </c>
      <c r="D25" s="133" t="n">
        <f aca="false">AD25/$AI25</f>
        <v>0.333684525647992</v>
      </c>
      <c r="E25" s="134" t="n">
        <f aca="false">AE25/$AI25</f>
        <v>0.155638382350972</v>
      </c>
      <c r="F25" s="130" t="n">
        <f aca="false">AF25/$AI25</f>
        <v>0.203979381267162</v>
      </c>
      <c r="G25" s="135" t="n">
        <f aca="false">AG25/$AI25</f>
        <v>0.0899044409045334</v>
      </c>
      <c r="H25" s="136" t="n">
        <f aca="false">AH25/$AI25</f>
        <v>0</v>
      </c>
      <c r="I25" s="132" t="n">
        <f aca="false">$L$3*'Voting History'!C25+$M$3*'Voting History'!I25+$N$3*'Voting History'!O25</f>
        <v>0.224302726036906</v>
      </c>
      <c r="J25" s="133" t="n">
        <f aca="false">$L$3*'Voting History'!D25+$M$3*'Voting History'!J25+$N$3*'Voting History'!P25</f>
        <v>0.347369614647724</v>
      </c>
      <c r="K25" s="134" t="n">
        <f aca="false">$L$3*'Voting History'!E25+$M$3*'Voting History'!K25+$N$3*'Voting History'!Q25</f>
        <v>0.152568593225743</v>
      </c>
      <c r="L25" s="130" t="n">
        <f aca="false">$L$3*'Voting History'!F25+$M$3*'Voting History'!L25+$N$3*'Voting History'!R25</f>
        <v>0.205147179806199</v>
      </c>
      <c r="M25" s="135" t="n">
        <f aca="false">$L$3*'Voting History'!G25+$M$3*'Voting History'!M25+$N$3*'Voting History'!S25</f>
        <v>0.0706118862834278</v>
      </c>
      <c r="N25" s="136" t="n">
        <f aca="false">$L$3*'Voting History'!H25+$M$3*'Voting History'!N25+$N$3*'Voting History'!T25</f>
        <v>0</v>
      </c>
      <c r="O25" s="132" t="n">
        <f aca="false">Polling!C25</f>
        <v>0.255729787155054</v>
      </c>
      <c r="P25" s="133" t="n">
        <f aca="false">Polling!D25</f>
        <v>0.322505525144952</v>
      </c>
      <c r="Q25" s="134" t="n">
        <f aca="false">Polling!E25</f>
        <v>0.140891554403668</v>
      </c>
      <c r="R25" s="130" t="n">
        <f aca="false">Polling!F25</f>
        <v>0.20435131902967</v>
      </c>
      <c r="S25" s="135" t="n">
        <f aca="false">Polling!G25</f>
        <v>0.0765218142666555</v>
      </c>
      <c r="T25" s="136" t="n">
        <f aca="false">Polling!H25</f>
        <v>0</v>
      </c>
      <c r="U25" s="137" t="n">
        <f aca="false">AJ25/$AP25</f>
        <v>0.236192066677803</v>
      </c>
      <c r="V25" s="138" t="n">
        <f aca="false">AK25/$AP25</f>
        <v>0.332075247671557</v>
      </c>
      <c r="W25" s="139" t="n">
        <f aca="false">AL25/$AP25</f>
        <v>0.148234862493378</v>
      </c>
      <c r="X25" s="140" t="n">
        <f aca="false">AM25/$AP25</f>
        <v>0.20443870289505</v>
      </c>
      <c r="Y25" s="141" t="n">
        <f aca="false">AN25/$AP25</f>
        <v>0.0790591202622119</v>
      </c>
      <c r="Z25" s="142" t="n">
        <f aca="false">AO25/$AP25</f>
        <v>0</v>
      </c>
      <c r="AA25" s="53" t="n">
        <f aca="false">SUMPRODUCT(Demographics!$C25:$I25,Demographics!$C$43:$I$43)</f>
        <v>0.608895828511053</v>
      </c>
      <c r="AC25" s="143" t="n">
        <f aca="false">SUMPRODUCT(Demographics!$C25:$I25,Demographics!$C$43:$I$43,Demographics!$C$44:$I$44)</f>
        <v>0.132004517648357</v>
      </c>
      <c r="AD25" s="143" t="n">
        <f aca="false">SUMPRODUCT(Demographics!$C25:$I25,Demographics!$C$43:$I$43,Demographics!$C$45:$I$45)</f>
        <v>0.203179115705752</v>
      </c>
      <c r="AE25" s="143" t="n">
        <f aca="false">SUMPRODUCT(Demographics!$C25:$I25,Demographics!$C$43:$I$43,Demographics!$C$46:$I$46)</f>
        <v>0.0947675617697148</v>
      </c>
      <c r="AF25" s="143" t="n">
        <f aca="false">SUMPRODUCT(Demographics!$C25:$I25,Demographics!$C$43:$I$43,Demographics!$C$47:$I$47)</f>
        <v>0.124202194355841</v>
      </c>
      <c r="AG25" s="143" t="n">
        <f aca="false">SUMPRODUCT(Demographics!$C25:$I25,Demographics!$C$43:$I$43,Demographics!$C$48:$I$48)</f>
        <v>0.0547424390313889</v>
      </c>
      <c r="AH25" s="143" t="n">
        <f aca="false">SUMPRODUCT(Demographics!$C25:$I25,Demographics!$C$43:$I$43,Demographics!$C$49:$I$49)</f>
        <v>0</v>
      </c>
      <c r="AI25" s="143" t="n">
        <f aca="false">SUM(AC25:AH25)</f>
        <v>0.608895828511053</v>
      </c>
      <c r="AJ25" s="143" t="n">
        <f aca="false">$D$3*C25+$F$3*I25+$H$3*O25</f>
        <v>0.236192066677803</v>
      </c>
      <c r="AK25" s="143" t="n">
        <f aca="false">$D$3*D25+$F$3*J25+$H$3*P25</f>
        <v>0.332075247671557</v>
      </c>
      <c r="AL25" s="143" t="n">
        <f aca="false">$D$3*E25+$F$3*K25+$H$3*Q25</f>
        <v>0.148234862493378</v>
      </c>
      <c r="AM25" s="143" t="n">
        <f aca="false">$D$3*F25+$F$3*L25+$H$3*R25</f>
        <v>0.20443870289505</v>
      </c>
      <c r="AN25" s="143" t="n">
        <f aca="false">$D$3*G25+$F$3*M25+$H$3*S25</f>
        <v>0.0790591202622119</v>
      </c>
      <c r="AO25" s="143" t="n">
        <f aca="false">$D$3*H25+$F$3*N25+$H$3*T25</f>
        <v>0</v>
      </c>
      <c r="AP25" s="143" t="n">
        <f aca="false">SUM(AJ25:AO25)</f>
        <v>1</v>
      </c>
      <c r="AR25" s="143" t="n">
        <f aca="false">MAX(0.0002,U25+Incumbency!C$20*Incumbency!$C$6+'Tactical &amp; Candidate'!C$12/100)</f>
        <v>0.236192066677803</v>
      </c>
      <c r="AS25" s="143" t="n">
        <f aca="false">MAX(0.0002,V25+Incumbency!D$20*Incumbency!$C$6+'Tactical &amp; Candidate'!D$12/100)</f>
        <v>0.356075247671557</v>
      </c>
      <c r="AT25" s="143" t="n">
        <f aca="false">MAX(0.0002,W25+Incumbency!E$20*Incumbency!$C$6+'Tactical &amp; Candidate'!E$12/100)</f>
        <v>0.148234862493378</v>
      </c>
      <c r="AU25" s="143" t="n">
        <f aca="false">MAX(0.0002,X25+Incumbency!F$20*Incumbency!$C$6+'Tactical &amp; Candidate'!F$12/100)</f>
        <v>0.20443870289505</v>
      </c>
      <c r="AV25" s="143" t="n">
        <f aca="false">MAX(0.0002,Y25+Incumbency!G$20*Incumbency!$C$6+'Tactical &amp; Candidate'!G$12/100)</f>
        <v>0.0790591202622119</v>
      </c>
      <c r="AW25" s="143" t="n">
        <f aca="false">MAX(0.0002,Z25+Incumbency!H$20*Incumbency!$C$6+'Tactical &amp; Candidate'!H$12/100)</f>
        <v>0.0002</v>
      </c>
      <c r="AX25" s="143" t="n">
        <f aca="false">SUM(AR25:AW25)</f>
        <v>1.0242</v>
      </c>
      <c r="AY25" s="143" t="n">
        <f aca="false">AR25/$AX25</f>
        <v>0.230611273850618</v>
      </c>
      <c r="AZ25" s="143" t="n">
        <f aca="false">AS25/$AX25</f>
        <v>0.347661831352819</v>
      </c>
      <c r="BA25" s="143" t="n">
        <f aca="false">AT25/$AX25</f>
        <v>0.144732339868559</v>
      </c>
      <c r="BB25" s="143" t="n">
        <f aca="false">AU25/$AX25</f>
        <v>0.199608184822349</v>
      </c>
      <c r="BC25" s="143" t="n">
        <f aca="false">AV25/$AX25</f>
        <v>0.0771910957451786</v>
      </c>
      <c r="BD25" s="143" t="n">
        <f aca="false">AW25/$AX25</f>
        <v>0.000195274360476469</v>
      </c>
      <c r="BF25" s="143" t="n">
        <f aca="false">AY25*(1-'Tactical &amp; Candidate'!C$8)</f>
        <v>0.230611273850618</v>
      </c>
      <c r="BG25" s="143" t="n">
        <f aca="false">AZ25*(1-'Tactical &amp; Candidate'!D$8)</f>
        <v>0.347661831352819</v>
      </c>
      <c r="BH25" s="143" t="n">
        <f aca="false">BA25*(1-'Tactical &amp; Candidate'!E$8)</f>
        <v>0.144732339868559</v>
      </c>
      <c r="BI25" s="143" t="n">
        <f aca="false">BB25*(1-'Tactical &amp; Candidate'!F$8)</f>
        <v>0.199608184822349</v>
      </c>
      <c r="BJ25" s="143" t="n">
        <f aca="false">BC25*(1-'Tactical &amp; Candidate'!G$8)</f>
        <v>0.0771910957451786</v>
      </c>
      <c r="BK25" s="143" t="n">
        <f aca="false">BD25*(1-'Tactical &amp; Candidate'!H$8)</f>
        <v>0.000195274360476469</v>
      </c>
      <c r="BL25" s="143" t="n">
        <f aca="false">LARGE(AY25:BD25,2)</f>
        <v>0.230611273850618</v>
      </c>
      <c r="BM25" s="143" t="n">
        <f aca="false">SUMPRODUCT((AY25:BD25&lt;$BL25)*AY25:BD25)*'Tactical &amp; Candidate'!$C$6</f>
        <v>0</v>
      </c>
      <c r="BN25" s="143" t="n">
        <f aca="false">MAX(BF25:BK25)</f>
        <v>0.347661831352819</v>
      </c>
      <c r="BO25" s="144" t="n">
        <f aca="false">SUMPRODUCT((BF25:BK25=$BN25)*1)</f>
        <v>1</v>
      </c>
      <c r="BQ25" s="143" t="n">
        <f aca="false">AY25*(1-'Tactical &amp; Candidate'!$C$6*(AY25&lt;$BL25))+IF(BF25=$BN25,$BM25/$BO25,0)</f>
        <v>0.230611273850618</v>
      </c>
      <c r="BR25" s="143" t="n">
        <f aca="false">AZ25*(1-'Tactical &amp; Candidate'!$C$6*(AZ25&lt;$BL25))+IF(BG25=$BN25,$BM25/$BO25,0)</f>
        <v>0.347661831352819</v>
      </c>
      <c r="BS25" s="143" t="n">
        <f aca="false">BA25*(1-'Tactical &amp; Candidate'!$C$6*(BA25&lt;$BL25))+IF(BH25=$BN25,$BM25/$BO25,0)</f>
        <v>0.144732339868559</v>
      </c>
      <c r="BT25" s="143" t="n">
        <f aca="false">BB25*(1-'Tactical &amp; Candidate'!$C$6*(BB25&lt;$BL25))+IF(BI25=$BN25,$BM25/$BO25,0)</f>
        <v>0.199608184822349</v>
      </c>
      <c r="BU25" s="143" t="n">
        <f aca="false">BC25*(1-'Tactical &amp; Candidate'!$C$6*(BC25&lt;$BL25))+IF(BJ25=$BN25,$BM25/$BO25,0)</f>
        <v>0.0771910957451786</v>
      </c>
      <c r="BV25" s="143" t="n">
        <f aca="false">BD25*(1-'Tactical &amp; Candidate'!$C$6*(BD25&lt;$BL25))+IF(BK25=$BN25,$BM25/$BO25,0)</f>
        <v>0.000195274360476469</v>
      </c>
      <c r="BW25" s="143" t="n">
        <f aca="false">SUM(BQ25:BV25)</f>
        <v>1</v>
      </c>
      <c r="BX25" s="143" t="n">
        <f aca="false">BQ25/$BW25</f>
        <v>0.230611273850618</v>
      </c>
      <c r="BY25" s="143" t="n">
        <f aca="false">BR25/$BW25</f>
        <v>0.347661831352819</v>
      </c>
      <c r="BZ25" s="143" t="n">
        <f aca="false">BS25/$BW25</f>
        <v>0.144732339868559</v>
      </c>
      <c r="CA25" s="143" t="n">
        <f aca="false">BT25/$BW25</f>
        <v>0.199608184822349</v>
      </c>
      <c r="CB25" s="143" t="n">
        <f aca="false">BU25/$BW25</f>
        <v>0.0771910957451786</v>
      </c>
      <c r="CC25" s="143" t="n">
        <f aca="false">BV25/$BW25</f>
        <v>0.000195274360476469</v>
      </c>
    </row>
    <row r="26" customFormat="false" ht="15" hidden="false" customHeight="false" outlineLevel="0" collapsed="false">
      <c r="B26" s="21" t="s">
        <v>67</v>
      </c>
      <c r="C26" s="145" t="n">
        <f aca="false">AC26/$AI26</f>
        <v>0.216364738625091</v>
      </c>
      <c r="D26" s="146" t="n">
        <f aca="false">AD26/$AI26</f>
        <v>0.333137604439038</v>
      </c>
      <c r="E26" s="147" t="n">
        <f aca="false">AE26/$AI26</f>
        <v>0.151386847681895</v>
      </c>
      <c r="F26" s="148" t="n">
        <f aca="false">AF26/$AI26</f>
        <v>0.209011277866801</v>
      </c>
      <c r="G26" s="149" t="n">
        <f aca="false">AG26/$AI26</f>
        <v>0.0900995313871742</v>
      </c>
      <c r="H26" s="150" t="n">
        <f aca="false">AH26/$AI26</f>
        <v>0</v>
      </c>
      <c r="I26" s="145" t="n">
        <f aca="false">$L$3*'Voting History'!C26+$M$3*'Voting History'!I26+$N$3*'Voting History'!O26</f>
        <v>0.294791033595906</v>
      </c>
      <c r="J26" s="146" t="n">
        <f aca="false">$L$3*'Voting History'!D26+$M$3*'Voting History'!J26+$N$3*'Voting History'!P26</f>
        <v>0.249616118818413</v>
      </c>
      <c r="K26" s="147" t="n">
        <f aca="false">$L$3*'Voting History'!E26+$M$3*'Voting History'!K26+$N$3*'Voting History'!Q26</f>
        <v>0.107671047984485</v>
      </c>
      <c r="L26" s="148" t="n">
        <f aca="false">$L$3*'Voting History'!F26+$M$3*'Voting History'!L26+$N$3*'Voting History'!R26</f>
        <v>0.279099941127455</v>
      </c>
      <c r="M26" s="149" t="n">
        <f aca="false">$L$3*'Voting History'!G26+$M$3*'Voting History'!M26+$N$3*'Voting History'!S26</f>
        <v>0.0688218584737416</v>
      </c>
      <c r="N26" s="150" t="n">
        <f aca="false">$L$3*'Voting History'!H26+$M$3*'Voting History'!N26+$N$3*'Voting History'!T26</f>
        <v>0</v>
      </c>
      <c r="O26" s="145" t="n">
        <f aca="false">Polling!C26</f>
        <v>0.312423582902275</v>
      </c>
      <c r="P26" s="146" t="n">
        <f aca="false">Polling!D26</f>
        <v>0.291639522239302</v>
      </c>
      <c r="Q26" s="147" t="n">
        <f aca="false">Polling!E26</f>
        <v>0.0974493053055718</v>
      </c>
      <c r="R26" s="148" t="n">
        <f aca="false">Polling!F26</f>
        <v>0.222691464607872</v>
      </c>
      <c r="S26" s="149" t="n">
        <f aca="false">Polling!G26</f>
        <v>0.0757961249449793</v>
      </c>
      <c r="T26" s="150" t="n">
        <f aca="false">Polling!H26</f>
        <v>0</v>
      </c>
      <c r="U26" s="151" t="n">
        <f aca="false">AJ26/$AP26</f>
        <v>0.279197792292528</v>
      </c>
      <c r="V26" s="152" t="n">
        <f aca="false">AK26/$AP26</f>
        <v>0.293583096044</v>
      </c>
      <c r="W26" s="153" t="n">
        <f aca="false">AL26/$AP26</f>
        <v>0.116186003688197</v>
      </c>
      <c r="X26" s="154" t="n">
        <f aca="false">AM26/$AP26</f>
        <v>0.232689527715447</v>
      </c>
      <c r="Y26" s="155" t="n">
        <f aca="false">AN26/$AP26</f>
        <v>0.0783435802598284</v>
      </c>
      <c r="Z26" s="156" t="n">
        <f aca="false">AO26/$AP26</f>
        <v>0</v>
      </c>
      <c r="AA26" s="64" t="n">
        <f aca="false">SUMPRODUCT(Demographics!$C26:$I26,Demographics!$C$43:$I$43)</f>
        <v>0.627602853526237</v>
      </c>
      <c r="AC26" s="143" t="n">
        <f aca="false">SUMPRODUCT(Demographics!$C26:$I26,Demographics!$C$43:$I$43,Demographics!$C$44:$I$44)</f>
        <v>0.135791127363566</v>
      </c>
      <c r="AD26" s="143" t="n">
        <f aca="false">SUMPRODUCT(Demographics!$C26:$I26,Demographics!$C$43:$I$43,Demographics!$C$45:$I$45)</f>
        <v>0.209078111162835</v>
      </c>
      <c r="AE26" s="143" t="n">
        <f aca="false">SUMPRODUCT(Demographics!$C26:$I26,Demographics!$C$43:$I$43,Demographics!$C$46:$I$46)</f>
        <v>0.0950108175914994</v>
      </c>
      <c r="AF26" s="143" t="n">
        <f aca="false">SUMPRODUCT(Demographics!$C26:$I26,Demographics!$C$43:$I$43,Demographics!$C$47:$I$47)</f>
        <v>0.13117607440837</v>
      </c>
      <c r="AG26" s="143" t="n">
        <f aca="false">SUMPRODUCT(Demographics!$C26:$I26,Demographics!$C$43:$I$43,Demographics!$C$48:$I$48)</f>
        <v>0.0565467229999673</v>
      </c>
      <c r="AH26" s="143" t="n">
        <f aca="false">SUMPRODUCT(Demographics!$C26:$I26,Demographics!$C$43:$I$43,Demographics!$C$49:$I$49)</f>
        <v>0</v>
      </c>
      <c r="AI26" s="143" t="n">
        <f aca="false">SUM(AC26:AH26)</f>
        <v>0.627602853526237</v>
      </c>
      <c r="AJ26" s="143" t="n">
        <f aca="false">$D$3*C26+$F$3*I26+$H$3*O26</f>
        <v>0.279197792292528</v>
      </c>
      <c r="AK26" s="143" t="n">
        <f aca="false">$D$3*D26+$F$3*J26+$H$3*P26</f>
        <v>0.293583096044</v>
      </c>
      <c r="AL26" s="143" t="n">
        <f aca="false">$D$3*E26+$F$3*K26+$H$3*Q26</f>
        <v>0.116186003688197</v>
      </c>
      <c r="AM26" s="143" t="n">
        <f aca="false">$D$3*F26+$F$3*L26+$H$3*R26</f>
        <v>0.232689527715447</v>
      </c>
      <c r="AN26" s="143" t="n">
        <f aca="false">$D$3*G26+$F$3*M26+$H$3*S26</f>
        <v>0.0783435802598284</v>
      </c>
      <c r="AO26" s="143" t="n">
        <f aca="false">$D$3*H26+$F$3*N26+$H$3*T26</f>
        <v>0</v>
      </c>
      <c r="AP26" s="143" t="n">
        <f aca="false">SUM(AJ26:AO26)</f>
        <v>1</v>
      </c>
      <c r="AR26" s="143" t="n">
        <f aca="false">MAX(0.0002,U26+Incumbency!C$20*Incumbency!$C$6+'Tactical &amp; Candidate'!C$12/100)</f>
        <v>0.279197792292528</v>
      </c>
      <c r="AS26" s="143" t="n">
        <f aca="false">MAX(0.0002,V26+Incumbency!D$20*Incumbency!$C$6+'Tactical &amp; Candidate'!D$12/100)</f>
        <v>0.317583096044001</v>
      </c>
      <c r="AT26" s="143" t="n">
        <f aca="false">MAX(0.0002,W26+Incumbency!E$20*Incumbency!$C$6+'Tactical &amp; Candidate'!E$12/100)</f>
        <v>0.116186003688197</v>
      </c>
      <c r="AU26" s="143" t="n">
        <f aca="false">MAX(0.0002,X26+Incumbency!F$20*Incumbency!$C$6+'Tactical &amp; Candidate'!F$12/100)</f>
        <v>0.232689527715447</v>
      </c>
      <c r="AV26" s="143" t="n">
        <f aca="false">MAX(0.0002,Y26+Incumbency!G$20*Incumbency!$C$6+'Tactical &amp; Candidate'!G$12/100)</f>
        <v>0.0783435802598284</v>
      </c>
      <c r="AW26" s="143" t="n">
        <f aca="false">MAX(0.0002,Z26+Incumbency!H$20*Incumbency!$C$6+'Tactical &amp; Candidate'!H$12/100)</f>
        <v>0.0002</v>
      </c>
      <c r="AX26" s="143" t="n">
        <f aca="false">SUM(AR26:AW26)</f>
        <v>1.0242</v>
      </c>
      <c r="AY26" s="143" t="n">
        <f aca="false">AR26/$AX26</f>
        <v>0.272600851681827</v>
      </c>
      <c r="AZ26" s="143" t="n">
        <f aca="false">AS26/$AX26</f>
        <v>0.310079179890647</v>
      </c>
      <c r="BA26" s="143" t="n">
        <f aca="false">AT26/$AX26</f>
        <v>0.113440737832647</v>
      </c>
      <c r="BB26" s="143" t="n">
        <f aca="false">AU26/$AX26</f>
        <v>0.227191493571028</v>
      </c>
      <c r="BC26" s="143" t="n">
        <f aca="false">AV26/$AX26</f>
        <v>0.0764924626633747</v>
      </c>
      <c r="BD26" s="143" t="n">
        <f aca="false">AW26/$AX26</f>
        <v>0.000195274360476469</v>
      </c>
      <c r="BF26" s="143" t="n">
        <f aca="false">AY26*(1-'Tactical &amp; Candidate'!C$8)</f>
        <v>0.272600851681827</v>
      </c>
      <c r="BG26" s="143" t="n">
        <f aca="false">AZ26*(1-'Tactical &amp; Candidate'!D$8)</f>
        <v>0.310079179890647</v>
      </c>
      <c r="BH26" s="143" t="n">
        <f aca="false">BA26*(1-'Tactical &amp; Candidate'!E$8)</f>
        <v>0.113440737832647</v>
      </c>
      <c r="BI26" s="143" t="n">
        <f aca="false">BB26*(1-'Tactical &amp; Candidate'!F$8)</f>
        <v>0.227191493571028</v>
      </c>
      <c r="BJ26" s="143" t="n">
        <f aca="false">BC26*(1-'Tactical &amp; Candidate'!G$8)</f>
        <v>0.0764924626633747</v>
      </c>
      <c r="BK26" s="143" t="n">
        <f aca="false">BD26*(1-'Tactical &amp; Candidate'!H$8)</f>
        <v>0.000195274360476469</v>
      </c>
      <c r="BL26" s="143" t="n">
        <f aca="false">LARGE(AY26:BD26,2)</f>
        <v>0.272600851681827</v>
      </c>
      <c r="BM26" s="143" t="n">
        <f aca="false">SUMPRODUCT((AY26:BD26&lt;$BL26)*AY26:BD26)*'Tactical &amp; Candidate'!$C$6</f>
        <v>0</v>
      </c>
      <c r="BN26" s="143" t="n">
        <f aca="false">MAX(BF26:BK26)</f>
        <v>0.310079179890647</v>
      </c>
      <c r="BO26" s="144" t="n">
        <f aca="false">SUMPRODUCT((BF26:BK26=$BN26)*1)</f>
        <v>1</v>
      </c>
      <c r="BQ26" s="143" t="n">
        <f aca="false">AY26*(1-'Tactical &amp; Candidate'!$C$6*(AY26&lt;$BL26))+IF(BF26=$BN26,$BM26/$BO26,0)</f>
        <v>0.272600851681827</v>
      </c>
      <c r="BR26" s="143" t="n">
        <f aca="false">AZ26*(1-'Tactical &amp; Candidate'!$C$6*(AZ26&lt;$BL26))+IF(BG26=$BN26,$BM26/$BO26,0)</f>
        <v>0.310079179890647</v>
      </c>
      <c r="BS26" s="143" t="n">
        <f aca="false">BA26*(1-'Tactical &amp; Candidate'!$C$6*(BA26&lt;$BL26))+IF(BH26=$BN26,$BM26/$BO26,0)</f>
        <v>0.113440737832647</v>
      </c>
      <c r="BT26" s="143" t="n">
        <f aca="false">BB26*(1-'Tactical &amp; Candidate'!$C$6*(BB26&lt;$BL26))+IF(BI26=$BN26,$BM26/$BO26,0)</f>
        <v>0.227191493571028</v>
      </c>
      <c r="BU26" s="143" t="n">
        <f aca="false">BC26*(1-'Tactical &amp; Candidate'!$C$6*(BC26&lt;$BL26))+IF(BJ26=$BN26,$BM26/$BO26,0)</f>
        <v>0.0764924626633747</v>
      </c>
      <c r="BV26" s="143" t="n">
        <f aca="false">BD26*(1-'Tactical &amp; Candidate'!$C$6*(BD26&lt;$BL26))+IF(BK26=$BN26,$BM26/$BO26,0)</f>
        <v>0.000195274360476469</v>
      </c>
      <c r="BW26" s="143" t="n">
        <f aca="false">SUM(BQ26:BV26)</f>
        <v>1</v>
      </c>
      <c r="BX26" s="143" t="n">
        <f aca="false">BQ26/$BW26</f>
        <v>0.272600851681827</v>
      </c>
      <c r="BY26" s="143" t="n">
        <f aca="false">BR26/$BW26</f>
        <v>0.310079179890647</v>
      </c>
      <c r="BZ26" s="143" t="n">
        <f aca="false">BS26/$BW26</f>
        <v>0.113440737832647</v>
      </c>
      <c r="CA26" s="143" t="n">
        <f aca="false">BT26/$BW26</f>
        <v>0.227191493571028</v>
      </c>
      <c r="CB26" s="143" t="n">
        <f aca="false">BU26/$BW26</f>
        <v>0.0764924626633747</v>
      </c>
      <c r="CC26" s="143" t="n">
        <f aca="false">BV26/$BW26</f>
        <v>0.000195274360476469</v>
      </c>
    </row>
    <row r="27" customFormat="false" ht="15" hidden="false" customHeight="false" outlineLevel="0" collapsed="false">
      <c r="B27" s="9" t="s">
        <v>68</v>
      </c>
      <c r="C27" s="132" t="n">
        <f aca="false">AC27/$AI27</f>
        <v>0.199017304724282</v>
      </c>
      <c r="D27" s="133" t="n">
        <f aca="false">AD27/$AI27</f>
        <v>0.381910795006596</v>
      </c>
      <c r="E27" s="134" t="n">
        <f aca="false">AE27/$AI27</f>
        <v>0.15422450751548</v>
      </c>
      <c r="F27" s="130" t="n">
        <f aca="false">AF27/$AI27</f>
        <v>0.181033012699818</v>
      </c>
      <c r="G27" s="135" t="n">
        <f aca="false">AG27/$AI27</f>
        <v>0.0838143800538246</v>
      </c>
      <c r="H27" s="136" t="n">
        <f aca="false">AH27/$AI27</f>
        <v>0</v>
      </c>
      <c r="I27" s="132" t="n">
        <f aca="false">$L$3*'Voting History'!C27+$M$3*'Voting History'!I27+$N$3*'Voting History'!O27</f>
        <v>0.296450689498777</v>
      </c>
      <c r="J27" s="133" t="n">
        <f aca="false">$L$3*'Voting History'!D27+$M$3*'Voting History'!J27+$N$3*'Voting History'!P27</f>
        <v>0.316509028012464</v>
      </c>
      <c r="K27" s="134" t="n">
        <f aca="false">$L$3*'Voting History'!E27+$M$3*'Voting History'!K27+$N$3*'Voting History'!Q27</f>
        <v>0.108383803272222</v>
      </c>
      <c r="L27" s="130" t="n">
        <f aca="false">$L$3*'Voting History'!F27+$M$3*'Voting History'!L27+$N$3*'Voting History'!R27</f>
        <v>0.217342196873068</v>
      </c>
      <c r="M27" s="135" t="n">
        <f aca="false">$L$3*'Voting History'!G27+$M$3*'Voting History'!M27+$N$3*'Voting History'!S27</f>
        <v>0.0613142823434693</v>
      </c>
      <c r="N27" s="136" t="n">
        <f aca="false">$L$3*'Voting History'!H27+$M$3*'Voting History'!N27+$N$3*'Voting History'!T27</f>
        <v>0</v>
      </c>
      <c r="O27" s="132" t="n">
        <f aca="false">Polling!C27</f>
        <v>0.308775334391831</v>
      </c>
      <c r="P27" s="133" t="n">
        <f aca="false">Polling!D27</f>
        <v>0.292390118805651</v>
      </c>
      <c r="Q27" s="134" t="n">
        <f aca="false">Polling!E27</f>
        <v>0.0979031006087148</v>
      </c>
      <c r="R27" s="130" t="n">
        <f aca="false">Polling!F27</f>
        <v>0.23415991966659</v>
      </c>
      <c r="S27" s="135" t="n">
        <f aca="false">Polling!G27</f>
        <v>0.0667715265272129</v>
      </c>
      <c r="T27" s="136" t="n">
        <f aca="false">Polling!H27</f>
        <v>0</v>
      </c>
      <c r="U27" s="137" t="n">
        <f aca="false">AJ27/$AP27</f>
        <v>0.272766764268302</v>
      </c>
      <c r="V27" s="138" t="n">
        <f aca="false">AK27/$AP27</f>
        <v>0.325276048967638</v>
      </c>
      <c r="W27" s="139" t="n">
        <f aca="false">AL27/$AP27</f>
        <v>0.117419698346621</v>
      </c>
      <c r="X27" s="140" t="n">
        <f aca="false">AM27/$AP27</f>
        <v>0.214017416878178</v>
      </c>
      <c r="Y27" s="141" t="n">
        <f aca="false">AN27/$AP27</f>
        <v>0.0705200715392605</v>
      </c>
      <c r="Z27" s="142" t="n">
        <f aca="false">AO27/$AP27</f>
        <v>0</v>
      </c>
      <c r="AA27" s="53" t="n">
        <f aca="false">SUMPRODUCT(Demographics!$C27:$I27,Demographics!$C$43:$I$43)</f>
        <v>0.625193400682226</v>
      </c>
      <c r="AC27" s="143" t="n">
        <f aca="false">SUMPRODUCT(Demographics!$C27:$I27,Demographics!$C$43:$I$43,Demographics!$C$44:$I$44)</f>
        <v>0.124424305535184</v>
      </c>
      <c r="AD27" s="143" t="n">
        <f aca="false">SUMPRODUCT(Demographics!$C27:$I27,Demographics!$C$43:$I$43,Demographics!$C$45:$I$45)</f>
        <v>0.238768108687426</v>
      </c>
      <c r="AE27" s="143" t="n">
        <f aca="false">SUMPRODUCT(Demographics!$C27:$I27,Demographics!$C$43:$I$43,Demographics!$C$46:$I$46)</f>
        <v>0.0964201443221446</v>
      </c>
      <c r="AF27" s="143" t="n">
        <f aca="false">SUMPRODUCT(Demographics!$C27:$I27,Demographics!$C$43:$I$43,Demographics!$C$47:$I$47)</f>
        <v>0.113180644845548</v>
      </c>
      <c r="AG27" s="143" t="n">
        <f aca="false">SUMPRODUCT(Demographics!$C27:$I27,Demographics!$C$43:$I$43,Demographics!$C$48:$I$48)</f>
        <v>0.0524001972919231</v>
      </c>
      <c r="AH27" s="143" t="n">
        <f aca="false">SUMPRODUCT(Demographics!$C27:$I27,Demographics!$C$43:$I$43,Demographics!$C$49:$I$49)</f>
        <v>0</v>
      </c>
      <c r="AI27" s="143" t="n">
        <f aca="false">SUM(AC27:AH27)</f>
        <v>0.625193400682226</v>
      </c>
      <c r="AJ27" s="143" t="n">
        <f aca="false">$D$3*C27+$F$3*I27+$H$3*O27</f>
        <v>0.272766764268302</v>
      </c>
      <c r="AK27" s="143" t="n">
        <f aca="false">$D$3*D27+$F$3*J27+$H$3*P27</f>
        <v>0.325276048967638</v>
      </c>
      <c r="AL27" s="143" t="n">
        <f aca="false">$D$3*E27+$F$3*K27+$H$3*Q27</f>
        <v>0.117419698346621</v>
      </c>
      <c r="AM27" s="143" t="n">
        <f aca="false">$D$3*F27+$F$3*L27+$H$3*R27</f>
        <v>0.214017416878178</v>
      </c>
      <c r="AN27" s="143" t="n">
        <f aca="false">$D$3*G27+$F$3*M27+$H$3*S27</f>
        <v>0.0705200715392605</v>
      </c>
      <c r="AO27" s="143" t="n">
        <f aca="false">$D$3*H27+$F$3*N27+$H$3*T27</f>
        <v>0</v>
      </c>
      <c r="AP27" s="143" t="n">
        <f aca="false">SUM(AJ27:AO27)</f>
        <v>1</v>
      </c>
      <c r="AR27" s="143" t="n">
        <f aca="false">MAX(0.0002,U27+Incumbency!C$20*Incumbency!$C$6+'Tactical &amp; Candidate'!C$12/100)</f>
        <v>0.272766764268302</v>
      </c>
      <c r="AS27" s="143" t="n">
        <f aca="false">MAX(0.0002,V27+Incumbency!D$20*Incumbency!$C$6+'Tactical &amp; Candidate'!D$12/100)</f>
        <v>0.349276048967638</v>
      </c>
      <c r="AT27" s="143" t="n">
        <f aca="false">MAX(0.0002,W27+Incumbency!E$20*Incumbency!$C$6+'Tactical &amp; Candidate'!E$12/100)</f>
        <v>0.117419698346621</v>
      </c>
      <c r="AU27" s="143" t="n">
        <f aca="false">MAX(0.0002,X27+Incumbency!F$20*Incumbency!$C$6+'Tactical &amp; Candidate'!F$12/100)</f>
        <v>0.214017416878178</v>
      </c>
      <c r="AV27" s="143" t="n">
        <f aca="false">MAX(0.0002,Y27+Incumbency!G$20*Incumbency!$C$6+'Tactical &amp; Candidate'!G$12/100)</f>
        <v>0.0705200715392605</v>
      </c>
      <c r="AW27" s="143" t="n">
        <f aca="false">MAX(0.0002,Z27+Incumbency!H$20*Incumbency!$C$6+'Tactical &amp; Candidate'!H$12/100)</f>
        <v>0.0002</v>
      </c>
      <c r="AX27" s="143" t="n">
        <f aca="false">SUM(AR27:AW27)</f>
        <v>1.0242</v>
      </c>
      <c r="AY27" s="143" t="n">
        <f aca="false">AR27/$AX27</f>
        <v>0.266321777258643</v>
      </c>
      <c r="AZ27" s="143" t="n">
        <f aca="false">AS27/$AX27</f>
        <v>0.341023285459518</v>
      </c>
      <c r="BA27" s="143" t="n">
        <f aca="false">AT27/$AX27</f>
        <v>0.114645282509882</v>
      </c>
      <c r="BB27" s="143" t="n">
        <f aca="false">AU27/$AX27</f>
        <v>0.208960571058561</v>
      </c>
      <c r="BC27" s="143" t="n">
        <f aca="false">AV27/$AX27</f>
        <v>0.0688538093529199</v>
      </c>
      <c r="BD27" s="143" t="n">
        <f aca="false">AW27/$AX27</f>
        <v>0.000195274360476469</v>
      </c>
      <c r="BF27" s="143" t="n">
        <f aca="false">AY27*(1-'Tactical &amp; Candidate'!C$8)</f>
        <v>0.266321777258643</v>
      </c>
      <c r="BG27" s="143" t="n">
        <f aca="false">AZ27*(1-'Tactical &amp; Candidate'!D$8)</f>
        <v>0.341023285459518</v>
      </c>
      <c r="BH27" s="143" t="n">
        <f aca="false">BA27*(1-'Tactical &amp; Candidate'!E$8)</f>
        <v>0.114645282509882</v>
      </c>
      <c r="BI27" s="143" t="n">
        <f aca="false">BB27*(1-'Tactical &amp; Candidate'!F$8)</f>
        <v>0.208960571058561</v>
      </c>
      <c r="BJ27" s="143" t="n">
        <f aca="false">BC27*(1-'Tactical &amp; Candidate'!G$8)</f>
        <v>0.0688538093529199</v>
      </c>
      <c r="BK27" s="143" t="n">
        <f aca="false">BD27*(1-'Tactical &amp; Candidate'!H$8)</f>
        <v>0.000195274360476469</v>
      </c>
      <c r="BL27" s="143" t="n">
        <f aca="false">LARGE(AY27:BD27,2)</f>
        <v>0.266321777258643</v>
      </c>
      <c r="BM27" s="143" t="n">
        <f aca="false">SUMPRODUCT((AY27:BD27&lt;$BL27)*AY27:BD27)*'Tactical &amp; Candidate'!$C$6</f>
        <v>0</v>
      </c>
      <c r="BN27" s="143" t="n">
        <f aca="false">MAX(BF27:BK27)</f>
        <v>0.341023285459518</v>
      </c>
      <c r="BO27" s="144" t="n">
        <f aca="false">SUMPRODUCT((BF27:BK27=$BN27)*1)</f>
        <v>1</v>
      </c>
      <c r="BQ27" s="143" t="n">
        <f aca="false">AY27*(1-'Tactical &amp; Candidate'!$C$6*(AY27&lt;$BL27))+IF(BF27=$BN27,$BM27/$BO27,0)</f>
        <v>0.266321777258643</v>
      </c>
      <c r="BR27" s="143" t="n">
        <f aca="false">AZ27*(1-'Tactical &amp; Candidate'!$C$6*(AZ27&lt;$BL27))+IF(BG27=$BN27,$BM27/$BO27,0)</f>
        <v>0.341023285459518</v>
      </c>
      <c r="BS27" s="143" t="n">
        <f aca="false">BA27*(1-'Tactical &amp; Candidate'!$C$6*(BA27&lt;$BL27))+IF(BH27=$BN27,$BM27/$BO27,0)</f>
        <v>0.114645282509882</v>
      </c>
      <c r="BT27" s="143" t="n">
        <f aca="false">BB27*(1-'Tactical &amp; Candidate'!$C$6*(BB27&lt;$BL27))+IF(BI27=$BN27,$BM27/$BO27,0)</f>
        <v>0.208960571058561</v>
      </c>
      <c r="BU27" s="143" t="n">
        <f aca="false">BC27*(1-'Tactical &amp; Candidate'!$C$6*(BC27&lt;$BL27))+IF(BJ27=$BN27,$BM27/$BO27,0)</f>
        <v>0.0688538093529199</v>
      </c>
      <c r="BV27" s="143" t="n">
        <f aca="false">BD27*(1-'Tactical &amp; Candidate'!$C$6*(BD27&lt;$BL27))+IF(BK27=$BN27,$BM27/$BO27,0)</f>
        <v>0.000195274360476469</v>
      </c>
      <c r="BW27" s="143" t="n">
        <f aca="false">SUM(BQ27:BV27)</f>
        <v>1</v>
      </c>
      <c r="BX27" s="143" t="n">
        <f aca="false">BQ27/$BW27</f>
        <v>0.266321777258643</v>
      </c>
      <c r="BY27" s="143" t="n">
        <f aca="false">BR27/$BW27</f>
        <v>0.341023285459518</v>
      </c>
      <c r="BZ27" s="143" t="n">
        <f aca="false">BS27/$BW27</f>
        <v>0.114645282509882</v>
      </c>
      <c r="CA27" s="143" t="n">
        <f aca="false">BT27/$BW27</f>
        <v>0.208960571058561</v>
      </c>
      <c r="CB27" s="143" t="n">
        <f aca="false">BU27/$BW27</f>
        <v>0.0688538093529199</v>
      </c>
      <c r="CC27" s="143" t="n">
        <f aca="false">BV27/$BW27</f>
        <v>0.000195274360476469</v>
      </c>
    </row>
    <row r="28" customFormat="false" ht="15" hidden="false" customHeight="false" outlineLevel="0" collapsed="false">
      <c r="B28" s="21" t="s">
        <v>69</v>
      </c>
      <c r="C28" s="145" t="n">
        <f aca="false">AC28/$AI28</f>
        <v>0.235369096263131</v>
      </c>
      <c r="D28" s="146" t="n">
        <f aca="false">AD28/$AI28</f>
        <v>0.278762468497231</v>
      </c>
      <c r="E28" s="147" t="n">
        <f aca="false">AE28/$AI28</f>
        <v>0.177346994874876</v>
      </c>
      <c r="F28" s="148" t="n">
        <f aca="false">AF28/$AI28</f>
        <v>0.211347753316834</v>
      </c>
      <c r="G28" s="149" t="n">
        <f aca="false">AG28/$AI28</f>
        <v>0.0971736870479275</v>
      </c>
      <c r="H28" s="150" t="n">
        <f aca="false">AH28/$AI28</f>
        <v>0</v>
      </c>
      <c r="I28" s="145" t="n">
        <f aca="false">$L$3*'Voting History'!C28+$M$3*'Voting History'!I28+$N$3*'Voting History'!O28</f>
        <v>0.335346790733541</v>
      </c>
      <c r="J28" s="146" t="n">
        <f aca="false">$L$3*'Voting History'!D28+$M$3*'Voting History'!J28+$N$3*'Voting History'!P28</f>
        <v>0.332384190851032</v>
      </c>
      <c r="K28" s="147" t="n">
        <f aca="false">$L$3*'Voting History'!E28+$M$3*'Voting History'!K28+$N$3*'Voting History'!Q28</f>
        <v>0.143814605622383</v>
      </c>
      <c r="L28" s="148" t="n">
        <f aca="false">$L$3*'Voting History'!F28+$M$3*'Voting History'!L28+$N$3*'Voting History'!R28</f>
        <v>0.134764824506996</v>
      </c>
      <c r="M28" s="149" t="n">
        <f aca="false">$L$3*'Voting History'!G28+$M$3*'Voting History'!M28+$N$3*'Voting History'!S28</f>
        <v>0.053689588286048</v>
      </c>
      <c r="N28" s="150" t="n">
        <f aca="false">$L$3*'Voting History'!H28+$M$3*'Voting History'!N28+$N$3*'Voting History'!T28</f>
        <v>0</v>
      </c>
      <c r="O28" s="145" t="n">
        <f aca="false">Polling!C28</f>
        <v>0.328211761353734</v>
      </c>
      <c r="P28" s="146" t="n">
        <f aca="false">Polling!D28</f>
        <v>0.325370354283574</v>
      </c>
      <c r="Q28" s="147" t="n">
        <f aca="false">Polling!E28</f>
        <v>0.148883466186282</v>
      </c>
      <c r="R28" s="148" t="n">
        <f aca="false">Polling!F28</f>
        <v>0.141980770356471</v>
      </c>
      <c r="S28" s="149" t="n">
        <f aca="false">Polling!G28</f>
        <v>0.0555536478199403</v>
      </c>
      <c r="T28" s="150" t="n">
        <f aca="false">Polling!H28</f>
        <v>0</v>
      </c>
      <c r="U28" s="151" t="n">
        <f aca="false">AJ28/$AP28</f>
        <v>0.302142719171505</v>
      </c>
      <c r="V28" s="152" t="n">
        <f aca="false">AK28/$AP28</f>
        <v>0.313141447689536</v>
      </c>
      <c r="W28" s="153" t="n">
        <f aca="false">AL28/$AP28</f>
        <v>0.156155309651885</v>
      </c>
      <c r="X28" s="154" t="n">
        <f aca="false">AM28/$AP28</f>
        <v>0.160986878782211</v>
      </c>
      <c r="Y28" s="155" t="n">
        <f aca="false">AN28/$AP28</f>
        <v>0.0675736447048634</v>
      </c>
      <c r="Z28" s="156" t="n">
        <f aca="false">AO28/$AP28</f>
        <v>0</v>
      </c>
      <c r="AA28" s="64" t="n">
        <f aca="false">SUMPRODUCT(Demographics!$C28:$I28,Demographics!$C$43:$I$43)</f>
        <v>0.638979821689476</v>
      </c>
      <c r="AC28" s="143" t="n">
        <f aca="false">SUMPRODUCT(Demographics!$C28:$I28,Demographics!$C$43:$I$43,Demographics!$C$44:$I$44)</f>
        <v>0.150396103161429</v>
      </c>
      <c r="AD28" s="143" t="n">
        <f aca="false">SUMPRODUCT(Demographics!$C28:$I28,Demographics!$C$43:$I$43,Demographics!$C$45:$I$45)</f>
        <v>0.178123592414079</v>
      </c>
      <c r="AE28" s="143" t="n">
        <f aca="false">SUMPRODUCT(Demographics!$C28:$I28,Demographics!$C$43:$I$43,Demographics!$C$46:$I$46)</f>
        <v>0.113321151162313</v>
      </c>
      <c r="AF28" s="143" t="n">
        <f aca="false">SUMPRODUCT(Demographics!$C28:$I28,Demographics!$C$43:$I$43,Demographics!$C$47:$I$47)</f>
        <v>0.135046949728862</v>
      </c>
      <c r="AG28" s="143" t="n">
        <f aca="false">SUMPRODUCT(Demographics!$C28:$I28,Demographics!$C$43:$I$43,Demographics!$C$48:$I$48)</f>
        <v>0.0620920252227936</v>
      </c>
      <c r="AH28" s="143" t="n">
        <f aca="false">SUMPRODUCT(Demographics!$C28:$I28,Demographics!$C$43:$I$43,Demographics!$C$49:$I$49)</f>
        <v>0</v>
      </c>
      <c r="AI28" s="143" t="n">
        <f aca="false">SUM(AC28:AH28)</f>
        <v>0.638979821689476</v>
      </c>
      <c r="AJ28" s="143" t="n">
        <f aca="false">$D$3*C28+$F$3*I28+$H$3*O28</f>
        <v>0.302142719171505</v>
      </c>
      <c r="AK28" s="143" t="n">
        <f aca="false">$D$3*D28+$F$3*J28+$H$3*P28</f>
        <v>0.313141447689536</v>
      </c>
      <c r="AL28" s="143" t="n">
        <f aca="false">$D$3*E28+$F$3*K28+$H$3*Q28</f>
        <v>0.156155309651885</v>
      </c>
      <c r="AM28" s="143" t="n">
        <f aca="false">$D$3*F28+$F$3*L28+$H$3*R28</f>
        <v>0.160986878782211</v>
      </c>
      <c r="AN28" s="143" t="n">
        <f aca="false">$D$3*G28+$F$3*M28+$H$3*S28</f>
        <v>0.0675736447048634</v>
      </c>
      <c r="AO28" s="143" t="n">
        <f aca="false">$D$3*H28+$F$3*N28+$H$3*T28</f>
        <v>0</v>
      </c>
      <c r="AP28" s="143" t="n">
        <f aca="false">SUM(AJ28:AO28)</f>
        <v>1</v>
      </c>
      <c r="AR28" s="143" t="n">
        <f aca="false">MAX(0.0002,U28+Incumbency!C$20*Incumbency!$C$6+'Tactical &amp; Candidate'!C$12/100)</f>
        <v>0.302142719171505</v>
      </c>
      <c r="AS28" s="143" t="n">
        <f aca="false">MAX(0.0002,V28+Incumbency!D$20*Incumbency!$C$6+'Tactical &amp; Candidate'!D$12/100)</f>
        <v>0.337141447689536</v>
      </c>
      <c r="AT28" s="143" t="n">
        <f aca="false">MAX(0.0002,W28+Incumbency!E$20*Incumbency!$C$6+'Tactical &amp; Candidate'!E$12/100)</f>
        <v>0.156155309651885</v>
      </c>
      <c r="AU28" s="143" t="n">
        <f aca="false">MAX(0.0002,X28+Incumbency!F$20*Incumbency!$C$6+'Tactical &amp; Candidate'!F$12/100)</f>
        <v>0.160986878782211</v>
      </c>
      <c r="AV28" s="143" t="n">
        <f aca="false">MAX(0.0002,Y28+Incumbency!G$20*Incumbency!$C$6+'Tactical &amp; Candidate'!G$12/100)</f>
        <v>0.0675736447048634</v>
      </c>
      <c r="AW28" s="143" t="n">
        <f aca="false">MAX(0.0002,Z28+Incumbency!H$20*Incumbency!$C$6+'Tactical &amp; Candidate'!H$12/100)</f>
        <v>0.0002</v>
      </c>
      <c r="AX28" s="143" t="n">
        <f aca="false">SUM(AR28:AW28)</f>
        <v>1.0242</v>
      </c>
      <c r="AY28" s="143" t="n">
        <f aca="false">AR28/$AX28</f>
        <v>0.295003631294186</v>
      </c>
      <c r="AZ28" s="143" t="n">
        <f aca="false">AS28/$AX28</f>
        <v>0.329175402938426</v>
      </c>
      <c r="BA28" s="143" t="n">
        <f aca="false">AT28/$AX28</f>
        <v>0.152465641136385</v>
      </c>
      <c r="BB28" s="143" t="n">
        <f aca="false">AU28/$AX28</f>
        <v>0.157183048996496</v>
      </c>
      <c r="BC28" s="143" t="n">
        <f aca="false">AV28/$AX28</f>
        <v>0.0659770012740318</v>
      </c>
      <c r="BD28" s="143" t="n">
        <f aca="false">AW28/$AX28</f>
        <v>0.000195274360476469</v>
      </c>
      <c r="BF28" s="143" t="n">
        <f aca="false">AY28*(1-'Tactical &amp; Candidate'!C$8)</f>
        <v>0.295003631294186</v>
      </c>
      <c r="BG28" s="143" t="n">
        <f aca="false">AZ28*(1-'Tactical &amp; Candidate'!D$8)</f>
        <v>0.329175402938426</v>
      </c>
      <c r="BH28" s="143" t="n">
        <f aca="false">BA28*(1-'Tactical &amp; Candidate'!E$8)</f>
        <v>0.152465641136385</v>
      </c>
      <c r="BI28" s="143" t="n">
        <f aca="false">BB28*(1-'Tactical &amp; Candidate'!F$8)</f>
        <v>0.157183048996496</v>
      </c>
      <c r="BJ28" s="143" t="n">
        <f aca="false">BC28*(1-'Tactical &amp; Candidate'!G$8)</f>
        <v>0.0659770012740318</v>
      </c>
      <c r="BK28" s="143" t="n">
        <f aca="false">BD28*(1-'Tactical &amp; Candidate'!H$8)</f>
        <v>0.000195274360476469</v>
      </c>
      <c r="BL28" s="143" t="n">
        <f aca="false">LARGE(AY28:BD28,2)</f>
        <v>0.295003631294186</v>
      </c>
      <c r="BM28" s="143" t="n">
        <f aca="false">SUMPRODUCT((AY28:BD28&lt;$BL28)*AY28:BD28)*'Tactical &amp; Candidate'!$C$6</f>
        <v>0</v>
      </c>
      <c r="BN28" s="143" t="n">
        <f aca="false">MAX(BF28:BK28)</f>
        <v>0.329175402938426</v>
      </c>
      <c r="BO28" s="144" t="n">
        <f aca="false">SUMPRODUCT((BF28:BK28=$BN28)*1)</f>
        <v>1</v>
      </c>
      <c r="BQ28" s="143" t="n">
        <f aca="false">AY28*(1-'Tactical &amp; Candidate'!$C$6*(AY28&lt;$BL28))+IF(BF28=$BN28,$BM28/$BO28,0)</f>
        <v>0.295003631294186</v>
      </c>
      <c r="BR28" s="143" t="n">
        <f aca="false">AZ28*(1-'Tactical &amp; Candidate'!$C$6*(AZ28&lt;$BL28))+IF(BG28=$BN28,$BM28/$BO28,0)</f>
        <v>0.329175402938426</v>
      </c>
      <c r="BS28" s="143" t="n">
        <f aca="false">BA28*(1-'Tactical &amp; Candidate'!$C$6*(BA28&lt;$BL28))+IF(BH28=$BN28,$BM28/$BO28,0)</f>
        <v>0.152465641136385</v>
      </c>
      <c r="BT28" s="143" t="n">
        <f aca="false">BB28*(1-'Tactical &amp; Candidate'!$C$6*(BB28&lt;$BL28))+IF(BI28=$BN28,$BM28/$BO28,0)</f>
        <v>0.157183048996496</v>
      </c>
      <c r="BU28" s="143" t="n">
        <f aca="false">BC28*(1-'Tactical &amp; Candidate'!$C$6*(BC28&lt;$BL28))+IF(BJ28=$BN28,$BM28/$BO28,0)</f>
        <v>0.0659770012740318</v>
      </c>
      <c r="BV28" s="143" t="n">
        <f aca="false">BD28*(1-'Tactical &amp; Candidate'!$C$6*(BD28&lt;$BL28))+IF(BK28=$BN28,$BM28/$BO28,0)</f>
        <v>0.000195274360476469</v>
      </c>
      <c r="BW28" s="143" t="n">
        <f aca="false">SUM(BQ28:BV28)</f>
        <v>1</v>
      </c>
      <c r="BX28" s="143" t="n">
        <f aca="false">BQ28/$BW28</f>
        <v>0.295003631294186</v>
      </c>
      <c r="BY28" s="143" t="n">
        <f aca="false">BR28/$BW28</f>
        <v>0.329175402938426</v>
      </c>
      <c r="BZ28" s="143" t="n">
        <f aca="false">BS28/$BW28</f>
        <v>0.152465641136385</v>
      </c>
      <c r="CA28" s="143" t="n">
        <f aca="false">BT28/$BW28</f>
        <v>0.157183048996496</v>
      </c>
      <c r="CB28" s="143" t="n">
        <f aca="false">BU28/$BW28</f>
        <v>0.0659770012740318</v>
      </c>
      <c r="CC28" s="143" t="n">
        <f aca="false">BV28/$BW28</f>
        <v>0.000195274360476469</v>
      </c>
    </row>
    <row r="29" customFormat="false" ht="15" hidden="false" customHeight="false" outlineLevel="0" collapsed="false">
      <c r="B29" s="9" t="s">
        <v>70</v>
      </c>
      <c r="C29" s="132" t="n">
        <f aca="false">AC29/$AI29</f>
        <v>0.214677072646756</v>
      </c>
      <c r="D29" s="133" t="n">
        <f aca="false">AD29/$AI29</f>
        <v>0.338846181851422</v>
      </c>
      <c r="E29" s="134" t="n">
        <f aca="false">AE29/$AI29</f>
        <v>0.161701377226644</v>
      </c>
      <c r="F29" s="130" t="n">
        <f aca="false">AF29/$AI29</f>
        <v>0.195480019174814</v>
      </c>
      <c r="G29" s="135" t="n">
        <f aca="false">AG29/$AI29</f>
        <v>0.0892953491003646</v>
      </c>
      <c r="H29" s="136" t="n">
        <f aca="false">AH29/$AI29</f>
        <v>0</v>
      </c>
      <c r="I29" s="132" t="n">
        <f aca="false">$L$3*'Voting History'!C29+$M$3*'Voting History'!I29+$N$3*'Voting History'!O29</f>
        <v>0.236700352722285</v>
      </c>
      <c r="J29" s="133" t="n">
        <f aca="false">$L$3*'Voting History'!D29+$M$3*'Voting History'!J29+$N$3*'Voting History'!P29</f>
        <v>0.346065790805402</v>
      </c>
      <c r="K29" s="134" t="n">
        <f aca="false">$L$3*'Voting History'!E29+$M$3*'Voting History'!K29+$N$3*'Voting History'!Q29</f>
        <v>0.143876007451745</v>
      </c>
      <c r="L29" s="130" t="n">
        <f aca="false">$L$3*'Voting History'!F29+$M$3*'Voting History'!L29+$N$3*'Voting History'!R29</f>
        <v>0.214108214397306</v>
      </c>
      <c r="M29" s="135" t="n">
        <f aca="false">$L$3*'Voting History'!G29+$M$3*'Voting History'!M29+$N$3*'Voting History'!S29</f>
        <v>0.0592496346232612</v>
      </c>
      <c r="N29" s="136" t="n">
        <f aca="false">$L$3*'Voting History'!H29+$M$3*'Voting History'!N29+$N$3*'Voting History'!T29</f>
        <v>0</v>
      </c>
      <c r="O29" s="132" t="n">
        <f aca="false">Polling!C29</f>
        <v>0.249645722461788</v>
      </c>
      <c r="P29" s="133" t="n">
        <f aca="false">Polling!D29</f>
        <v>0.322451681789271</v>
      </c>
      <c r="Q29" s="134" t="n">
        <f aca="false">Polling!E29</f>
        <v>0.139522774206054</v>
      </c>
      <c r="R29" s="130" t="n">
        <f aca="false">Polling!F29</f>
        <v>0.220271077282901</v>
      </c>
      <c r="S29" s="135" t="n">
        <f aca="false">Polling!G29</f>
        <v>0.0681087442599865</v>
      </c>
      <c r="T29" s="136" t="n">
        <f aca="false">Polling!H29</f>
        <v>0</v>
      </c>
      <c r="U29" s="137" t="n">
        <f aca="false">AJ29/$AP29</f>
        <v>0.235918785082402</v>
      </c>
      <c r="V29" s="138" t="n">
        <f aca="false">AK29/$AP29</f>
        <v>0.333273559061949</v>
      </c>
      <c r="W29" s="139" t="n">
        <f aca="false">AL29/$AP29</f>
        <v>0.147264663423654</v>
      </c>
      <c r="X29" s="140" t="n">
        <f aca="false">AM29/$AP29</f>
        <v>0.211293044129076</v>
      </c>
      <c r="Y29" s="141" t="n">
        <f aca="false">AN29/$AP29</f>
        <v>0.0722499483029186</v>
      </c>
      <c r="Z29" s="142" t="n">
        <f aca="false">AO29/$AP29</f>
        <v>0</v>
      </c>
      <c r="AA29" s="53" t="n">
        <f aca="false">SUMPRODUCT(Demographics!$C29:$I29,Demographics!$C$43:$I$43)</f>
        <v>0.6201950401239</v>
      </c>
      <c r="AC29" s="143" t="n">
        <f aca="false">SUMPRODUCT(Demographics!$C29:$I29,Demographics!$C$43:$I$43,Demographics!$C$44:$I$44)</f>
        <v>0.133141655683836</v>
      </c>
      <c r="AD29" s="143" t="n">
        <f aca="false">SUMPRODUCT(Demographics!$C29:$I29,Demographics!$C$43:$I$43,Demographics!$C$45:$I$45)</f>
        <v>0.210150721349173</v>
      </c>
      <c r="AE29" s="143" t="n">
        <f aca="false">SUMPRODUCT(Demographics!$C29:$I29,Demographics!$C$43:$I$43,Demographics!$C$46:$I$46)</f>
        <v>0.100286392137169</v>
      </c>
      <c r="AF29" s="143" t="n">
        <f aca="false">SUMPRODUCT(Demographics!$C29:$I29,Demographics!$C$43:$I$43,Demographics!$C$47:$I$47)</f>
        <v>0.121235738335544</v>
      </c>
      <c r="AG29" s="143" t="n">
        <f aca="false">SUMPRODUCT(Demographics!$C29:$I29,Demographics!$C$43:$I$43,Demographics!$C$48:$I$48)</f>
        <v>0.0553805326181783</v>
      </c>
      <c r="AH29" s="143" t="n">
        <f aca="false">SUMPRODUCT(Demographics!$C29:$I29,Demographics!$C$43:$I$43,Demographics!$C$49:$I$49)</f>
        <v>0</v>
      </c>
      <c r="AI29" s="143" t="n">
        <f aca="false">SUM(AC29:AH29)</f>
        <v>0.6201950401239</v>
      </c>
      <c r="AJ29" s="143" t="n">
        <f aca="false">$D$3*C29+$F$3*I29+$H$3*O29</f>
        <v>0.235918785082402</v>
      </c>
      <c r="AK29" s="143" t="n">
        <f aca="false">$D$3*D29+$F$3*J29+$H$3*P29</f>
        <v>0.333273559061949</v>
      </c>
      <c r="AL29" s="143" t="n">
        <f aca="false">$D$3*E29+$F$3*K29+$H$3*Q29</f>
        <v>0.147264663423654</v>
      </c>
      <c r="AM29" s="143" t="n">
        <f aca="false">$D$3*F29+$F$3*L29+$H$3*R29</f>
        <v>0.211293044129076</v>
      </c>
      <c r="AN29" s="143" t="n">
        <f aca="false">$D$3*G29+$F$3*M29+$H$3*S29</f>
        <v>0.0722499483029186</v>
      </c>
      <c r="AO29" s="143" t="n">
        <f aca="false">$D$3*H29+$F$3*N29+$H$3*T29</f>
        <v>0</v>
      </c>
      <c r="AP29" s="143" t="n">
        <f aca="false">SUM(AJ29:AO29)</f>
        <v>1</v>
      </c>
      <c r="AR29" s="143" t="n">
        <f aca="false">MAX(0.0002,U29+Incumbency!C$20*Incumbency!$C$6+'Tactical &amp; Candidate'!C$12/100)</f>
        <v>0.235918785082402</v>
      </c>
      <c r="AS29" s="143" t="n">
        <f aca="false">MAX(0.0002,V29+Incumbency!D$20*Incumbency!$C$6+'Tactical &amp; Candidate'!D$12/100)</f>
        <v>0.357273559061949</v>
      </c>
      <c r="AT29" s="143" t="n">
        <f aca="false">MAX(0.0002,W29+Incumbency!E$20*Incumbency!$C$6+'Tactical &amp; Candidate'!E$12/100)</f>
        <v>0.147264663423654</v>
      </c>
      <c r="AU29" s="143" t="n">
        <f aca="false">MAX(0.0002,X29+Incumbency!F$20*Incumbency!$C$6+'Tactical &amp; Candidate'!F$12/100)</f>
        <v>0.211293044129076</v>
      </c>
      <c r="AV29" s="143" t="n">
        <f aca="false">MAX(0.0002,Y29+Incumbency!G$20*Incumbency!$C$6+'Tactical &amp; Candidate'!G$12/100)</f>
        <v>0.0722499483029186</v>
      </c>
      <c r="AW29" s="143" t="n">
        <f aca="false">MAX(0.0002,Z29+Incumbency!H$20*Incumbency!$C$6+'Tactical &amp; Candidate'!H$12/100)</f>
        <v>0.0002</v>
      </c>
      <c r="AX29" s="143" t="n">
        <f aca="false">SUM(AR29:AW29)</f>
        <v>1.0242</v>
      </c>
      <c r="AY29" s="143" t="n">
        <f aca="false">AR29/$AX29</f>
        <v>0.230344449406759</v>
      </c>
      <c r="AZ29" s="143" t="n">
        <f aca="false">AS29/$AX29</f>
        <v>0.348831828804871</v>
      </c>
      <c r="BA29" s="143" t="n">
        <f aca="false">AT29/$AX29</f>
        <v>0.143785064854183</v>
      </c>
      <c r="BB29" s="143" t="n">
        <f aca="false">AU29/$AX29</f>
        <v>0.206300570327159</v>
      </c>
      <c r="BC29" s="143" t="n">
        <f aca="false">AV29/$AX29</f>
        <v>0.0705428122465521</v>
      </c>
      <c r="BD29" s="143" t="n">
        <f aca="false">AW29/$AX29</f>
        <v>0.000195274360476469</v>
      </c>
      <c r="BF29" s="143" t="n">
        <f aca="false">AY29*(1-'Tactical &amp; Candidate'!C$8)</f>
        <v>0.230344449406759</v>
      </c>
      <c r="BG29" s="143" t="n">
        <f aca="false">AZ29*(1-'Tactical &amp; Candidate'!D$8)</f>
        <v>0.348831828804871</v>
      </c>
      <c r="BH29" s="143" t="n">
        <f aca="false">BA29*(1-'Tactical &amp; Candidate'!E$8)</f>
        <v>0.143785064854183</v>
      </c>
      <c r="BI29" s="143" t="n">
        <f aca="false">BB29*(1-'Tactical &amp; Candidate'!F$8)</f>
        <v>0.206300570327159</v>
      </c>
      <c r="BJ29" s="143" t="n">
        <f aca="false">BC29*(1-'Tactical &amp; Candidate'!G$8)</f>
        <v>0.0705428122465521</v>
      </c>
      <c r="BK29" s="143" t="n">
        <f aca="false">BD29*(1-'Tactical &amp; Candidate'!H$8)</f>
        <v>0.000195274360476469</v>
      </c>
      <c r="BL29" s="143" t="n">
        <f aca="false">LARGE(AY29:BD29,2)</f>
        <v>0.230344449406759</v>
      </c>
      <c r="BM29" s="143" t="n">
        <f aca="false">SUMPRODUCT((AY29:BD29&lt;$BL29)*AY29:BD29)*'Tactical &amp; Candidate'!$C$6</f>
        <v>0</v>
      </c>
      <c r="BN29" s="143" t="n">
        <f aca="false">MAX(BF29:BK29)</f>
        <v>0.348831828804871</v>
      </c>
      <c r="BO29" s="144" t="n">
        <f aca="false">SUMPRODUCT((BF29:BK29=$BN29)*1)</f>
        <v>1</v>
      </c>
      <c r="BQ29" s="143" t="n">
        <f aca="false">AY29*(1-'Tactical &amp; Candidate'!$C$6*(AY29&lt;$BL29))+IF(BF29=$BN29,$BM29/$BO29,0)</f>
        <v>0.230344449406759</v>
      </c>
      <c r="BR29" s="143" t="n">
        <f aca="false">AZ29*(1-'Tactical &amp; Candidate'!$C$6*(AZ29&lt;$BL29))+IF(BG29=$BN29,$BM29/$BO29,0)</f>
        <v>0.348831828804871</v>
      </c>
      <c r="BS29" s="143" t="n">
        <f aca="false">BA29*(1-'Tactical &amp; Candidate'!$C$6*(BA29&lt;$BL29))+IF(BH29=$BN29,$BM29/$BO29,0)</f>
        <v>0.143785064854183</v>
      </c>
      <c r="BT29" s="143" t="n">
        <f aca="false">BB29*(1-'Tactical &amp; Candidate'!$C$6*(BB29&lt;$BL29))+IF(BI29=$BN29,$BM29/$BO29,0)</f>
        <v>0.206300570327159</v>
      </c>
      <c r="BU29" s="143" t="n">
        <f aca="false">BC29*(1-'Tactical &amp; Candidate'!$C$6*(BC29&lt;$BL29))+IF(BJ29=$BN29,$BM29/$BO29,0)</f>
        <v>0.0705428122465521</v>
      </c>
      <c r="BV29" s="143" t="n">
        <f aca="false">BD29*(1-'Tactical &amp; Candidate'!$C$6*(BD29&lt;$BL29))+IF(BK29=$BN29,$BM29/$BO29,0)</f>
        <v>0.000195274360476469</v>
      </c>
      <c r="BW29" s="143" t="n">
        <f aca="false">SUM(BQ29:BV29)</f>
        <v>1</v>
      </c>
      <c r="BX29" s="143" t="n">
        <f aca="false">BQ29/$BW29</f>
        <v>0.230344449406759</v>
      </c>
      <c r="BY29" s="143" t="n">
        <f aca="false">BR29/$BW29</f>
        <v>0.348831828804871</v>
      </c>
      <c r="BZ29" s="143" t="n">
        <f aca="false">BS29/$BW29</f>
        <v>0.143785064854183</v>
      </c>
      <c r="CA29" s="143" t="n">
        <f aca="false">BT29/$BW29</f>
        <v>0.206300570327159</v>
      </c>
      <c r="CB29" s="143" t="n">
        <f aca="false">BU29/$BW29</f>
        <v>0.0705428122465521</v>
      </c>
      <c r="CC29" s="143" t="n">
        <f aca="false">BV29/$BW29</f>
        <v>0.000195274360476469</v>
      </c>
    </row>
    <row r="30" customFormat="false" ht="15" hidden="false" customHeight="false" outlineLevel="0" collapsed="false">
      <c r="B30" s="21" t="s">
        <v>71</v>
      </c>
      <c r="C30" s="145" t="n">
        <f aca="false">AC30/$AI30</f>
        <v>0.219234656219337</v>
      </c>
      <c r="D30" s="146" t="n">
        <f aca="false">AD30/$AI30</f>
        <v>0.323541839431381</v>
      </c>
      <c r="E30" s="147" t="n">
        <f aca="false">AE30/$AI30</f>
        <v>0.17504142880433</v>
      </c>
      <c r="F30" s="148" t="n">
        <f aca="false">AF30/$AI30</f>
        <v>0.190737374675096</v>
      </c>
      <c r="G30" s="149" t="n">
        <f aca="false">AG30/$AI30</f>
        <v>0.0914447008698565</v>
      </c>
      <c r="H30" s="150" t="n">
        <f aca="false">AH30/$AI30</f>
        <v>0</v>
      </c>
      <c r="I30" s="145" t="n">
        <f aca="false">$L$3*'Voting History'!C30+$M$3*'Voting History'!I30+$N$3*'Voting History'!O30</f>
        <v>0.298450491048535</v>
      </c>
      <c r="J30" s="146" t="n">
        <f aca="false">$L$3*'Voting History'!D30+$M$3*'Voting History'!J30+$N$3*'Voting History'!P30</f>
        <v>0.372091085194994</v>
      </c>
      <c r="K30" s="147" t="n">
        <f aca="false">$L$3*'Voting History'!E30+$M$3*'Voting History'!K30+$N$3*'Voting History'!Q30</f>
        <v>0.148877620532846</v>
      </c>
      <c r="L30" s="148" t="n">
        <f aca="false">$L$3*'Voting History'!F30+$M$3*'Voting History'!L30+$N$3*'Voting History'!R30</f>
        <v>0.115774423259819</v>
      </c>
      <c r="M30" s="149" t="n">
        <f aca="false">$L$3*'Voting History'!G30+$M$3*'Voting History'!M30+$N$3*'Voting History'!S30</f>
        <v>0.064806379963805</v>
      </c>
      <c r="N30" s="150" t="n">
        <f aca="false">$L$3*'Voting History'!H30+$M$3*'Voting History'!N30+$N$3*'Voting History'!T30</f>
        <v>0</v>
      </c>
      <c r="O30" s="145" t="n">
        <f aca="false">Polling!C30</f>
        <v>0.258941391574081</v>
      </c>
      <c r="P30" s="146" t="n">
        <f aca="false">Polling!D30</f>
        <v>0.386798404878215</v>
      </c>
      <c r="Q30" s="147" t="n">
        <f aca="false">Polling!E30</f>
        <v>0.15927637423688</v>
      </c>
      <c r="R30" s="148" t="n">
        <f aca="false">Polling!F30</f>
        <v>0.128298721557072</v>
      </c>
      <c r="S30" s="149" t="n">
        <f aca="false">Polling!G30</f>
        <v>0.0666851077537523</v>
      </c>
      <c r="T30" s="150" t="n">
        <f aca="false">Polling!H30</f>
        <v>0</v>
      </c>
      <c r="U30" s="151" t="n">
        <f aca="false">AJ30/$AP30</f>
        <v>0.256906645836271</v>
      </c>
      <c r="V30" s="152" t="n">
        <f aca="false">AK30/$AP30</f>
        <v>0.364144605323359</v>
      </c>
      <c r="W30" s="153" t="n">
        <f aca="false">AL30/$AP30</f>
        <v>0.161406202181107</v>
      </c>
      <c r="X30" s="154" t="n">
        <f aca="false">AM30/$AP30</f>
        <v>0.143899242918166</v>
      </c>
      <c r="Y30" s="155" t="n">
        <f aca="false">AN30/$AP30</f>
        <v>0.0736433037410968</v>
      </c>
      <c r="Z30" s="156" t="n">
        <f aca="false">AO30/$AP30</f>
        <v>0</v>
      </c>
      <c r="AA30" s="64" t="n">
        <f aca="false">SUMPRODUCT(Demographics!$C30:$I30,Demographics!$C$43:$I$43)</f>
        <v>0.634249200681392</v>
      </c>
      <c r="AC30" s="143" t="n">
        <f aca="false">SUMPRODUCT(Demographics!$C30:$I30,Demographics!$C$43:$I$43,Demographics!$C$44:$I$44)</f>
        <v>0.139049405468774</v>
      </c>
      <c r="AD30" s="143" t="n">
        <f aca="false">SUMPRODUCT(Demographics!$C30:$I30,Demographics!$C$43:$I$43,Demographics!$C$45:$I$45)</f>
        <v>0.205206153046341</v>
      </c>
      <c r="AE30" s="143" t="n">
        <f aca="false">SUMPRODUCT(Demographics!$C30:$I30,Demographics!$C$43:$I$43,Demographics!$C$46:$I$46)</f>
        <v>0.111019886305275</v>
      </c>
      <c r="AF30" s="143" t="n">
        <f aca="false">SUMPRODUCT(Demographics!$C30:$I30,Demographics!$C$43:$I$43,Demographics!$C$47:$I$47)</f>
        <v>0.120975027427747</v>
      </c>
      <c r="AG30" s="143" t="n">
        <f aca="false">SUMPRODUCT(Demographics!$C30:$I30,Demographics!$C$43:$I$43,Demographics!$C$48:$I$48)</f>
        <v>0.0579987284332555</v>
      </c>
      <c r="AH30" s="143" t="n">
        <f aca="false">SUMPRODUCT(Demographics!$C30:$I30,Demographics!$C$43:$I$43,Demographics!$C$49:$I$49)</f>
        <v>0</v>
      </c>
      <c r="AI30" s="143" t="n">
        <f aca="false">SUM(AC30:AH30)</f>
        <v>0.634249200681392</v>
      </c>
      <c r="AJ30" s="143" t="n">
        <f aca="false">$D$3*C30+$F$3*I30+$H$3*O30</f>
        <v>0.256906645836271</v>
      </c>
      <c r="AK30" s="143" t="n">
        <f aca="false">$D$3*D30+$F$3*J30+$H$3*P30</f>
        <v>0.364144605323359</v>
      </c>
      <c r="AL30" s="143" t="n">
        <f aca="false">$D$3*E30+$F$3*K30+$H$3*Q30</f>
        <v>0.161406202181107</v>
      </c>
      <c r="AM30" s="143" t="n">
        <f aca="false">$D$3*F30+$F$3*L30+$H$3*R30</f>
        <v>0.143899242918166</v>
      </c>
      <c r="AN30" s="143" t="n">
        <f aca="false">$D$3*G30+$F$3*M30+$H$3*S30</f>
        <v>0.0736433037410967</v>
      </c>
      <c r="AO30" s="143" t="n">
        <f aca="false">$D$3*H30+$F$3*N30+$H$3*T30</f>
        <v>0</v>
      </c>
      <c r="AP30" s="143" t="n">
        <f aca="false">SUM(AJ30:AO30)</f>
        <v>1</v>
      </c>
      <c r="AR30" s="143" t="n">
        <f aca="false">MAX(0.0002,U30+Incumbency!C$20*Incumbency!$C$6+'Tactical &amp; Candidate'!C$12/100)</f>
        <v>0.256906645836271</v>
      </c>
      <c r="AS30" s="143" t="n">
        <f aca="false">MAX(0.0002,V30+Incumbency!D$20*Incumbency!$C$6+'Tactical &amp; Candidate'!D$12/100)</f>
        <v>0.38814460532336</v>
      </c>
      <c r="AT30" s="143" t="n">
        <f aca="false">MAX(0.0002,W30+Incumbency!E$20*Incumbency!$C$6+'Tactical &amp; Candidate'!E$12/100)</f>
        <v>0.161406202181107</v>
      </c>
      <c r="AU30" s="143" t="n">
        <f aca="false">MAX(0.0002,X30+Incumbency!F$20*Incumbency!$C$6+'Tactical &amp; Candidate'!F$12/100)</f>
        <v>0.143899242918166</v>
      </c>
      <c r="AV30" s="143" t="n">
        <f aca="false">MAX(0.0002,Y30+Incumbency!G$20*Incumbency!$C$6+'Tactical &amp; Candidate'!G$12/100)</f>
        <v>0.0736433037410968</v>
      </c>
      <c r="AW30" s="143" t="n">
        <f aca="false">MAX(0.0002,Z30+Incumbency!H$20*Incumbency!$C$6+'Tactical &amp; Candidate'!H$12/100)</f>
        <v>0.0002</v>
      </c>
      <c r="AX30" s="143" t="n">
        <f aca="false">SUM(AR30:AW30)</f>
        <v>1.0242</v>
      </c>
      <c r="AY30" s="143" t="n">
        <f aca="false">AR30/$AX30</f>
        <v>0.250836404839164</v>
      </c>
      <c r="AZ30" s="143" t="n">
        <f aca="false">AS30/$AX30</f>
        <v>0.378973447884553</v>
      </c>
      <c r="BA30" s="143" t="n">
        <f aca="false">AT30/$AX30</f>
        <v>0.157592464539257</v>
      </c>
      <c r="BB30" s="143" t="n">
        <f aca="false">AU30/$AX30</f>
        <v>0.140499163169465</v>
      </c>
      <c r="BC30" s="143" t="n">
        <f aca="false">AV30/$AX30</f>
        <v>0.0719032452070853</v>
      </c>
      <c r="BD30" s="143" t="n">
        <f aca="false">AW30/$AX30</f>
        <v>0.000195274360476469</v>
      </c>
      <c r="BF30" s="143" t="n">
        <f aca="false">AY30*(1-'Tactical &amp; Candidate'!C$8)</f>
        <v>0.250836404839164</v>
      </c>
      <c r="BG30" s="143" t="n">
        <f aca="false">AZ30*(1-'Tactical &amp; Candidate'!D$8)</f>
        <v>0.378973447884553</v>
      </c>
      <c r="BH30" s="143" t="n">
        <f aca="false">BA30*(1-'Tactical &amp; Candidate'!E$8)</f>
        <v>0.157592464539257</v>
      </c>
      <c r="BI30" s="143" t="n">
        <f aca="false">BB30*(1-'Tactical &amp; Candidate'!F$8)</f>
        <v>0.140499163169465</v>
      </c>
      <c r="BJ30" s="143" t="n">
        <f aca="false">BC30*(1-'Tactical &amp; Candidate'!G$8)</f>
        <v>0.0719032452070853</v>
      </c>
      <c r="BK30" s="143" t="n">
        <f aca="false">BD30*(1-'Tactical &amp; Candidate'!H$8)</f>
        <v>0.000195274360476469</v>
      </c>
      <c r="BL30" s="143" t="n">
        <f aca="false">LARGE(AY30:BD30,2)</f>
        <v>0.250836404839164</v>
      </c>
      <c r="BM30" s="143" t="n">
        <f aca="false">SUMPRODUCT((AY30:BD30&lt;$BL30)*AY30:BD30)*'Tactical &amp; Candidate'!$C$6</f>
        <v>0</v>
      </c>
      <c r="BN30" s="143" t="n">
        <f aca="false">MAX(BF30:BK30)</f>
        <v>0.378973447884553</v>
      </c>
      <c r="BO30" s="144" t="n">
        <f aca="false">SUMPRODUCT((BF30:BK30=$BN30)*1)</f>
        <v>1</v>
      </c>
      <c r="BQ30" s="143" t="n">
        <f aca="false">AY30*(1-'Tactical &amp; Candidate'!$C$6*(AY30&lt;$BL30))+IF(BF30=$BN30,$BM30/$BO30,0)</f>
        <v>0.250836404839164</v>
      </c>
      <c r="BR30" s="143" t="n">
        <f aca="false">AZ30*(1-'Tactical &amp; Candidate'!$C$6*(AZ30&lt;$BL30))+IF(BG30=$BN30,$BM30/$BO30,0)</f>
        <v>0.378973447884553</v>
      </c>
      <c r="BS30" s="143" t="n">
        <f aca="false">BA30*(1-'Tactical &amp; Candidate'!$C$6*(BA30&lt;$BL30))+IF(BH30=$BN30,$BM30/$BO30,0)</f>
        <v>0.157592464539257</v>
      </c>
      <c r="BT30" s="143" t="n">
        <f aca="false">BB30*(1-'Tactical &amp; Candidate'!$C$6*(BB30&lt;$BL30))+IF(BI30=$BN30,$BM30/$BO30,0)</f>
        <v>0.140499163169465</v>
      </c>
      <c r="BU30" s="143" t="n">
        <f aca="false">BC30*(1-'Tactical &amp; Candidate'!$C$6*(BC30&lt;$BL30))+IF(BJ30=$BN30,$BM30/$BO30,0)</f>
        <v>0.0719032452070853</v>
      </c>
      <c r="BV30" s="143" t="n">
        <f aca="false">BD30*(1-'Tactical &amp; Candidate'!$C$6*(BD30&lt;$BL30))+IF(BK30=$BN30,$BM30/$BO30,0)</f>
        <v>0.000195274360476469</v>
      </c>
      <c r="BW30" s="143" t="n">
        <f aca="false">SUM(BQ30:BV30)</f>
        <v>1</v>
      </c>
      <c r="BX30" s="143" t="n">
        <f aca="false">BQ30/$BW30</f>
        <v>0.250836404839164</v>
      </c>
      <c r="BY30" s="143" t="n">
        <f aca="false">BR30/$BW30</f>
        <v>0.378973447884553</v>
      </c>
      <c r="BZ30" s="143" t="n">
        <f aca="false">BS30/$BW30</f>
        <v>0.157592464539257</v>
      </c>
      <c r="CA30" s="143" t="n">
        <f aca="false">BT30/$BW30</f>
        <v>0.140499163169465</v>
      </c>
      <c r="CB30" s="143" t="n">
        <f aca="false">BU30/$BW30</f>
        <v>0.0719032452070853</v>
      </c>
      <c r="CC30" s="143" t="n">
        <f aca="false">BV30/$BW30</f>
        <v>0.000195274360476469</v>
      </c>
    </row>
    <row r="31" customFormat="false" ht="15" hidden="false" customHeight="false" outlineLevel="0" collapsed="false">
      <c r="B31" s="9" t="s">
        <v>72</v>
      </c>
      <c r="C31" s="132" t="n">
        <f aca="false">AC31/$AI31</f>
        <v>0.228405526997777</v>
      </c>
      <c r="D31" s="133" t="n">
        <f aca="false">AD31/$AI31</f>
        <v>0.296788741279798</v>
      </c>
      <c r="E31" s="134" t="n">
        <f aca="false">AE31/$AI31</f>
        <v>0.143294568999653</v>
      </c>
      <c r="F31" s="130" t="n">
        <f aca="false">AF31/$AI31</f>
        <v>0.236550016378287</v>
      </c>
      <c r="G31" s="135" t="n">
        <f aca="false">AG31/$AI31</f>
        <v>0.0949611463444851</v>
      </c>
      <c r="H31" s="136" t="n">
        <f aca="false">AH31/$AI31</f>
        <v>0</v>
      </c>
      <c r="I31" s="132" t="n">
        <f aca="false">$L$3*'Voting History'!C31+$M$3*'Voting History'!I31+$N$3*'Voting History'!O31</f>
        <v>0.305703493429724</v>
      </c>
      <c r="J31" s="133" t="n">
        <f aca="false">$L$3*'Voting History'!D31+$M$3*'Voting History'!J31+$N$3*'Voting History'!P31</f>
        <v>0.250914012832807</v>
      </c>
      <c r="K31" s="134" t="n">
        <f aca="false">$L$3*'Voting History'!E31+$M$3*'Voting History'!K31+$N$3*'Voting History'!Q31</f>
        <v>0.112984212894096</v>
      </c>
      <c r="L31" s="130" t="n">
        <f aca="false">$L$3*'Voting History'!F31+$M$3*'Voting History'!L31+$N$3*'Voting History'!R31</f>
        <v>0.254137521376191</v>
      </c>
      <c r="M31" s="135" t="n">
        <f aca="false">$L$3*'Voting History'!G31+$M$3*'Voting History'!M31+$N$3*'Voting History'!S31</f>
        <v>0.0762607594671817</v>
      </c>
      <c r="N31" s="136" t="n">
        <f aca="false">$L$3*'Voting History'!H31+$M$3*'Voting History'!N31+$N$3*'Voting History'!T31</f>
        <v>0</v>
      </c>
      <c r="O31" s="132" t="n">
        <f aca="false">Polling!C31</f>
        <v>0.294087285350026</v>
      </c>
      <c r="P31" s="133" t="n">
        <f aca="false">Polling!D31</f>
        <v>0.254301121567508</v>
      </c>
      <c r="Q31" s="134" t="n">
        <f aca="false">Polling!E31</f>
        <v>0.12021488964589</v>
      </c>
      <c r="R31" s="130" t="n">
        <f aca="false">Polling!F31</f>
        <v>0.26110309095403</v>
      </c>
      <c r="S31" s="135" t="n">
        <f aca="false">Polling!G31</f>
        <v>0.0702936124825465</v>
      </c>
      <c r="T31" s="136" t="n">
        <f aca="false">Polling!H31</f>
        <v>0</v>
      </c>
      <c r="U31" s="137" t="n">
        <f aca="false">AJ31/$AP31</f>
        <v>0.277286809864276</v>
      </c>
      <c r="V31" s="138" t="n">
        <f aca="false">AK31/$AP31</f>
        <v>0.26620063029752</v>
      </c>
      <c r="W31" s="139" t="n">
        <f aca="false">AL31/$AP31</f>
        <v>0.12533112426407</v>
      </c>
      <c r="X31" s="140" t="n">
        <f aca="false">AM31/$AP31</f>
        <v>0.251995776186847</v>
      </c>
      <c r="Y31" s="141" t="n">
        <f aca="false">AN31/$AP31</f>
        <v>0.0791856593872869</v>
      </c>
      <c r="Z31" s="142" t="n">
        <f aca="false">AO31/$AP31</f>
        <v>0</v>
      </c>
      <c r="AA31" s="53" t="n">
        <f aca="false">SUMPRODUCT(Demographics!$C31:$I31,Demographics!$C$43:$I$43)</f>
        <v>0.624664825666292</v>
      </c>
      <c r="AC31" s="143" t="n">
        <f aca="false">SUMPRODUCT(Demographics!$C31:$I31,Demographics!$C$43:$I$43,Demographics!$C$44:$I$44)</f>
        <v>0.142676898703284</v>
      </c>
      <c r="AD31" s="143" t="n">
        <f aca="false">SUMPRODUCT(Demographics!$C31:$I31,Demographics!$C$43:$I$43,Demographics!$C$45:$I$45)</f>
        <v>0.185393487331263</v>
      </c>
      <c r="AE31" s="143" t="n">
        <f aca="false">SUMPRODUCT(Demographics!$C31:$I31,Demographics!$C$43:$I$43,Demographics!$C$46:$I$46)</f>
        <v>0.0895110769630946</v>
      </c>
      <c r="AF31" s="143" t="n">
        <f aca="false">SUMPRODUCT(Demographics!$C31:$I31,Demographics!$C$43:$I$43,Demographics!$C$47:$I$47)</f>
        <v>0.147764474742301</v>
      </c>
      <c r="AG31" s="143" t="n">
        <f aca="false">SUMPRODUCT(Demographics!$C31:$I31,Demographics!$C$43:$I$43,Demographics!$C$48:$I$48)</f>
        <v>0.059318887926349</v>
      </c>
      <c r="AH31" s="143" t="n">
        <f aca="false">SUMPRODUCT(Demographics!$C31:$I31,Demographics!$C$43:$I$43,Demographics!$C$49:$I$49)</f>
        <v>0</v>
      </c>
      <c r="AI31" s="143" t="n">
        <f aca="false">SUM(AC31:AH31)</f>
        <v>0.624664825666292</v>
      </c>
      <c r="AJ31" s="143" t="n">
        <f aca="false">$D$3*C31+$F$3*I31+$H$3*O31</f>
        <v>0.277286809864276</v>
      </c>
      <c r="AK31" s="143" t="n">
        <f aca="false">$D$3*D31+$F$3*J31+$H$3*P31</f>
        <v>0.26620063029752</v>
      </c>
      <c r="AL31" s="143" t="n">
        <f aca="false">$D$3*E31+$F$3*K31+$H$3*Q31</f>
        <v>0.12533112426407</v>
      </c>
      <c r="AM31" s="143" t="n">
        <f aca="false">$D$3*F31+$F$3*L31+$H$3*R31</f>
        <v>0.251995776186847</v>
      </c>
      <c r="AN31" s="143" t="n">
        <f aca="false">$D$3*G31+$F$3*M31+$H$3*S31</f>
        <v>0.0791856593872869</v>
      </c>
      <c r="AO31" s="143" t="n">
        <f aca="false">$D$3*H31+$F$3*N31+$H$3*T31</f>
        <v>0</v>
      </c>
      <c r="AP31" s="143" t="n">
        <f aca="false">SUM(AJ31:AO31)</f>
        <v>1</v>
      </c>
      <c r="AR31" s="143" t="n">
        <f aca="false">MAX(0.0002,U31+Incumbency!C$20*Incumbency!$C$6+'Tactical &amp; Candidate'!C$12/100)</f>
        <v>0.277286809864276</v>
      </c>
      <c r="AS31" s="143" t="n">
        <f aca="false">MAX(0.0002,V31+Incumbency!D$20*Incumbency!$C$6+'Tactical &amp; Candidate'!D$12/100)</f>
        <v>0.29020063029752</v>
      </c>
      <c r="AT31" s="143" t="n">
        <f aca="false">MAX(0.0002,W31+Incumbency!E$20*Incumbency!$C$6+'Tactical &amp; Candidate'!E$12/100)</f>
        <v>0.12533112426407</v>
      </c>
      <c r="AU31" s="143" t="n">
        <f aca="false">MAX(0.0002,X31+Incumbency!F$20*Incumbency!$C$6+'Tactical &amp; Candidate'!F$12/100)</f>
        <v>0.251995776186847</v>
      </c>
      <c r="AV31" s="143" t="n">
        <f aca="false">MAX(0.0002,Y31+Incumbency!G$20*Incumbency!$C$6+'Tactical &amp; Candidate'!G$12/100)</f>
        <v>0.0791856593872869</v>
      </c>
      <c r="AW31" s="143" t="n">
        <f aca="false">MAX(0.0002,Z31+Incumbency!H$20*Incumbency!$C$6+'Tactical &amp; Candidate'!H$12/100)</f>
        <v>0.0002</v>
      </c>
      <c r="AX31" s="143" t="n">
        <f aca="false">SUM(AR31:AW31)</f>
        <v>1.0242</v>
      </c>
      <c r="AY31" s="143" t="n">
        <f aca="false">AR31/$AX31</f>
        <v>0.270735022324034</v>
      </c>
      <c r="AZ31" s="143" t="n">
        <f aca="false">AS31/$AX31</f>
        <v>0.283343712456083</v>
      </c>
      <c r="BA31" s="143" t="n">
        <f aca="false">AT31/$AX31</f>
        <v>0.122369775692316</v>
      </c>
      <c r="BB31" s="143" t="n">
        <f aca="false">AU31/$AX31</f>
        <v>0.246041570188291</v>
      </c>
      <c r="BC31" s="143" t="n">
        <f aca="false">AV31/$AX31</f>
        <v>0.0773146449787999</v>
      </c>
      <c r="BD31" s="143" t="n">
        <f aca="false">AW31/$AX31</f>
        <v>0.000195274360476469</v>
      </c>
      <c r="BF31" s="143" t="n">
        <f aca="false">AY31*(1-'Tactical &amp; Candidate'!C$8)</f>
        <v>0.270735022324034</v>
      </c>
      <c r="BG31" s="143" t="n">
        <f aca="false">AZ31*(1-'Tactical &amp; Candidate'!D$8)</f>
        <v>0.283343712456083</v>
      </c>
      <c r="BH31" s="143" t="n">
        <f aca="false">BA31*(1-'Tactical &amp; Candidate'!E$8)</f>
        <v>0.122369775692316</v>
      </c>
      <c r="BI31" s="143" t="n">
        <f aca="false">BB31*(1-'Tactical &amp; Candidate'!F$8)</f>
        <v>0.246041570188291</v>
      </c>
      <c r="BJ31" s="143" t="n">
        <f aca="false">BC31*(1-'Tactical &amp; Candidate'!G$8)</f>
        <v>0.0773146449787999</v>
      </c>
      <c r="BK31" s="143" t="n">
        <f aca="false">BD31*(1-'Tactical &amp; Candidate'!H$8)</f>
        <v>0.000195274360476469</v>
      </c>
      <c r="BL31" s="143" t="n">
        <f aca="false">LARGE(AY31:BD31,2)</f>
        <v>0.270735022324034</v>
      </c>
      <c r="BM31" s="143" t="n">
        <f aca="false">SUMPRODUCT((AY31:BD31&lt;$BL31)*AY31:BD31)*'Tactical &amp; Candidate'!$C$6</f>
        <v>0</v>
      </c>
      <c r="BN31" s="143" t="n">
        <f aca="false">MAX(BF31:BK31)</f>
        <v>0.283343712456083</v>
      </c>
      <c r="BO31" s="144" t="n">
        <f aca="false">SUMPRODUCT((BF31:BK31=$BN31)*1)</f>
        <v>1</v>
      </c>
      <c r="BQ31" s="143" t="n">
        <f aca="false">AY31*(1-'Tactical &amp; Candidate'!$C$6*(AY31&lt;$BL31))+IF(BF31=$BN31,$BM31/$BO31,0)</f>
        <v>0.270735022324034</v>
      </c>
      <c r="BR31" s="143" t="n">
        <f aca="false">AZ31*(1-'Tactical &amp; Candidate'!$C$6*(AZ31&lt;$BL31))+IF(BG31=$BN31,$BM31/$BO31,0)</f>
        <v>0.283343712456083</v>
      </c>
      <c r="BS31" s="143" t="n">
        <f aca="false">BA31*(1-'Tactical &amp; Candidate'!$C$6*(BA31&lt;$BL31))+IF(BH31=$BN31,$BM31/$BO31,0)</f>
        <v>0.122369775692316</v>
      </c>
      <c r="BT31" s="143" t="n">
        <f aca="false">BB31*(1-'Tactical &amp; Candidate'!$C$6*(BB31&lt;$BL31))+IF(BI31=$BN31,$BM31/$BO31,0)</f>
        <v>0.246041570188291</v>
      </c>
      <c r="BU31" s="143" t="n">
        <f aca="false">BC31*(1-'Tactical &amp; Candidate'!$C$6*(BC31&lt;$BL31))+IF(BJ31=$BN31,$BM31/$BO31,0)</f>
        <v>0.0773146449787999</v>
      </c>
      <c r="BV31" s="143" t="n">
        <f aca="false">BD31*(1-'Tactical &amp; Candidate'!$C$6*(BD31&lt;$BL31))+IF(BK31=$BN31,$BM31/$BO31,0)</f>
        <v>0.000195274360476469</v>
      </c>
      <c r="BW31" s="143" t="n">
        <f aca="false">SUM(BQ31:BV31)</f>
        <v>1</v>
      </c>
      <c r="BX31" s="143" t="n">
        <f aca="false">BQ31/$BW31</f>
        <v>0.270735022324034</v>
      </c>
      <c r="BY31" s="143" t="n">
        <f aca="false">BR31/$BW31</f>
        <v>0.283343712456083</v>
      </c>
      <c r="BZ31" s="143" t="n">
        <f aca="false">BS31/$BW31</f>
        <v>0.122369775692316</v>
      </c>
      <c r="CA31" s="143" t="n">
        <f aca="false">BT31/$BW31</f>
        <v>0.246041570188291</v>
      </c>
      <c r="CB31" s="143" t="n">
        <f aca="false">BU31/$BW31</f>
        <v>0.0773146449787999</v>
      </c>
      <c r="CC31" s="143" t="n">
        <f aca="false">BV31/$BW31</f>
        <v>0.000195274360476469</v>
      </c>
    </row>
    <row r="32" customFormat="false" ht="15" hidden="false" customHeight="false" outlineLevel="0" collapsed="false">
      <c r="B32" s="21" t="s">
        <v>73</v>
      </c>
      <c r="C32" s="145" t="n">
        <f aca="false">AC32/$AI32</f>
        <v>0.222541916698823</v>
      </c>
      <c r="D32" s="146" t="n">
        <f aca="false">AD32/$AI32</f>
        <v>0.315436060048248</v>
      </c>
      <c r="E32" s="147" t="n">
        <f aca="false">AE32/$AI32</f>
        <v>0.171631385857882</v>
      </c>
      <c r="F32" s="148" t="n">
        <f aca="false">AF32/$AI32</f>
        <v>0.197986232744461</v>
      </c>
      <c r="G32" s="149" t="n">
        <f aca="false">AG32/$AI32</f>
        <v>0.0924044046505858</v>
      </c>
      <c r="H32" s="150" t="n">
        <f aca="false">AH32/$AI32</f>
        <v>0</v>
      </c>
      <c r="I32" s="145" t="n">
        <f aca="false">$L$3*'Voting History'!C32+$M$3*'Voting History'!I32+$N$3*'Voting History'!O32</f>
        <v>0.166061327583906</v>
      </c>
      <c r="J32" s="146" t="n">
        <f aca="false">$L$3*'Voting History'!D32+$M$3*'Voting History'!J32+$N$3*'Voting History'!P32</f>
        <v>0.399688235508902</v>
      </c>
      <c r="K32" s="147" t="n">
        <f aca="false">$L$3*'Voting History'!E32+$M$3*'Voting History'!K32+$N$3*'Voting History'!Q32</f>
        <v>0.253935945270025</v>
      </c>
      <c r="L32" s="148" t="n">
        <f aca="false">$L$3*'Voting History'!F32+$M$3*'Voting History'!L32+$N$3*'Voting History'!R32</f>
        <v>0.10078383566426</v>
      </c>
      <c r="M32" s="149" t="n">
        <f aca="false">$L$3*'Voting History'!G32+$M$3*'Voting History'!M32+$N$3*'Voting History'!S32</f>
        <v>0.079530655972907</v>
      </c>
      <c r="N32" s="150" t="n">
        <f aca="false">$L$3*'Voting History'!H32+$M$3*'Voting History'!N32+$N$3*'Voting History'!T32</f>
        <v>0</v>
      </c>
      <c r="O32" s="145" t="n">
        <f aca="false">Polling!C32</f>
        <v>0.183991049969898</v>
      </c>
      <c r="P32" s="146" t="n">
        <f aca="false">Polling!D32</f>
        <v>0.391615303334024</v>
      </c>
      <c r="Q32" s="147" t="n">
        <f aca="false">Polling!E32</f>
        <v>0.242103311776701</v>
      </c>
      <c r="R32" s="148" t="n">
        <f aca="false">Polling!F32</f>
        <v>0.103721677229127</v>
      </c>
      <c r="S32" s="149" t="n">
        <f aca="false">Polling!G32</f>
        <v>0.0785686576902501</v>
      </c>
      <c r="T32" s="150" t="n">
        <f aca="false">Polling!H32</f>
        <v>0</v>
      </c>
      <c r="U32" s="151" t="n">
        <f aca="false">AJ32/$AP32</f>
        <v>0.191073879392078</v>
      </c>
      <c r="V32" s="152" t="n">
        <f aca="false">AK32/$AP32</f>
        <v>0.370779763392011</v>
      </c>
      <c r="W32" s="153" t="n">
        <f aca="false">AL32/$AP32</f>
        <v>0.223919892374386</v>
      </c>
      <c r="X32" s="154" t="n">
        <f aca="false">AM32/$AP32</f>
        <v>0.131266583492511</v>
      </c>
      <c r="Y32" s="155" t="n">
        <f aca="false">AN32/$AP32</f>
        <v>0.082959881349015</v>
      </c>
      <c r="Z32" s="156" t="n">
        <f aca="false">AO32/$AP32</f>
        <v>0</v>
      </c>
      <c r="AA32" s="64" t="n">
        <f aca="false">SUMPRODUCT(Demographics!$C32:$I32,Demographics!$C$43:$I$43)</f>
        <v>0.603233074092578</v>
      </c>
      <c r="AC32" s="143" t="n">
        <f aca="false">SUMPRODUCT(Demographics!$C32:$I32,Demographics!$C$43:$I$43,Demographics!$C$44:$I$44)</f>
        <v>0.134244644524686</v>
      </c>
      <c r="AD32" s="143" t="n">
        <f aca="false">SUMPRODUCT(Demographics!$C32:$I32,Demographics!$C$43:$I$43,Demographics!$C$45:$I$45)</f>
        <v>0.190281464182556</v>
      </c>
      <c r="AE32" s="143" t="n">
        <f aca="false">SUMPRODUCT(Demographics!$C32:$I32,Demographics!$C$43:$I$43,Demographics!$C$46:$I$46)</f>
        <v>0.10353372850182</v>
      </c>
      <c r="AF32" s="143" t="n">
        <f aca="false">SUMPRODUCT(Demographics!$C32:$I32,Demographics!$C$43:$I$43,Demographics!$C$47:$I$47)</f>
        <v>0.11943184380645</v>
      </c>
      <c r="AG32" s="143" t="n">
        <f aca="false">SUMPRODUCT(Demographics!$C32:$I32,Demographics!$C$43:$I$43,Demographics!$C$48:$I$48)</f>
        <v>0.0557413930770674</v>
      </c>
      <c r="AH32" s="143" t="n">
        <f aca="false">SUMPRODUCT(Demographics!$C32:$I32,Demographics!$C$43:$I$43,Demographics!$C$49:$I$49)</f>
        <v>0</v>
      </c>
      <c r="AI32" s="143" t="n">
        <f aca="false">SUM(AC32:AH32)</f>
        <v>0.603233074092578</v>
      </c>
      <c r="AJ32" s="143" t="n">
        <f aca="false">$D$3*C32+$F$3*I32+$H$3*O32</f>
        <v>0.191073879392078</v>
      </c>
      <c r="AK32" s="143" t="n">
        <f aca="false">$D$3*D32+$F$3*J32+$H$3*P32</f>
        <v>0.370779763392011</v>
      </c>
      <c r="AL32" s="143" t="n">
        <f aca="false">$D$3*E32+$F$3*K32+$H$3*Q32</f>
        <v>0.223919892374386</v>
      </c>
      <c r="AM32" s="143" t="n">
        <f aca="false">$D$3*F32+$F$3*L32+$H$3*R32</f>
        <v>0.131266583492511</v>
      </c>
      <c r="AN32" s="143" t="n">
        <f aca="false">$D$3*G32+$F$3*M32+$H$3*S32</f>
        <v>0.082959881349015</v>
      </c>
      <c r="AO32" s="143" t="n">
        <f aca="false">$D$3*H32+$F$3*N32+$H$3*T32</f>
        <v>0</v>
      </c>
      <c r="AP32" s="143" t="n">
        <f aca="false">SUM(AJ32:AO32)</f>
        <v>1</v>
      </c>
      <c r="AR32" s="143" t="n">
        <f aca="false">MAX(0.0002,U32+Incumbency!C$20*Incumbency!$C$6+'Tactical &amp; Candidate'!C$12/100)</f>
        <v>0.191073879392078</v>
      </c>
      <c r="AS32" s="143" t="n">
        <f aca="false">MAX(0.0002,V32+Incumbency!D$20*Incumbency!$C$6+'Tactical &amp; Candidate'!D$12/100)</f>
        <v>0.394779763392011</v>
      </c>
      <c r="AT32" s="143" t="n">
        <f aca="false">MAX(0.0002,W32+Incumbency!E$20*Incumbency!$C$6+'Tactical &amp; Candidate'!E$12/100)</f>
        <v>0.223919892374386</v>
      </c>
      <c r="AU32" s="143" t="n">
        <f aca="false">MAX(0.0002,X32+Incumbency!F$20*Incumbency!$C$6+'Tactical &amp; Candidate'!F$12/100)</f>
        <v>0.131266583492511</v>
      </c>
      <c r="AV32" s="143" t="n">
        <f aca="false">MAX(0.0002,Y32+Incumbency!G$20*Incumbency!$C$6+'Tactical &amp; Candidate'!G$12/100)</f>
        <v>0.082959881349015</v>
      </c>
      <c r="AW32" s="143" t="n">
        <f aca="false">MAX(0.0002,Z32+Incumbency!H$20*Incumbency!$C$6+'Tactical &amp; Candidate'!H$12/100)</f>
        <v>0.0002</v>
      </c>
      <c r="AX32" s="143" t="n">
        <f aca="false">SUM(AR32:AW32)</f>
        <v>1.0242</v>
      </c>
      <c r="AY32" s="143" t="n">
        <f aca="false">AR32/$AX32</f>
        <v>0.18655914801023</v>
      </c>
      <c r="AZ32" s="143" t="n">
        <f aca="false">AS32/$AX32</f>
        <v>0.385451829127134</v>
      </c>
      <c r="BA32" s="143" t="n">
        <f aca="false">AT32/$AX32</f>
        <v>0.218629068906841</v>
      </c>
      <c r="BB32" s="143" t="n">
        <f aca="false">AU32/$AX32</f>
        <v>0.128164990717155</v>
      </c>
      <c r="BC32" s="143" t="n">
        <f aca="false">AV32/$AX32</f>
        <v>0.0809996888781635</v>
      </c>
      <c r="BD32" s="143" t="n">
        <f aca="false">AW32/$AX32</f>
        <v>0.000195274360476469</v>
      </c>
      <c r="BF32" s="143" t="n">
        <f aca="false">AY32*(1-'Tactical &amp; Candidate'!C$8)</f>
        <v>0.18655914801023</v>
      </c>
      <c r="BG32" s="143" t="n">
        <f aca="false">AZ32*(1-'Tactical &amp; Candidate'!D$8)</f>
        <v>0.385451829127134</v>
      </c>
      <c r="BH32" s="143" t="n">
        <f aca="false">BA32*(1-'Tactical &amp; Candidate'!E$8)</f>
        <v>0.218629068906841</v>
      </c>
      <c r="BI32" s="143" t="n">
        <f aca="false">BB32*(1-'Tactical &amp; Candidate'!F$8)</f>
        <v>0.128164990717155</v>
      </c>
      <c r="BJ32" s="143" t="n">
        <f aca="false">BC32*(1-'Tactical &amp; Candidate'!G$8)</f>
        <v>0.0809996888781635</v>
      </c>
      <c r="BK32" s="143" t="n">
        <f aca="false">BD32*(1-'Tactical &amp; Candidate'!H$8)</f>
        <v>0.000195274360476469</v>
      </c>
      <c r="BL32" s="143" t="n">
        <f aca="false">LARGE(AY32:BD32,2)</f>
        <v>0.218629068906841</v>
      </c>
      <c r="BM32" s="143" t="n">
        <f aca="false">SUMPRODUCT((AY32:BD32&lt;$BL32)*AY32:BD32)*'Tactical &amp; Candidate'!$C$6</f>
        <v>0</v>
      </c>
      <c r="BN32" s="143" t="n">
        <f aca="false">MAX(BF32:BK32)</f>
        <v>0.385451829127134</v>
      </c>
      <c r="BO32" s="144" t="n">
        <f aca="false">SUMPRODUCT((BF32:BK32=$BN32)*1)</f>
        <v>1</v>
      </c>
      <c r="BQ32" s="143" t="n">
        <f aca="false">AY32*(1-'Tactical &amp; Candidate'!$C$6*(AY32&lt;$BL32))+IF(BF32=$BN32,$BM32/$BO32,0)</f>
        <v>0.18655914801023</v>
      </c>
      <c r="BR32" s="143" t="n">
        <f aca="false">AZ32*(1-'Tactical &amp; Candidate'!$C$6*(AZ32&lt;$BL32))+IF(BG32=$BN32,$BM32/$BO32,0)</f>
        <v>0.385451829127134</v>
      </c>
      <c r="BS32" s="143" t="n">
        <f aca="false">BA32*(1-'Tactical &amp; Candidate'!$C$6*(BA32&lt;$BL32))+IF(BH32=$BN32,$BM32/$BO32,0)</f>
        <v>0.218629068906841</v>
      </c>
      <c r="BT32" s="143" t="n">
        <f aca="false">BB32*(1-'Tactical &amp; Candidate'!$C$6*(BB32&lt;$BL32))+IF(BI32=$BN32,$BM32/$BO32,0)</f>
        <v>0.128164990717155</v>
      </c>
      <c r="BU32" s="143" t="n">
        <f aca="false">BC32*(1-'Tactical &amp; Candidate'!$C$6*(BC32&lt;$BL32))+IF(BJ32=$BN32,$BM32/$BO32,0)</f>
        <v>0.0809996888781635</v>
      </c>
      <c r="BV32" s="143" t="n">
        <f aca="false">BD32*(1-'Tactical &amp; Candidate'!$C$6*(BD32&lt;$BL32))+IF(BK32=$BN32,$BM32/$BO32,0)</f>
        <v>0.000195274360476469</v>
      </c>
      <c r="BW32" s="143" t="n">
        <f aca="false">SUM(BQ32:BV32)</f>
        <v>1</v>
      </c>
      <c r="BX32" s="143" t="n">
        <f aca="false">BQ32/$BW32</f>
        <v>0.18655914801023</v>
      </c>
      <c r="BY32" s="143" t="n">
        <f aca="false">BR32/$BW32</f>
        <v>0.385451829127134</v>
      </c>
      <c r="BZ32" s="143" t="n">
        <f aca="false">BS32/$BW32</f>
        <v>0.218629068906841</v>
      </c>
      <c r="CA32" s="143" t="n">
        <f aca="false">BT32/$BW32</f>
        <v>0.128164990717155</v>
      </c>
      <c r="CB32" s="143" t="n">
        <f aca="false">BU32/$BW32</f>
        <v>0.0809996888781635</v>
      </c>
      <c r="CC32" s="143" t="n">
        <f aca="false">BV32/$BW32</f>
        <v>0.000195274360476469</v>
      </c>
    </row>
    <row r="33" customFormat="false" ht="15" hidden="false" customHeight="false" outlineLevel="0" collapsed="false">
      <c r="B33" s="9" t="s">
        <v>74</v>
      </c>
      <c r="C33" s="132" t="n">
        <f aca="false">AC33/$AI33</f>
        <v>0.219892065802171</v>
      </c>
      <c r="D33" s="133" t="n">
        <f aca="false">AD33/$AI33</f>
        <v>0.3199911136497</v>
      </c>
      <c r="E33" s="134" t="n">
        <f aca="false">AE33/$AI33</f>
        <v>0.183273431544972</v>
      </c>
      <c r="F33" s="130" t="n">
        <f aca="false">AF33/$AI33</f>
        <v>0.184820024893531</v>
      </c>
      <c r="G33" s="135" t="n">
        <f aca="false">AG33/$AI33</f>
        <v>0.0920233641096257</v>
      </c>
      <c r="H33" s="136" t="n">
        <f aca="false">AH33/$AI33</f>
        <v>0</v>
      </c>
      <c r="I33" s="132" t="n">
        <f aca="false">$L$3*'Voting History'!C33+$M$3*'Voting History'!I33+$N$3*'Voting History'!O33</f>
        <v>0.165436456980972</v>
      </c>
      <c r="J33" s="133" t="n">
        <f aca="false">$L$3*'Voting History'!D33+$M$3*'Voting History'!J33+$N$3*'Voting History'!P33</f>
        <v>0.417584330083548</v>
      </c>
      <c r="K33" s="134" t="n">
        <f aca="false">$L$3*'Voting History'!E33+$M$3*'Voting History'!K33+$N$3*'Voting History'!Q33</f>
        <v>0.236655365318881</v>
      </c>
      <c r="L33" s="130" t="n">
        <f aca="false">$L$3*'Voting History'!F33+$M$3*'Voting History'!L33+$N$3*'Voting History'!R33</f>
        <v>0.117821655599396</v>
      </c>
      <c r="M33" s="135" t="n">
        <f aca="false">$L$3*'Voting History'!G33+$M$3*'Voting History'!M33+$N$3*'Voting History'!S33</f>
        <v>0.062502192017203</v>
      </c>
      <c r="N33" s="136" t="n">
        <f aca="false">$L$3*'Voting History'!H33+$M$3*'Voting History'!N33+$N$3*'Voting History'!T33</f>
        <v>0</v>
      </c>
      <c r="O33" s="132" t="n">
        <f aca="false">Polling!C33</f>
        <v>0.17887356461433</v>
      </c>
      <c r="P33" s="133" t="n">
        <f aca="false">Polling!D33</f>
        <v>0.407806945203763</v>
      </c>
      <c r="Q33" s="134" t="n">
        <f aca="false">Polling!E33</f>
        <v>0.23411276480802</v>
      </c>
      <c r="R33" s="130" t="n">
        <f aca="false">Polling!F33</f>
        <v>0.113034710553935</v>
      </c>
      <c r="S33" s="135" t="n">
        <f aca="false">Polling!G33</f>
        <v>0.0661720148199523</v>
      </c>
      <c r="T33" s="136" t="n">
        <f aca="false">Polling!H33</f>
        <v>0</v>
      </c>
      <c r="U33" s="137" t="n">
        <f aca="false">AJ33/$AP33</f>
        <v>0.187819838062343</v>
      </c>
      <c r="V33" s="138" t="n">
        <f aca="false">AK33/$AP33</f>
        <v>0.38390654195749</v>
      </c>
      <c r="W33" s="139" t="n">
        <f aca="false">AL33/$AP33</f>
        <v>0.219496614956821</v>
      </c>
      <c r="X33" s="140" t="n">
        <f aca="false">AM33/$AP33</f>
        <v>0.135767041117179</v>
      </c>
      <c r="Y33" s="141" t="n">
        <f aca="false">AN33/$AP33</f>
        <v>0.073009963906167</v>
      </c>
      <c r="Z33" s="142" t="n">
        <f aca="false">AO33/$AP33</f>
        <v>0</v>
      </c>
      <c r="AA33" s="53" t="n">
        <f aca="false">SUMPRODUCT(Demographics!$C33:$I33,Demographics!$C$43:$I$43)</f>
        <v>0.608276801172938</v>
      </c>
      <c r="AC33" s="143" t="n">
        <f aca="false">SUMPRODUCT(Demographics!$C33:$I33,Demographics!$C$43:$I$43,Demographics!$C$44:$I$44)</f>
        <v>0.133755242389454</v>
      </c>
      <c r="AD33" s="143" t="n">
        <f aca="false">SUMPRODUCT(Demographics!$C33:$I33,Demographics!$C$43:$I$43,Demographics!$C$45:$I$45)</f>
        <v>0.194643171014606</v>
      </c>
      <c r="AE33" s="143" t="n">
        <f aca="false">SUMPRODUCT(Demographics!$C33:$I33,Demographics!$C$43:$I$43,Demographics!$C$46:$I$46)</f>
        <v>0.111480976680163</v>
      </c>
      <c r="AF33" s="143" t="n">
        <f aca="false">SUMPRODUCT(Demographics!$C33:$I33,Demographics!$C$43:$I$43,Demographics!$C$47:$I$47)</f>
        <v>0.11242173353494</v>
      </c>
      <c r="AG33" s="143" t="n">
        <f aca="false">SUMPRODUCT(Demographics!$C33:$I33,Demographics!$C$43:$I$43,Demographics!$C$48:$I$48)</f>
        <v>0.0559756775537757</v>
      </c>
      <c r="AH33" s="143" t="n">
        <f aca="false">SUMPRODUCT(Demographics!$C33:$I33,Demographics!$C$43:$I$43,Demographics!$C$49:$I$49)</f>
        <v>0</v>
      </c>
      <c r="AI33" s="143" t="n">
        <f aca="false">SUM(AC33:AH33)</f>
        <v>0.608276801172938</v>
      </c>
      <c r="AJ33" s="143" t="n">
        <f aca="false">$D$3*C33+$F$3*I33+$H$3*O33</f>
        <v>0.187819838062343</v>
      </c>
      <c r="AK33" s="143" t="n">
        <f aca="false">$D$3*D33+$F$3*J33+$H$3*P33</f>
        <v>0.38390654195749</v>
      </c>
      <c r="AL33" s="143" t="n">
        <f aca="false">$D$3*E33+$F$3*K33+$H$3*Q33</f>
        <v>0.219496614956821</v>
      </c>
      <c r="AM33" s="143" t="n">
        <f aca="false">$D$3*F33+$F$3*L33+$H$3*R33</f>
        <v>0.135767041117179</v>
      </c>
      <c r="AN33" s="143" t="n">
        <f aca="false">$D$3*G33+$F$3*M33+$H$3*S33</f>
        <v>0.073009963906167</v>
      </c>
      <c r="AO33" s="143" t="n">
        <f aca="false">$D$3*H33+$F$3*N33+$H$3*T33</f>
        <v>0</v>
      </c>
      <c r="AP33" s="143" t="n">
        <f aca="false">SUM(AJ33:AO33)</f>
        <v>1</v>
      </c>
      <c r="AR33" s="143" t="n">
        <f aca="false">MAX(0.0002,U33+Incumbency!C$20*Incumbency!$C$6+'Tactical &amp; Candidate'!C$12/100)</f>
        <v>0.187819838062343</v>
      </c>
      <c r="AS33" s="143" t="n">
        <f aca="false">MAX(0.0002,V33+Incumbency!D$20*Incumbency!$C$6+'Tactical &amp; Candidate'!D$12/100)</f>
        <v>0.40790654195749</v>
      </c>
      <c r="AT33" s="143" t="n">
        <f aca="false">MAX(0.0002,W33+Incumbency!E$20*Incumbency!$C$6+'Tactical &amp; Candidate'!E$12/100)</f>
        <v>0.219496614956821</v>
      </c>
      <c r="AU33" s="143" t="n">
        <f aca="false">MAX(0.0002,X33+Incumbency!F$20*Incumbency!$C$6+'Tactical &amp; Candidate'!F$12/100)</f>
        <v>0.135767041117179</v>
      </c>
      <c r="AV33" s="143" t="n">
        <f aca="false">MAX(0.0002,Y33+Incumbency!G$20*Incumbency!$C$6+'Tactical &amp; Candidate'!G$12/100)</f>
        <v>0.073009963906167</v>
      </c>
      <c r="AW33" s="143" t="n">
        <f aca="false">MAX(0.0002,Z33+Incumbency!H$20*Incumbency!$C$6+'Tactical &amp; Candidate'!H$12/100)</f>
        <v>0.0002</v>
      </c>
      <c r="AX33" s="143" t="n">
        <f aca="false">SUM(AR33:AW33)</f>
        <v>1.0242</v>
      </c>
      <c r="AY33" s="143" t="n">
        <f aca="false">AR33/$AX33</f>
        <v>0.183381993812091</v>
      </c>
      <c r="AZ33" s="143" t="n">
        <f aca="false">AS33/$AX33</f>
        <v>0.398268445574585</v>
      </c>
      <c r="BA33" s="143" t="n">
        <f aca="false">AT33/$AX33</f>
        <v>0.214310305562215</v>
      </c>
      <c r="BB33" s="143" t="n">
        <f aca="false">AU33/$AX33</f>
        <v>0.132559110639698</v>
      </c>
      <c r="BC33" s="143" t="n">
        <f aca="false">AV33/$AX33</f>
        <v>0.0712848700509344</v>
      </c>
      <c r="BD33" s="143" t="n">
        <f aca="false">AW33/$AX33</f>
        <v>0.000195274360476469</v>
      </c>
      <c r="BF33" s="143" t="n">
        <f aca="false">AY33*(1-'Tactical &amp; Candidate'!C$8)</f>
        <v>0.183381993812091</v>
      </c>
      <c r="BG33" s="143" t="n">
        <f aca="false">AZ33*(1-'Tactical &amp; Candidate'!D$8)</f>
        <v>0.398268445574585</v>
      </c>
      <c r="BH33" s="143" t="n">
        <f aca="false">BA33*(1-'Tactical &amp; Candidate'!E$8)</f>
        <v>0.214310305562215</v>
      </c>
      <c r="BI33" s="143" t="n">
        <f aca="false">BB33*(1-'Tactical &amp; Candidate'!F$8)</f>
        <v>0.132559110639698</v>
      </c>
      <c r="BJ33" s="143" t="n">
        <f aca="false">BC33*(1-'Tactical &amp; Candidate'!G$8)</f>
        <v>0.0712848700509344</v>
      </c>
      <c r="BK33" s="143" t="n">
        <f aca="false">BD33*(1-'Tactical &amp; Candidate'!H$8)</f>
        <v>0.000195274360476469</v>
      </c>
      <c r="BL33" s="143" t="n">
        <f aca="false">LARGE(AY33:BD33,2)</f>
        <v>0.214310305562215</v>
      </c>
      <c r="BM33" s="143" t="n">
        <f aca="false">SUMPRODUCT((AY33:BD33&lt;$BL33)*AY33:BD33)*'Tactical &amp; Candidate'!$C$6</f>
        <v>0</v>
      </c>
      <c r="BN33" s="143" t="n">
        <f aca="false">MAX(BF33:BK33)</f>
        <v>0.398268445574585</v>
      </c>
      <c r="BO33" s="144" t="n">
        <f aca="false">SUMPRODUCT((BF33:BK33=$BN33)*1)</f>
        <v>1</v>
      </c>
      <c r="BQ33" s="143" t="n">
        <f aca="false">AY33*(1-'Tactical &amp; Candidate'!$C$6*(AY33&lt;$BL33))+IF(BF33=$BN33,$BM33/$BO33,0)</f>
        <v>0.183381993812091</v>
      </c>
      <c r="BR33" s="143" t="n">
        <f aca="false">AZ33*(1-'Tactical &amp; Candidate'!$C$6*(AZ33&lt;$BL33))+IF(BG33=$BN33,$BM33/$BO33,0)</f>
        <v>0.398268445574585</v>
      </c>
      <c r="BS33" s="143" t="n">
        <f aca="false">BA33*(1-'Tactical &amp; Candidate'!$C$6*(BA33&lt;$BL33))+IF(BH33=$BN33,$BM33/$BO33,0)</f>
        <v>0.214310305562215</v>
      </c>
      <c r="BT33" s="143" t="n">
        <f aca="false">BB33*(1-'Tactical &amp; Candidate'!$C$6*(BB33&lt;$BL33))+IF(BI33=$BN33,$BM33/$BO33,0)</f>
        <v>0.132559110639698</v>
      </c>
      <c r="BU33" s="143" t="n">
        <f aca="false">BC33*(1-'Tactical &amp; Candidate'!$C$6*(BC33&lt;$BL33))+IF(BJ33=$BN33,$BM33/$BO33,0)</f>
        <v>0.0712848700509344</v>
      </c>
      <c r="BV33" s="143" t="n">
        <f aca="false">BD33*(1-'Tactical &amp; Candidate'!$C$6*(BD33&lt;$BL33))+IF(BK33=$BN33,$BM33/$BO33,0)</f>
        <v>0.000195274360476469</v>
      </c>
      <c r="BW33" s="143" t="n">
        <f aca="false">SUM(BQ33:BV33)</f>
        <v>1</v>
      </c>
      <c r="BX33" s="143" t="n">
        <f aca="false">BQ33/$BW33</f>
        <v>0.183381993812091</v>
      </c>
      <c r="BY33" s="143" t="n">
        <f aca="false">BR33/$BW33</f>
        <v>0.398268445574585</v>
      </c>
      <c r="BZ33" s="143" t="n">
        <f aca="false">BS33/$BW33</f>
        <v>0.214310305562215</v>
      </c>
      <c r="CA33" s="143" t="n">
        <f aca="false">BT33/$BW33</f>
        <v>0.132559110639698</v>
      </c>
      <c r="CB33" s="143" t="n">
        <f aca="false">BU33/$BW33</f>
        <v>0.0712848700509344</v>
      </c>
      <c r="CC33" s="143" t="n">
        <f aca="false">BV33/$BW33</f>
        <v>0.000195274360476469</v>
      </c>
    </row>
    <row r="34" customFormat="false" ht="15" hidden="false" customHeight="false" outlineLevel="0" collapsed="false">
      <c r="B34" s="21" t="s">
        <v>76</v>
      </c>
      <c r="C34" s="145" t="n">
        <f aca="false">AC34/$AI34</f>
        <v>0.205577824628875</v>
      </c>
      <c r="D34" s="146" t="n">
        <f aca="false">AD34/$AI34</f>
        <v>0.364029249157376</v>
      </c>
      <c r="E34" s="147" t="n">
        <f aca="false">AE34/$AI34</f>
        <v>0.150003056680868</v>
      </c>
      <c r="F34" s="148" t="n">
        <f aca="false">AF34/$AI34</f>
        <v>0.194311284290132</v>
      </c>
      <c r="G34" s="149" t="n">
        <f aca="false">AG34/$AI34</f>
        <v>0.0860785852427498</v>
      </c>
      <c r="H34" s="150" t="n">
        <f aca="false">AH34/$AI34</f>
        <v>0</v>
      </c>
      <c r="I34" s="145" t="n">
        <f aca="false">$L$3*'Voting History'!C34+$M$3*'Voting History'!I34+$N$3*'Voting History'!O34</f>
        <v>0.29284653087562</v>
      </c>
      <c r="J34" s="146" t="n">
        <f aca="false">$L$3*'Voting History'!D34+$M$3*'Voting History'!J34+$N$3*'Voting History'!P34</f>
        <v>0.295439041601378</v>
      </c>
      <c r="K34" s="147" t="n">
        <f aca="false">$L$3*'Voting History'!E34+$M$3*'Voting History'!K34+$N$3*'Voting History'!Q34</f>
        <v>0.144664477473509</v>
      </c>
      <c r="L34" s="148" t="n">
        <f aca="false">$L$3*'Voting History'!F34+$M$3*'Voting History'!L34+$N$3*'Voting History'!R34</f>
        <v>0.206224004075441</v>
      </c>
      <c r="M34" s="149" t="n">
        <f aca="false">$L$3*'Voting History'!G34+$M$3*'Voting History'!M34+$N$3*'Voting History'!S34</f>
        <v>0.0608259459740525</v>
      </c>
      <c r="N34" s="150" t="n">
        <f aca="false">$L$3*'Voting History'!H34+$M$3*'Voting History'!N34+$N$3*'Voting History'!T34</f>
        <v>0</v>
      </c>
      <c r="O34" s="145" t="n">
        <f aca="false">Polling!C34</f>
        <v>0.315361015764831</v>
      </c>
      <c r="P34" s="146" t="n">
        <f aca="false">Polling!D34</f>
        <v>0.292797778569549</v>
      </c>
      <c r="Q34" s="147" t="n">
        <f aca="false">Polling!E34</f>
        <v>0.134067223906616</v>
      </c>
      <c r="R34" s="148" t="n">
        <f aca="false">Polling!F34</f>
        <v>0.19402534198999</v>
      </c>
      <c r="S34" s="149" t="n">
        <f aca="false">Polling!G34</f>
        <v>0.0637486397690137</v>
      </c>
      <c r="T34" s="150" t="n">
        <f aca="false">Polling!H34</f>
        <v>0</v>
      </c>
      <c r="U34" s="151" t="n">
        <f aca="false">AJ34/$AP34</f>
        <v>0.276797437201742</v>
      </c>
      <c r="V34" s="152" t="n">
        <f aca="false">AK34/$AP34</f>
        <v>0.314827535503854</v>
      </c>
      <c r="W34" s="153" t="n">
        <f aca="false">AL34/$AP34</f>
        <v>0.141497287130615</v>
      </c>
      <c r="X34" s="154" t="n">
        <f aca="false">AM34/$AP34</f>
        <v>0.197160790201395</v>
      </c>
      <c r="Y34" s="155" t="n">
        <f aca="false">AN34/$AP34</f>
        <v>0.0697169499623942</v>
      </c>
      <c r="Z34" s="156" t="n">
        <f aca="false">AO34/$AP34</f>
        <v>0</v>
      </c>
      <c r="AA34" s="64" t="n">
        <f aca="false">SUMPRODUCT(Demographics!$C34:$I34,Demographics!$C$43:$I$43)</f>
        <v>0.618989913480541</v>
      </c>
      <c r="AC34" s="143" t="n">
        <f aca="false">SUMPRODUCT(Demographics!$C34:$I34,Demographics!$C$43:$I$43,Demographics!$C$44:$I$44)</f>
        <v>0.127250599880545</v>
      </c>
      <c r="AD34" s="143" t="n">
        <f aca="false">SUMPRODUCT(Demographics!$C34:$I34,Demographics!$C$43:$I$43,Demographics!$C$45:$I$45)</f>
        <v>0.225330433440311</v>
      </c>
      <c r="AE34" s="143" t="n">
        <f aca="false">SUMPRODUCT(Demographics!$C34:$I34,Demographics!$C$43:$I$43,Demographics!$C$46:$I$46)</f>
        <v>0.092850379076707</v>
      </c>
      <c r="AF34" s="143" t="n">
        <f aca="false">SUMPRODUCT(Demographics!$C34:$I34,Demographics!$C$43:$I$43,Demographics!$C$47:$I$47)</f>
        <v>0.120276725051041</v>
      </c>
      <c r="AG34" s="143" t="n">
        <f aca="false">SUMPRODUCT(Demographics!$C34:$I34,Demographics!$C$43:$I$43,Demographics!$C$48:$I$48)</f>
        <v>0.0532817760319371</v>
      </c>
      <c r="AH34" s="143" t="n">
        <f aca="false">SUMPRODUCT(Demographics!$C34:$I34,Demographics!$C$43:$I$43,Demographics!$C$49:$I$49)</f>
        <v>0</v>
      </c>
      <c r="AI34" s="143" t="n">
        <f aca="false">SUM(AC34:AH34)</f>
        <v>0.618989913480541</v>
      </c>
      <c r="AJ34" s="143" t="n">
        <f aca="false">$D$3*C34+$F$3*I34+$H$3*O34</f>
        <v>0.276797437201742</v>
      </c>
      <c r="AK34" s="143" t="n">
        <f aca="false">$D$3*D34+$F$3*J34+$H$3*P34</f>
        <v>0.314827535503854</v>
      </c>
      <c r="AL34" s="143" t="n">
        <f aca="false">$D$3*E34+$F$3*K34+$H$3*Q34</f>
        <v>0.141497287130615</v>
      </c>
      <c r="AM34" s="143" t="n">
        <f aca="false">$D$3*F34+$F$3*L34+$H$3*R34</f>
        <v>0.197160790201395</v>
      </c>
      <c r="AN34" s="143" t="n">
        <f aca="false">$D$3*G34+$F$3*M34+$H$3*S34</f>
        <v>0.0697169499623942</v>
      </c>
      <c r="AO34" s="143" t="n">
        <f aca="false">$D$3*H34+$F$3*N34+$H$3*T34</f>
        <v>0</v>
      </c>
      <c r="AP34" s="143" t="n">
        <f aca="false">SUM(AJ34:AO34)</f>
        <v>1</v>
      </c>
      <c r="AR34" s="143" t="n">
        <f aca="false">MAX(0.0002,U34+Incumbency!C$20*Incumbency!$C$6+'Tactical &amp; Candidate'!C$12/100)</f>
        <v>0.276797437201742</v>
      </c>
      <c r="AS34" s="143" t="n">
        <f aca="false">MAX(0.0002,V34+Incumbency!D$20*Incumbency!$C$6+'Tactical &amp; Candidate'!D$12/100)</f>
        <v>0.338827535503854</v>
      </c>
      <c r="AT34" s="143" t="n">
        <f aca="false">MAX(0.0002,W34+Incumbency!E$20*Incumbency!$C$6+'Tactical &amp; Candidate'!E$12/100)</f>
        <v>0.141497287130615</v>
      </c>
      <c r="AU34" s="143" t="n">
        <f aca="false">MAX(0.0002,X34+Incumbency!F$20*Incumbency!$C$6+'Tactical &amp; Candidate'!F$12/100)</f>
        <v>0.197160790201395</v>
      </c>
      <c r="AV34" s="143" t="n">
        <f aca="false">MAX(0.0002,Y34+Incumbency!G$20*Incumbency!$C$6+'Tactical &amp; Candidate'!G$12/100)</f>
        <v>0.0697169499623942</v>
      </c>
      <c r="AW34" s="143" t="n">
        <f aca="false">MAX(0.0002,Z34+Incumbency!H$20*Incumbency!$C$6+'Tactical &amp; Candidate'!H$12/100)</f>
        <v>0.0002</v>
      </c>
      <c r="AX34" s="143" t="n">
        <f aca="false">SUM(AR34:AW34)</f>
        <v>1.0242</v>
      </c>
      <c r="AY34" s="143" t="n">
        <f aca="false">AR34/$AX34</f>
        <v>0.270257212655479</v>
      </c>
      <c r="AZ34" s="143" t="n">
        <f aca="false">AS34/$AX34</f>
        <v>0.330821651536667</v>
      </c>
      <c r="BA34" s="143" t="n">
        <f aca="false">AT34/$AX34</f>
        <v>0.138153961267931</v>
      </c>
      <c r="BB34" s="143" t="n">
        <f aca="false">AU34/$AX34</f>
        <v>0.192502236088064</v>
      </c>
      <c r="BC34" s="143" t="n">
        <f aca="false">AV34/$AX34</f>
        <v>0.0680696640913828</v>
      </c>
      <c r="BD34" s="143" t="n">
        <f aca="false">AW34/$AX34</f>
        <v>0.000195274360476469</v>
      </c>
      <c r="BF34" s="143" t="n">
        <f aca="false">AY34*(1-'Tactical &amp; Candidate'!C$8)</f>
        <v>0.270257212655479</v>
      </c>
      <c r="BG34" s="143" t="n">
        <f aca="false">AZ34*(1-'Tactical &amp; Candidate'!D$8)</f>
        <v>0.330821651536667</v>
      </c>
      <c r="BH34" s="143" t="n">
        <f aca="false">BA34*(1-'Tactical &amp; Candidate'!E$8)</f>
        <v>0.138153961267931</v>
      </c>
      <c r="BI34" s="143" t="n">
        <f aca="false">BB34*(1-'Tactical &amp; Candidate'!F$8)</f>
        <v>0.192502236088064</v>
      </c>
      <c r="BJ34" s="143" t="n">
        <f aca="false">BC34*(1-'Tactical &amp; Candidate'!G$8)</f>
        <v>0.0680696640913828</v>
      </c>
      <c r="BK34" s="143" t="n">
        <f aca="false">BD34*(1-'Tactical &amp; Candidate'!H$8)</f>
        <v>0.000195274360476469</v>
      </c>
      <c r="BL34" s="143" t="n">
        <f aca="false">LARGE(AY34:BD34,2)</f>
        <v>0.270257212655479</v>
      </c>
      <c r="BM34" s="143" t="n">
        <f aca="false">SUMPRODUCT((AY34:BD34&lt;$BL34)*AY34:BD34)*'Tactical &amp; Candidate'!$C$6</f>
        <v>0</v>
      </c>
      <c r="BN34" s="143" t="n">
        <f aca="false">MAX(BF34:BK34)</f>
        <v>0.330821651536667</v>
      </c>
      <c r="BO34" s="144" t="n">
        <f aca="false">SUMPRODUCT((BF34:BK34=$BN34)*1)</f>
        <v>1</v>
      </c>
      <c r="BQ34" s="143" t="n">
        <f aca="false">AY34*(1-'Tactical &amp; Candidate'!$C$6*(AY34&lt;$BL34))+IF(BF34=$BN34,$BM34/$BO34,0)</f>
        <v>0.270257212655479</v>
      </c>
      <c r="BR34" s="143" t="n">
        <f aca="false">AZ34*(1-'Tactical &amp; Candidate'!$C$6*(AZ34&lt;$BL34))+IF(BG34=$BN34,$BM34/$BO34,0)</f>
        <v>0.330821651536667</v>
      </c>
      <c r="BS34" s="143" t="n">
        <f aca="false">BA34*(1-'Tactical &amp; Candidate'!$C$6*(BA34&lt;$BL34))+IF(BH34=$BN34,$BM34/$BO34,0)</f>
        <v>0.138153961267931</v>
      </c>
      <c r="BT34" s="143" t="n">
        <f aca="false">BB34*(1-'Tactical &amp; Candidate'!$C$6*(BB34&lt;$BL34))+IF(BI34=$BN34,$BM34/$BO34,0)</f>
        <v>0.192502236088064</v>
      </c>
      <c r="BU34" s="143" t="n">
        <f aca="false">BC34*(1-'Tactical &amp; Candidate'!$C$6*(BC34&lt;$BL34))+IF(BJ34=$BN34,$BM34/$BO34,0)</f>
        <v>0.0680696640913828</v>
      </c>
      <c r="BV34" s="143" t="n">
        <f aca="false">BD34*(1-'Tactical &amp; Candidate'!$C$6*(BD34&lt;$BL34))+IF(BK34=$BN34,$BM34/$BO34,0)</f>
        <v>0.000195274360476469</v>
      </c>
      <c r="BW34" s="143" t="n">
        <f aca="false">SUM(BQ34:BV34)</f>
        <v>1</v>
      </c>
      <c r="BX34" s="143" t="n">
        <f aca="false">BQ34/$BW34</f>
        <v>0.270257212655479</v>
      </c>
      <c r="BY34" s="143" t="n">
        <f aca="false">BR34/$BW34</f>
        <v>0.330821651536667</v>
      </c>
      <c r="BZ34" s="143" t="n">
        <f aca="false">BS34/$BW34</f>
        <v>0.138153961267931</v>
      </c>
      <c r="CA34" s="143" t="n">
        <f aca="false">BT34/$BW34</f>
        <v>0.192502236088064</v>
      </c>
      <c r="CB34" s="143" t="n">
        <f aca="false">BU34/$BW34</f>
        <v>0.0680696640913828</v>
      </c>
      <c r="CC34" s="143" t="n">
        <f aca="false">BV34/$BW34</f>
        <v>0.000195274360476469</v>
      </c>
    </row>
    <row r="35" customFormat="false" ht="15" hidden="false" customHeight="false" outlineLevel="0" collapsed="false">
      <c r="B35" s="9" t="s">
        <v>78</v>
      </c>
      <c r="C35" s="132" t="n">
        <f aca="false">AC35/$AI35</f>
        <v>0.219721174559952</v>
      </c>
      <c r="D35" s="133" t="n">
        <f aca="false">AD35/$AI35</f>
        <v>0.327540203720661</v>
      </c>
      <c r="E35" s="134" t="n">
        <f aca="false">AE35/$AI35</f>
        <v>0.189390569284004</v>
      </c>
      <c r="F35" s="130" t="n">
        <f aca="false">AF35/$AI35</f>
        <v>0.172800328091505</v>
      </c>
      <c r="G35" s="135" t="n">
        <f aca="false">AG35/$AI35</f>
        <v>0.0905477243438773</v>
      </c>
      <c r="H35" s="136" t="n">
        <f aca="false">AH35/$AI35</f>
        <v>0</v>
      </c>
      <c r="I35" s="132" t="n">
        <f aca="false">$L$3*'Voting History'!C35+$M$3*'Voting History'!I35+$N$3*'Voting History'!O35</f>
        <v>0.194352657454659</v>
      </c>
      <c r="J35" s="133" t="n">
        <f aca="false">$L$3*'Voting History'!D35+$M$3*'Voting History'!J35+$N$3*'Voting History'!P35</f>
        <v>0.395052696228522</v>
      </c>
      <c r="K35" s="134" t="n">
        <f aca="false">$L$3*'Voting History'!E35+$M$3*'Voting History'!K35+$N$3*'Voting History'!Q35</f>
        <v>0.241496379859902</v>
      </c>
      <c r="L35" s="130" t="n">
        <f aca="false">$L$3*'Voting History'!F35+$M$3*'Voting History'!L35+$N$3*'Voting History'!R35</f>
        <v>0.0929183278832363</v>
      </c>
      <c r="M35" s="135" t="n">
        <f aca="false">$L$3*'Voting History'!G35+$M$3*'Voting History'!M35+$N$3*'Voting History'!S35</f>
        <v>0.0761799385736813</v>
      </c>
      <c r="N35" s="136" t="n">
        <f aca="false">$L$3*'Voting History'!H35+$M$3*'Voting History'!N35+$N$3*'Voting History'!T35</f>
        <v>0</v>
      </c>
      <c r="O35" s="132" t="n">
        <f aca="false">Polling!C35</f>
        <v>0.186315278465969</v>
      </c>
      <c r="P35" s="133" t="n">
        <f aca="false">Polling!D35</f>
        <v>0.39830161105387</v>
      </c>
      <c r="Q35" s="134" t="n">
        <f aca="false">Polling!E35</f>
        <v>0.216551537815974</v>
      </c>
      <c r="R35" s="130" t="n">
        <f aca="false">Polling!F35</f>
        <v>0.107590872307407</v>
      </c>
      <c r="S35" s="135" t="n">
        <f aca="false">Polling!G35</f>
        <v>0.0912407003567797</v>
      </c>
      <c r="T35" s="136" t="n">
        <f aca="false">Polling!H35</f>
        <v>0</v>
      </c>
      <c r="U35" s="137" t="n">
        <f aca="false">AJ35/$AP35</f>
        <v>0.198346392041336</v>
      </c>
      <c r="V35" s="138" t="n">
        <f aca="false">AK35/$AP35</f>
        <v>0.37626096014757</v>
      </c>
      <c r="W35" s="139" t="n">
        <f aca="false">AL35/$AP35</f>
        <v>0.214639457767365</v>
      </c>
      <c r="X35" s="140" t="n">
        <f aca="false">AM35/$AP35</f>
        <v>0.123485572936594</v>
      </c>
      <c r="Y35" s="141" t="n">
        <f aca="false">AN35/$AP35</f>
        <v>0.0872676171071344</v>
      </c>
      <c r="Z35" s="142" t="n">
        <f aca="false">AO35/$AP35</f>
        <v>0</v>
      </c>
      <c r="AA35" s="53" t="n">
        <f aca="false">SUMPRODUCT(Demographics!$C35:$I35,Demographics!$C$43:$I$43)</f>
        <v>0.607309263630757</v>
      </c>
      <c r="AC35" s="143" t="n">
        <f aca="false">SUMPRODUCT(Demographics!$C35:$I35,Demographics!$C$43:$I$43,Demographics!$C$44:$I$44)</f>
        <v>0.133438704726089</v>
      </c>
      <c r="AD35" s="143" t="n">
        <f aca="false">SUMPRODUCT(Demographics!$C35:$I35,Demographics!$C$43:$I$43,Demographics!$C$45:$I$45)</f>
        <v>0.198918199931063</v>
      </c>
      <c r="AE35" s="143" t="n">
        <f aca="false">SUMPRODUCT(Demographics!$C35:$I35,Demographics!$C$43:$I$43,Demographics!$C$46:$I$46)</f>
        <v>0.115018647170478</v>
      </c>
      <c r="AF35" s="143" t="n">
        <f aca="false">SUMPRODUCT(Demographics!$C35:$I35,Demographics!$C$43:$I$43,Demographics!$C$47:$I$47)</f>
        <v>0.104943240008405</v>
      </c>
      <c r="AG35" s="143" t="n">
        <f aca="false">SUMPRODUCT(Demographics!$C35:$I35,Demographics!$C$43:$I$43,Demographics!$C$48:$I$48)</f>
        <v>0.0549904717947209</v>
      </c>
      <c r="AH35" s="143" t="n">
        <f aca="false">SUMPRODUCT(Demographics!$C35:$I35,Demographics!$C$43:$I$43,Demographics!$C$49:$I$49)</f>
        <v>0</v>
      </c>
      <c r="AI35" s="143" t="n">
        <f aca="false">SUM(AC35:AH35)</f>
        <v>0.607309263630757</v>
      </c>
      <c r="AJ35" s="143" t="n">
        <f aca="false">$D$3*C35+$F$3*I35+$H$3*O35</f>
        <v>0.198346392041336</v>
      </c>
      <c r="AK35" s="143" t="n">
        <f aca="false">$D$3*D35+$F$3*J35+$H$3*P35</f>
        <v>0.37626096014757</v>
      </c>
      <c r="AL35" s="143" t="n">
        <f aca="false">$D$3*E35+$F$3*K35+$H$3*Q35</f>
        <v>0.214639457767365</v>
      </c>
      <c r="AM35" s="143" t="n">
        <f aca="false">$D$3*F35+$F$3*L35+$H$3*R35</f>
        <v>0.123485572936594</v>
      </c>
      <c r="AN35" s="143" t="n">
        <f aca="false">$D$3*G35+$F$3*M35+$H$3*S35</f>
        <v>0.0872676171071344</v>
      </c>
      <c r="AO35" s="143" t="n">
        <f aca="false">$D$3*H35+$F$3*N35+$H$3*T35</f>
        <v>0</v>
      </c>
      <c r="AP35" s="143" t="n">
        <f aca="false">SUM(AJ35:AO35)</f>
        <v>1</v>
      </c>
      <c r="AR35" s="143" t="n">
        <f aca="false">MAX(0.0002,U35+Incumbency!C$20*Incumbency!$C$6+'Tactical &amp; Candidate'!C$12/100)</f>
        <v>0.198346392041336</v>
      </c>
      <c r="AS35" s="143" t="n">
        <f aca="false">MAX(0.0002,V35+Incumbency!D$20*Incumbency!$C$6+'Tactical &amp; Candidate'!D$12/100)</f>
        <v>0.40026096014757</v>
      </c>
      <c r="AT35" s="143" t="n">
        <f aca="false">MAX(0.0002,W35+Incumbency!E$20*Incumbency!$C$6+'Tactical &amp; Candidate'!E$12/100)</f>
        <v>0.214639457767365</v>
      </c>
      <c r="AU35" s="143" t="n">
        <f aca="false">MAX(0.0002,X35+Incumbency!F$20*Incumbency!$C$6+'Tactical &amp; Candidate'!F$12/100)</f>
        <v>0.123485572936594</v>
      </c>
      <c r="AV35" s="143" t="n">
        <f aca="false">MAX(0.0002,Y35+Incumbency!G$20*Incumbency!$C$6+'Tactical &amp; Candidate'!G$12/100)</f>
        <v>0.0872676171071344</v>
      </c>
      <c r="AW35" s="143" t="n">
        <f aca="false">MAX(0.0002,Z35+Incumbency!H$20*Incumbency!$C$6+'Tactical &amp; Candidate'!H$12/100)</f>
        <v>0.0002</v>
      </c>
      <c r="AX35" s="143" t="n">
        <f aca="false">SUM(AR35:AW35)</f>
        <v>1.0242</v>
      </c>
      <c r="AY35" s="143" t="n">
        <f aca="false">AR35/$AX35</f>
        <v>0.193659824293435</v>
      </c>
      <c r="AZ35" s="143" t="n">
        <f aca="false">AS35/$AX35</f>
        <v>0.390803515082572</v>
      </c>
      <c r="BA35" s="143" t="n">
        <f aca="false">AT35/$AX35</f>
        <v>0.209567914242692</v>
      </c>
      <c r="BB35" s="143" t="n">
        <f aca="false">AU35/$AX35</f>
        <v>0.120567831416319</v>
      </c>
      <c r="BC35" s="143" t="n">
        <f aca="false">AV35/$AX35</f>
        <v>0.0852056406045054</v>
      </c>
      <c r="BD35" s="143" t="n">
        <f aca="false">AW35/$AX35</f>
        <v>0.000195274360476469</v>
      </c>
      <c r="BF35" s="143" t="n">
        <f aca="false">AY35*(1-'Tactical &amp; Candidate'!C$8)</f>
        <v>0.193659824293435</v>
      </c>
      <c r="BG35" s="143" t="n">
        <f aca="false">AZ35*(1-'Tactical &amp; Candidate'!D$8)</f>
        <v>0.390803515082572</v>
      </c>
      <c r="BH35" s="143" t="n">
        <f aca="false">BA35*(1-'Tactical &amp; Candidate'!E$8)</f>
        <v>0.209567914242692</v>
      </c>
      <c r="BI35" s="143" t="n">
        <f aca="false">BB35*(1-'Tactical &amp; Candidate'!F$8)</f>
        <v>0.120567831416319</v>
      </c>
      <c r="BJ35" s="143" t="n">
        <f aca="false">BC35*(1-'Tactical &amp; Candidate'!G$8)</f>
        <v>0.0852056406045054</v>
      </c>
      <c r="BK35" s="143" t="n">
        <f aca="false">BD35*(1-'Tactical &amp; Candidate'!H$8)</f>
        <v>0.000195274360476469</v>
      </c>
      <c r="BL35" s="143" t="n">
        <f aca="false">LARGE(AY35:BD35,2)</f>
        <v>0.209567914242692</v>
      </c>
      <c r="BM35" s="143" t="n">
        <f aca="false">SUMPRODUCT((AY35:BD35&lt;$BL35)*AY35:BD35)*'Tactical &amp; Candidate'!$C$6</f>
        <v>0</v>
      </c>
      <c r="BN35" s="143" t="n">
        <f aca="false">MAX(BF35:BK35)</f>
        <v>0.390803515082572</v>
      </c>
      <c r="BO35" s="144" t="n">
        <f aca="false">SUMPRODUCT((BF35:BK35=$BN35)*1)</f>
        <v>1</v>
      </c>
      <c r="BQ35" s="143" t="n">
        <f aca="false">AY35*(1-'Tactical &amp; Candidate'!$C$6*(AY35&lt;$BL35))+IF(BF35=$BN35,$BM35/$BO35,0)</f>
        <v>0.193659824293435</v>
      </c>
      <c r="BR35" s="143" t="n">
        <f aca="false">AZ35*(1-'Tactical &amp; Candidate'!$C$6*(AZ35&lt;$BL35))+IF(BG35=$BN35,$BM35/$BO35,0)</f>
        <v>0.390803515082572</v>
      </c>
      <c r="BS35" s="143" t="n">
        <f aca="false">BA35*(1-'Tactical &amp; Candidate'!$C$6*(BA35&lt;$BL35))+IF(BH35=$BN35,$BM35/$BO35,0)</f>
        <v>0.209567914242692</v>
      </c>
      <c r="BT35" s="143" t="n">
        <f aca="false">BB35*(1-'Tactical &amp; Candidate'!$C$6*(BB35&lt;$BL35))+IF(BI35=$BN35,$BM35/$BO35,0)</f>
        <v>0.120567831416319</v>
      </c>
      <c r="BU35" s="143" t="n">
        <f aca="false">BC35*(1-'Tactical &amp; Candidate'!$C$6*(BC35&lt;$BL35))+IF(BJ35=$BN35,$BM35/$BO35,0)</f>
        <v>0.0852056406045054</v>
      </c>
      <c r="BV35" s="143" t="n">
        <f aca="false">BD35*(1-'Tactical &amp; Candidate'!$C$6*(BD35&lt;$BL35))+IF(BK35=$BN35,$BM35/$BO35,0)</f>
        <v>0.000195274360476469</v>
      </c>
      <c r="BW35" s="143" t="n">
        <f aca="false">SUM(BQ35:BV35)</f>
        <v>1</v>
      </c>
      <c r="BX35" s="143" t="n">
        <f aca="false">BQ35/$BW35</f>
        <v>0.193659824293435</v>
      </c>
      <c r="BY35" s="143" t="n">
        <f aca="false">BR35/$BW35</f>
        <v>0.390803515082572</v>
      </c>
      <c r="BZ35" s="143" t="n">
        <f aca="false">BS35/$BW35</f>
        <v>0.209567914242692</v>
      </c>
      <c r="CA35" s="143" t="n">
        <f aca="false">BT35/$BW35</f>
        <v>0.120567831416319</v>
      </c>
      <c r="CB35" s="143" t="n">
        <f aca="false">BU35/$BW35</f>
        <v>0.0852056406045054</v>
      </c>
      <c r="CC35" s="143" t="n">
        <f aca="false">BV35/$BW35</f>
        <v>0.000195274360476469</v>
      </c>
    </row>
    <row r="36" customFormat="false" ht="15" hidden="false" customHeight="false" outlineLevel="0" collapsed="false">
      <c r="B36" s="21" t="s">
        <v>80</v>
      </c>
      <c r="C36" s="145" t="n">
        <f aca="false">AC36/$AI36</f>
        <v>0.2149041022075</v>
      </c>
      <c r="D36" s="146" t="n">
        <f aca="false">AD36/$AI36</f>
        <v>0.341536740352146</v>
      </c>
      <c r="E36" s="147" t="n">
        <f aca="false">AE36/$AI36</f>
        <v>0.169338213214255</v>
      </c>
      <c r="F36" s="148" t="n">
        <f aca="false">AF36/$AI36</f>
        <v>0.185509112738029</v>
      </c>
      <c r="G36" s="149" t="n">
        <f aca="false">AG36/$AI36</f>
        <v>0.0887118314880709</v>
      </c>
      <c r="H36" s="150" t="n">
        <f aca="false">AH36/$AI36</f>
        <v>0</v>
      </c>
      <c r="I36" s="145" t="n">
        <f aca="false">$L$3*'Voting History'!C36+$M$3*'Voting History'!I36+$N$3*'Voting History'!O36</f>
        <v>0.297902531541209</v>
      </c>
      <c r="J36" s="146" t="n">
        <f aca="false">$L$3*'Voting History'!D36+$M$3*'Voting History'!J36+$N$3*'Voting History'!P36</f>
        <v>0.245433620200334</v>
      </c>
      <c r="K36" s="147" t="n">
        <f aca="false">$L$3*'Voting History'!E36+$M$3*'Voting History'!K36+$N$3*'Voting History'!Q36</f>
        <v>0.14142846292838</v>
      </c>
      <c r="L36" s="148" t="n">
        <f aca="false">$L$3*'Voting History'!F36+$M$3*'Voting History'!L36+$N$3*'Voting History'!R36</f>
        <v>0.250987417591401</v>
      </c>
      <c r="M36" s="149" t="n">
        <f aca="false">$L$3*'Voting History'!G36+$M$3*'Voting History'!M36+$N$3*'Voting History'!S36</f>
        <v>0.0642479677386763</v>
      </c>
      <c r="N36" s="150" t="n">
        <f aca="false">$L$3*'Voting History'!H36+$M$3*'Voting History'!N36+$N$3*'Voting History'!T36</f>
        <v>0</v>
      </c>
      <c r="O36" s="145" t="n">
        <f aca="false">Polling!C36</f>
        <v>0.307476571865154</v>
      </c>
      <c r="P36" s="146" t="n">
        <f aca="false">Polling!D36</f>
        <v>0.252661183651335</v>
      </c>
      <c r="Q36" s="147" t="n">
        <f aca="false">Polling!E36</f>
        <v>0.143392996065578</v>
      </c>
      <c r="R36" s="148" t="n">
        <f aca="false">Polling!F36</f>
        <v>0.221307103626212</v>
      </c>
      <c r="S36" s="149" t="n">
        <f aca="false">Polling!G36</f>
        <v>0.0751621447917218</v>
      </c>
      <c r="T36" s="150" t="n">
        <f aca="false">Polling!H36</f>
        <v>0</v>
      </c>
      <c r="U36" s="151" t="n">
        <f aca="false">AJ36/$AP36</f>
        <v>0.277311320886872</v>
      </c>
      <c r="V36" s="152" t="n">
        <f aca="false">AK36/$AP36</f>
        <v>0.277516959798828</v>
      </c>
      <c r="W36" s="153" t="n">
        <f aca="false">AL36/$AP36</f>
        <v>0.150685427925881</v>
      </c>
      <c r="X36" s="154" t="n">
        <f aca="false">AM36/$AP36</f>
        <v>0.217987784851054</v>
      </c>
      <c r="Y36" s="155" t="n">
        <f aca="false">AN36/$AP36</f>
        <v>0.0764985065373651</v>
      </c>
      <c r="Z36" s="156" t="n">
        <f aca="false">AO36/$AP36</f>
        <v>0</v>
      </c>
      <c r="AA36" s="64" t="n">
        <f aca="false">SUMPRODUCT(Demographics!$C36:$I36,Demographics!$C$43:$I$43)</f>
        <v>0.640834552513208</v>
      </c>
      <c r="AC36" s="143" t="n">
        <f aca="false">SUMPRODUCT(Demographics!$C36:$I36,Demographics!$C$43:$I$43,Demographics!$C$44:$I$44)</f>
        <v>0.137717974171396</v>
      </c>
      <c r="AD36" s="143" t="n">
        <f aca="false">SUMPRODUCT(Demographics!$C36:$I36,Demographics!$C$43:$I$43,Demographics!$C$45:$I$45)</f>
        <v>0.218868544170387</v>
      </c>
      <c r="AE36" s="143" t="n">
        <f aca="false">SUMPRODUCT(Demographics!$C36:$I36,Demographics!$C$43:$I$43,Demographics!$C$46:$I$46)</f>
        <v>0.108517778088543</v>
      </c>
      <c r="AF36" s="143" t="n">
        <f aca="false">SUMPRODUCT(Demographics!$C36:$I36,Demographics!$C$43:$I$43,Demographics!$C$47:$I$47)</f>
        <v>0.118880649248597</v>
      </c>
      <c r="AG36" s="143" t="n">
        <f aca="false">SUMPRODUCT(Demographics!$C36:$I36,Demographics!$C$43:$I$43,Demographics!$C$48:$I$48)</f>
        <v>0.056849606834285</v>
      </c>
      <c r="AH36" s="143" t="n">
        <f aca="false">SUMPRODUCT(Demographics!$C36:$I36,Demographics!$C$43:$I$43,Demographics!$C$49:$I$49)</f>
        <v>0</v>
      </c>
      <c r="AI36" s="143" t="n">
        <f aca="false">SUM(AC36:AH36)</f>
        <v>0.640834552513208</v>
      </c>
      <c r="AJ36" s="143" t="n">
        <f aca="false">$D$3*C36+$F$3*I36+$H$3*O36</f>
        <v>0.277311320886872</v>
      </c>
      <c r="AK36" s="143" t="n">
        <f aca="false">$D$3*D36+$F$3*J36+$H$3*P36</f>
        <v>0.277516959798828</v>
      </c>
      <c r="AL36" s="143" t="n">
        <f aca="false">$D$3*E36+$F$3*K36+$H$3*Q36</f>
        <v>0.150685427925881</v>
      </c>
      <c r="AM36" s="143" t="n">
        <f aca="false">$D$3*F36+$F$3*L36+$H$3*R36</f>
        <v>0.217987784851054</v>
      </c>
      <c r="AN36" s="143" t="n">
        <f aca="false">$D$3*G36+$F$3*M36+$H$3*S36</f>
        <v>0.0764985065373651</v>
      </c>
      <c r="AO36" s="143" t="n">
        <f aca="false">$D$3*H36+$F$3*N36+$H$3*T36</f>
        <v>0</v>
      </c>
      <c r="AP36" s="143" t="n">
        <f aca="false">SUM(AJ36:AO36)</f>
        <v>1</v>
      </c>
      <c r="AR36" s="143" t="n">
        <f aca="false">MAX(0.0002,U36+Incumbency!C$20*Incumbency!$C$6+'Tactical &amp; Candidate'!C$12/100)</f>
        <v>0.277311320886872</v>
      </c>
      <c r="AS36" s="143" t="n">
        <f aca="false">MAX(0.0002,V36+Incumbency!D$20*Incumbency!$C$6+'Tactical &amp; Candidate'!D$12/100)</f>
        <v>0.301516959798828</v>
      </c>
      <c r="AT36" s="143" t="n">
        <f aca="false">MAX(0.0002,W36+Incumbency!E$20*Incumbency!$C$6+'Tactical &amp; Candidate'!E$12/100)</f>
        <v>0.150685427925881</v>
      </c>
      <c r="AU36" s="143" t="n">
        <f aca="false">MAX(0.0002,X36+Incumbency!F$20*Incumbency!$C$6+'Tactical &amp; Candidate'!F$12/100)</f>
        <v>0.217987784851054</v>
      </c>
      <c r="AV36" s="143" t="n">
        <f aca="false">MAX(0.0002,Y36+Incumbency!G$20*Incumbency!$C$6+'Tactical &amp; Candidate'!G$12/100)</f>
        <v>0.0764985065373651</v>
      </c>
      <c r="AW36" s="143" t="n">
        <f aca="false">MAX(0.0002,Z36+Incumbency!H$20*Incumbency!$C$6+'Tactical &amp; Candidate'!H$12/100)</f>
        <v>0.0002</v>
      </c>
      <c r="AX36" s="143" t="n">
        <f aca="false">SUM(AR36:AW36)</f>
        <v>1.0242</v>
      </c>
      <c r="AY36" s="143" t="n">
        <f aca="false">AR36/$AX36</f>
        <v>0.270758954195344</v>
      </c>
      <c r="AZ36" s="143" t="n">
        <f aca="false">AS36/$AX36</f>
        <v>0.294392657487627</v>
      </c>
      <c r="BA36" s="143" t="n">
        <f aca="false">AT36/$AX36</f>
        <v>0.147125002856748</v>
      </c>
      <c r="BB36" s="143" t="n">
        <f aca="false">AU36/$AX36</f>
        <v>0.212837126392359</v>
      </c>
      <c r="BC36" s="143" t="n">
        <f aca="false">AV36/$AX36</f>
        <v>0.074690984707445</v>
      </c>
      <c r="BD36" s="143" t="n">
        <f aca="false">AW36/$AX36</f>
        <v>0.000195274360476469</v>
      </c>
      <c r="BF36" s="143" t="n">
        <f aca="false">AY36*(1-'Tactical &amp; Candidate'!C$8)</f>
        <v>0.270758954195344</v>
      </c>
      <c r="BG36" s="143" t="n">
        <f aca="false">AZ36*(1-'Tactical &amp; Candidate'!D$8)</f>
        <v>0.294392657487627</v>
      </c>
      <c r="BH36" s="143" t="n">
        <f aca="false">BA36*(1-'Tactical &amp; Candidate'!E$8)</f>
        <v>0.147125002856748</v>
      </c>
      <c r="BI36" s="143" t="n">
        <f aca="false">BB36*(1-'Tactical &amp; Candidate'!F$8)</f>
        <v>0.212837126392359</v>
      </c>
      <c r="BJ36" s="143" t="n">
        <f aca="false">BC36*(1-'Tactical &amp; Candidate'!G$8)</f>
        <v>0.074690984707445</v>
      </c>
      <c r="BK36" s="143" t="n">
        <f aca="false">BD36*(1-'Tactical &amp; Candidate'!H$8)</f>
        <v>0.000195274360476469</v>
      </c>
      <c r="BL36" s="143" t="n">
        <f aca="false">LARGE(AY36:BD36,2)</f>
        <v>0.270758954195344</v>
      </c>
      <c r="BM36" s="143" t="n">
        <f aca="false">SUMPRODUCT((AY36:BD36&lt;$BL36)*AY36:BD36)*'Tactical &amp; Candidate'!$C$6</f>
        <v>0</v>
      </c>
      <c r="BN36" s="143" t="n">
        <f aca="false">MAX(BF36:BK36)</f>
        <v>0.294392657487627</v>
      </c>
      <c r="BO36" s="144" t="n">
        <f aca="false">SUMPRODUCT((BF36:BK36=$BN36)*1)</f>
        <v>1</v>
      </c>
      <c r="BQ36" s="143" t="n">
        <f aca="false">AY36*(1-'Tactical &amp; Candidate'!$C$6*(AY36&lt;$BL36))+IF(BF36=$BN36,$BM36/$BO36,0)</f>
        <v>0.270758954195344</v>
      </c>
      <c r="BR36" s="143" t="n">
        <f aca="false">AZ36*(1-'Tactical &amp; Candidate'!$C$6*(AZ36&lt;$BL36))+IF(BG36=$BN36,$BM36/$BO36,0)</f>
        <v>0.294392657487627</v>
      </c>
      <c r="BS36" s="143" t="n">
        <f aca="false">BA36*(1-'Tactical &amp; Candidate'!$C$6*(BA36&lt;$BL36))+IF(BH36=$BN36,$BM36/$BO36,0)</f>
        <v>0.147125002856748</v>
      </c>
      <c r="BT36" s="143" t="n">
        <f aca="false">BB36*(1-'Tactical &amp; Candidate'!$C$6*(BB36&lt;$BL36))+IF(BI36=$BN36,$BM36/$BO36,0)</f>
        <v>0.212837126392359</v>
      </c>
      <c r="BU36" s="143" t="n">
        <f aca="false">BC36*(1-'Tactical &amp; Candidate'!$C$6*(BC36&lt;$BL36))+IF(BJ36=$BN36,$BM36/$BO36,0)</f>
        <v>0.074690984707445</v>
      </c>
      <c r="BV36" s="143" t="n">
        <f aca="false">BD36*(1-'Tactical &amp; Candidate'!$C$6*(BD36&lt;$BL36))+IF(BK36=$BN36,$BM36/$BO36,0)</f>
        <v>0.000195274360476469</v>
      </c>
      <c r="BW36" s="143" t="n">
        <f aca="false">SUM(BQ36:BV36)</f>
        <v>1</v>
      </c>
      <c r="BX36" s="143" t="n">
        <f aca="false">BQ36/$BW36</f>
        <v>0.270758954195344</v>
      </c>
      <c r="BY36" s="143" t="n">
        <f aca="false">BR36/$BW36</f>
        <v>0.294392657487627</v>
      </c>
      <c r="BZ36" s="143" t="n">
        <f aca="false">BS36/$BW36</f>
        <v>0.147125002856748</v>
      </c>
      <c r="CA36" s="143" t="n">
        <f aca="false">BT36/$BW36</f>
        <v>0.212837126392359</v>
      </c>
      <c r="CB36" s="143" t="n">
        <f aca="false">BU36/$BW36</f>
        <v>0.074690984707445</v>
      </c>
      <c r="CC36" s="143" t="n">
        <f aca="false">BV36/$BW36</f>
        <v>0.000195274360476469</v>
      </c>
    </row>
    <row r="37" customFormat="false" ht="15" hidden="false" customHeight="false" outlineLevel="0" collapsed="false">
      <c r="B37" s="9" t="s">
        <v>82</v>
      </c>
      <c r="C37" s="132" t="n">
        <f aca="false">AC37/$AI37</f>
        <v>0.220062819497288</v>
      </c>
      <c r="D37" s="133" t="n">
        <f aca="false">AD37/$AI37</f>
        <v>0.318628498174139</v>
      </c>
      <c r="E37" s="134" t="n">
        <f aca="false">AE37/$AI37</f>
        <v>0.183914194224559</v>
      </c>
      <c r="F37" s="130" t="n">
        <f aca="false">AF37/$AI37</f>
        <v>0.1851327516383</v>
      </c>
      <c r="G37" s="135" t="n">
        <f aca="false">AG37/$AI37</f>
        <v>0.0922617364657147</v>
      </c>
      <c r="H37" s="136" t="n">
        <f aca="false">AH37/$AI37</f>
        <v>0</v>
      </c>
      <c r="I37" s="132" t="n">
        <f aca="false">$L$3*'Voting History'!C37+$M$3*'Voting History'!I37+$N$3*'Voting History'!O37</f>
        <v>0.240770379135777</v>
      </c>
      <c r="J37" s="133" t="n">
        <f aca="false">$L$3*'Voting History'!D37+$M$3*'Voting History'!J37+$N$3*'Voting History'!P37</f>
        <v>0.412503997809698</v>
      </c>
      <c r="K37" s="134" t="n">
        <f aca="false">$L$3*'Voting History'!E37+$M$3*'Voting History'!K37+$N$3*'Voting History'!Q37</f>
        <v>0.151531896551641</v>
      </c>
      <c r="L37" s="130" t="n">
        <f aca="false">$L$3*'Voting History'!F37+$M$3*'Voting History'!L37+$N$3*'Voting History'!R37</f>
        <v>0.14117113031285</v>
      </c>
      <c r="M37" s="135" t="n">
        <f aca="false">$L$3*'Voting History'!G37+$M$3*'Voting History'!M37+$N$3*'Voting History'!S37</f>
        <v>0.0540225961900337</v>
      </c>
      <c r="N37" s="136" t="n">
        <f aca="false">$L$3*'Voting History'!H37+$M$3*'Voting History'!N37+$N$3*'Voting History'!T37</f>
        <v>0</v>
      </c>
      <c r="O37" s="132" t="n">
        <f aca="false">Polling!C37</f>
        <v>0.228470274658537</v>
      </c>
      <c r="P37" s="133" t="n">
        <f aca="false">Polling!D37</f>
        <v>0.379908157853608</v>
      </c>
      <c r="Q37" s="134" t="n">
        <f aca="false">Polling!E37</f>
        <v>0.153288130826958</v>
      </c>
      <c r="R37" s="130" t="n">
        <f aca="false">Polling!F37</f>
        <v>0.170168578090381</v>
      </c>
      <c r="S37" s="135" t="n">
        <f aca="false">Polling!G37</f>
        <v>0.0681648585705164</v>
      </c>
      <c r="T37" s="136" t="n">
        <f aca="false">Polling!H37</f>
        <v>0</v>
      </c>
      <c r="U37" s="137" t="n">
        <f aca="false">AJ37/$AP37</f>
        <v>0.229023064229472</v>
      </c>
      <c r="V37" s="138" t="n">
        <f aca="false">AK37/$AP37</f>
        <v>0.36967321993879</v>
      </c>
      <c r="W37" s="139" t="n">
        <f aca="false">AL37/$AP37</f>
        <v>0.162036891277409</v>
      </c>
      <c r="X37" s="140" t="n">
        <f aca="false">AM37/$AP37</f>
        <v>0.167408468210374</v>
      </c>
      <c r="Y37" s="141" t="n">
        <f aca="false">AN37/$AP37</f>
        <v>0.0718583563439552</v>
      </c>
      <c r="Z37" s="142" t="n">
        <f aca="false">AO37/$AP37</f>
        <v>0</v>
      </c>
      <c r="AA37" s="53" t="n">
        <f aca="false">SUMPRODUCT(Demographics!$C37:$I37,Demographics!$C$43:$I$43)</f>
        <v>0.636611219667272</v>
      </c>
      <c r="AC37" s="143" t="n">
        <f aca="false">SUMPRODUCT(Demographics!$C37:$I37,Demographics!$C$43:$I$43,Demographics!$C$44:$I$44)</f>
        <v>0.140094459923587</v>
      </c>
      <c r="AD37" s="143" t="n">
        <f aca="false">SUMPRODUCT(Demographics!$C37:$I37,Demographics!$C$43:$I$43,Demographics!$C$45:$I$45)</f>
        <v>0.202842476843389</v>
      </c>
      <c r="AE37" s="143" t="n">
        <f aca="false">SUMPRODUCT(Demographics!$C37:$I37,Demographics!$C$43:$I$43,Demographics!$C$46:$I$46)</f>
        <v>0.11708183949942</v>
      </c>
      <c r="AF37" s="143" t="n">
        <f aca="false">SUMPRODUCT(Demographics!$C37:$I37,Demographics!$C$43:$I$43,Demographics!$C$47:$I$47)</f>
        <v>0.117857586820816</v>
      </c>
      <c r="AG37" s="143" t="n">
        <f aca="false">SUMPRODUCT(Demographics!$C37:$I37,Demographics!$C$43:$I$43,Demographics!$C$48:$I$48)</f>
        <v>0.0587348565800591</v>
      </c>
      <c r="AH37" s="143" t="n">
        <f aca="false">SUMPRODUCT(Demographics!$C37:$I37,Demographics!$C$43:$I$43,Demographics!$C$49:$I$49)</f>
        <v>0</v>
      </c>
      <c r="AI37" s="143" t="n">
        <f aca="false">SUM(AC37:AH37)</f>
        <v>0.636611219667272</v>
      </c>
      <c r="AJ37" s="143" t="n">
        <f aca="false">$D$3*C37+$F$3*I37+$H$3*O37</f>
        <v>0.229023064229472</v>
      </c>
      <c r="AK37" s="143" t="n">
        <f aca="false">$D$3*D37+$F$3*J37+$H$3*P37</f>
        <v>0.36967321993879</v>
      </c>
      <c r="AL37" s="143" t="n">
        <f aca="false">$D$3*E37+$F$3*K37+$H$3*Q37</f>
        <v>0.162036891277409</v>
      </c>
      <c r="AM37" s="143" t="n">
        <f aca="false">$D$3*F37+$F$3*L37+$H$3*R37</f>
        <v>0.167408468210374</v>
      </c>
      <c r="AN37" s="143" t="n">
        <f aca="false">$D$3*G37+$F$3*M37+$H$3*S37</f>
        <v>0.0718583563439552</v>
      </c>
      <c r="AO37" s="143" t="n">
        <f aca="false">$D$3*H37+$F$3*N37+$H$3*T37</f>
        <v>0</v>
      </c>
      <c r="AP37" s="143" t="n">
        <f aca="false">SUM(AJ37:AO37)</f>
        <v>1</v>
      </c>
      <c r="AR37" s="143" t="n">
        <f aca="false">MAX(0.0002,U37+Incumbency!C$20*Incumbency!$C$6+'Tactical &amp; Candidate'!C$12/100)</f>
        <v>0.229023064229472</v>
      </c>
      <c r="AS37" s="143" t="n">
        <f aca="false">MAX(0.0002,V37+Incumbency!D$20*Incumbency!$C$6+'Tactical &amp; Candidate'!D$12/100)</f>
        <v>0.39367321993879</v>
      </c>
      <c r="AT37" s="143" t="n">
        <f aca="false">MAX(0.0002,W37+Incumbency!E$20*Incumbency!$C$6+'Tactical &amp; Candidate'!E$12/100)</f>
        <v>0.162036891277409</v>
      </c>
      <c r="AU37" s="143" t="n">
        <f aca="false">MAX(0.0002,X37+Incumbency!F$20*Incumbency!$C$6+'Tactical &amp; Candidate'!F$12/100)</f>
        <v>0.167408468210374</v>
      </c>
      <c r="AV37" s="143" t="n">
        <f aca="false">MAX(0.0002,Y37+Incumbency!G$20*Incumbency!$C$6+'Tactical &amp; Candidate'!G$12/100)</f>
        <v>0.0718583563439552</v>
      </c>
      <c r="AW37" s="143" t="n">
        <f aca="false">MAX(0.0002,Z37+Incumbency!H$20*Incumbency!$C$6+'Tactical &amp; Candidate'!H$12/100)</f>
        <v>0.0002</v>
      </c>
      <c r="AX37" s="143" t="n">
        <f aca="false">SUM(AR37:AW37)</f>
        <v>1.0242</v>
      </c>
      <c r="AY37" s="143" t="n">
        <f aca="false">AR37/$AX37</f>
        <v>0.223611662008858</v>
      </c>
      <c r="AZ37" s="143" t="n">
        <f aca="false">AS37/$AX37</f>
        <v>0.384371431301298</v>
      </c>
      <c r="BA37" s="143" t="n">
        <f aca="false">AT37/$AX37</f>
        <v>0.158208251588956</v>
      </c>
      <c r="BB37" s="143" t="n">
        <f aca="false">AU37/$AX37</f>
        <v>0.16345290784063</v>
      </c>
      <c r="BC37" s="143" t="n">
        <f aca="false">AV37/$AX37</f>
        <v>0.0701604728997805</v>
      </c>
      <c r="BD37" s="143" t="n">
        <f aca="false">AW37/$AX37</f>
        <v>0.000195274360476469</v>
      </c>
      <c r="BF37" s="143" t="n">
        <f aca="false">AY37*(1-'Tactical &amp; Candidate'!C$8)</f>
        <v>0.223611662008858</v>
      </c>
      <c r="BG37" s="143" t="n">
        <f aca="false">AZ37*(1-'Tactical &amp; Candidate'!D$8)</f>
        <v>0.384371431301298</v>
      </c>
      <c r="BH37" s="143" t="n">
        <f aca="false">BA37*(1-'Tactical &amp; Candidate'!E$8)</f>
        <v>0.158208251588956</v>
      </c>
      <c r="BI37" s="143" t="n">
        <f aca="false">BB37*(1-'Tactical &amp; Candidate'!F$8)</f>
        <v>0.16345290784063</v>
      </c>
      <c r="BJ37" s="143" t="n">
        <f aca="false">BC37*(1-'Tactical &amp; Candidate'!G$8)</f>
        <v>0.0701604728997805</v>
      </c>
      <c r="BK37" s="143" t="n">
        <f aca="false">BD37*(1-'Tactical &amp; Candidate'!H$8)</f>
        <v>0.000195274360476469</v>
      </c>
      <c r="BL37" s="143" t="n">
        <f aca="false">LARGE(AY37:BD37,2)</f>
        <v>0.223611662008858</v>
      </c>
      <c r="BM37" s="143" t="n">
        <f aca="false">SUMPRODUCT((AY37:BD37&lt;$BL37)*AY37:BD37)*'Tactical &amp; Candidate'!$C$6</f>
        <v>0</v>
      </c>
      <c r="BN37" s="143" t="n">
        <f aca="false">MAX(BF37:BK37)</f>
        <v>0.384371431301298</v>
      </c>
      <c r="BO37" s="144" t="n">
        <f aca="false">SUMPRODUCT((BF37:BK37=$BN37)*1)</f>
        <v>1</v>
      </c>
      <c r="BQ37" s="143" t="n">
        <f aca="false">AY37*(1-'Tactical &amp; Candidate'!$C$6*(AY37&lt;$BL37))+IF(BF37=$BN37,$BM37/$BO37,0)</f>
        <v>0.223611662008858</v>
      </c>
      <c r="BR37" s="143" t="n">
        <f aca="false">AZ37*(1-'Tactical &amp; Candidate'!$C$6*(AZ37&lt;$BL37))+IF(BG37=$BN37,$BM37/$BO37,0)</f>
        <v>0.384371431301298</v>
      </c>
      <c r="BS37" s="143" t="n">
        <f aca="false">BA37*(1-'Tactical &amp; Candidate'!$C$6*(BA37&lt;$BL37))+IF(BH37=$BN37,$BM37/$BO37,0)</f>
        <v>0.158208251588956</v>
      </c>
      <c r="BT37" s="143" t="n">
        <f aca="false">BB37*(1-'Tactical &amp; Candidate'!$C$6*(BB37&lt;$BL37))+IF(BI37=$BN37,$BM37/$BO37,0)</f>
        <v>0.16345290784063</v>
      </c>
      <c r="BU37" s="143" t="n">
        <f aca="false">BC37*(1-'Tactical &amp; Candidate'!$C$6*(BC37&lt;$BL37))+IF(BJ37=$BN37,$BM37/$BO37,0)</f>
        <v>0.0701604728997805</v>
      </c>
      <c r="BV37" s="143" t="n">
        <f aca="false">BD37*(1-'Tactical &amp; Candidate'!$C$6*(BD37&lt;$BL37))+IF(BK37=$BN37,$BM37/$BO37,0)</f>
        <v>0.000195274360476469</v>
      </c>
      <c r="BW37" s="143" t="n">
        <f aca="false">SUM(BQ37:BV37)</f>
        <v>1</v>
      </c>
      <c r="BX37" s="143" t="n">
        <f aca="false">BQ37/$BW37</f>
        <v>0.223611662008858</v>
      </c>
      <c r="BY37" s="143" t="n">
        <f aca="false">BR37/$BW37</f>
        <v>0.384371431301298</v>
      </c>
      <c r="BZ37" s="143" t="n">
        <f aca="false">BS37/$BW37</f>
        <v>0.158208251588956</v>
      </c>
      <c r="CA37" s="143" t="n">
        <f aca="false">BT37/$BW37</f>
        <v>0.16345290784063</v>
      </c>
      <c r="CB37" s="143" t="n">
        <f aca="false">BU37/$BW37</f>
        <v>0.0701604728997805</v>
      </c>
      <c r="CC37" s="143" t="n">
        <f aca="false">BV37/$BW37</f>
        <v>0.000195274360476469</v>
      </c>
    </row>
    <row r="38" customFormat="false" ht="15" hidden="false" customHeight="false" outlineLevel="0" collapsed="false">
      <c r="B38" s="21" t="s">
        <v>83</v>
      </c>
      <c r="C38" s="145" t="n">
        <f aca="false">AC38/$AI38</f>
        <v>0.219115213976381</v>
      </c>
      <c r="D38" s="146" t="n">
        <f aca="false">AD38/$AI38</f>
        <v>0.322229143271107</v>
      </c>
      <c r="E38" s="147" t="n">
        <f aca="false">AE38/$AI38</f>
        <v>0.179539890296418</v>
      </c>
      <c r="F38" s="148" t="n">
        <f aca="false">AF38/$AI38</f>
        <v>0.187384623905591</v>
      </c>
      <c r="G38" s="149" t="n">
        <f aca="false">AG38/$AI38</f>
        <v>0.0917311285505023</v>
      </c>
      <c r="H38" s="150" t="n">
        <f aca="false">AH38/$AI38</f>
        <v>0</v>
      </c>
      <c r="I38" s="145" t="n">
        <f aca="false">$L$3*'Voting History'!C38+$M$3*'Voting History'!I38+$N$3*'Voting History'!O38</f>
        <v>0.250103318153736</v>
      </c>
      <c r="J38" s="146" t="n">
        <f aca="false">$L$3*'Voting History'!D38+$M$3*'Voting History'!J38+$N$3*'Voting History'!P38</f>
        <v>0.411706047709339</v>
      </c>
      <c r="K38" s="147" t="n">
        <f aca="false">$L$3*'Voting History'!E38+$M$3*'Voting History'!K38+$N$3*'Voting History'!Q38</f>
        <v>0.166115591580771</v>
      </c>
      <c r="L38" s="148" t="n">
        <f aca="false">$L$3*'Voting History'!F38+$M$3*'Voting History'!L38+$N$3*'Voting History'!R38</f>
        <v>0.119083975955031</v>
      </c>
      <c r="M38" s="149" t="n">
        <f aca="false">$L$3*'Voting History'!G38+$M$3*'Voting History'!M38+$N$3*'Voting History'!S38</f>
        <v>0.052991066601124</v>
      </c>
      <c r="N38" s="150" t="n">
        <f aca="false">$L$3*'Voting History'!H38+$M$3*'Voting History'!N38+$N$3*'Voting History'!T38</f>
        <v>0</v>
      </c>
      <c r="O38" s="145" t="n">
        <f aca="false">Polling!C38</f>
        <v>0.281323284405518</v>
      </c>
      <c r="P38" s="146" t="n">
        <f aca="false">Polling!D38</f>
        <v>0.380890659858465</v>
      </c>
      <c r="Q38" s="147" t="n">
        <f aca="false">Polling!E38</f>
        <v>0.159429556597443</v>
      </c>
      <c r="R38" s="148" t="n">
        <f aca="false">Polling!F38</f>
        <v>0.117724502390091</v>
      </c>
      <c r="S38" s="149" t="n">
        <f aca="false">Polling!G38</f>
        <v>0.0606319967484832</v>
      </c>
      <c r="T38" s="150" t="n">
        <f aca="false">Polling!H38</f>
        <v>0</v>
      </c>
      <c r="U38" s="151" t="n">
        <f aca="false">AJ38/$AP38</f>
        <v>0.254855871713831</v>
      </c>
      <c r="V38" s="152" t="n">
        <f aca="false">AK38/$AP38</f>
        <v>0.370996051844976</v>
      </c>
      <c r="W38" s="153" t="n">
        <f aca="false">AL38/$AP38</f>
        <v>0.167134165452967</v>
      </c>
      <c r="X38" s="154" t="n">
        <f aca="false">AM38/$AP38</f>
        <v>0.138962407235976</v>
      </c>
      <c r="Y38" s="155" t="n">
        <f aca="false">AN38/$AP38</f>
        <v>0.0680515037522491</v>
      </c>
      <c r="Z38" s="156" t="n">
        <f aca="false">AO38/$AP38</f>
        <v>0</v>
      </c>
      <c r="AA38" s="64" t="n">
        <f aca="false">SUMPRODUCT(Demographics!$C38:$I38,Demographics!$C$43:$I$43)</f>
        <v>0.628918631117452</v>
      </c>
      <c r="AC38" s="143" t="n">
        <f aca="false">SUMPRODUCT(Demographics!$C38:$I38,Demographics!$C$43:$I$43,Demographics!$C$44:$I$44)</f>
        <v>0.137805640431033</v>
      </c>
      <c r="AD38" s="143" t="n">
        <f aca="false">SUMPRODUCT(Demographics!$C38:$I38,Demographics!$C$43:$I$43,Demographics!$C$45:$I$45)</f>
        <v>0.202655911692214</v>
      </c>
      <c r="AE38" s="143" t="n">
        <f aca="false">SUMPRODUCT(Demographics!$C38:$I38,Demographics!$C$43:$I$43,Demographics!$C$46:$I$46)</f>
        <v>0.112915982036201</v>
      </c>
      <c r="AF38" s="143" t="n">
        <f aca="false">SUMPRODUCT(Demographics!$C38:$I38,Demographics!$C$43:$I$43,Demographics!$C$47:$I$47)</f>
        <v>0.117849681159163</v>
      </c>
      <c r="AG38" s="143" t="n">
        <f aca="false">SUMPRODUCT(Demographics!$C38:$I38,Demographics!$C$43:$I$43,Demographics!$C$48:$I$48)</f>
        <v>0.0576914157988409</v>
      </c>
      <c r="AH38" s="143" t="n">
        <f aca="false">SUMPRODUCT(Demographics!$C38:$I38,Demographics!$C$43:$I$43,Demographics!$C$49:$I$49)</f>
        <v>0</v>
      </c>
      <c r="AI38" s="143" t="n">
        <f aca="false">SUM(AC38:AH38)</f>
        <v>0.628918631117452</v>
      </c>
      <c r="AJ38" s="143" t="n">
        <f aca="false">$D$3*C38+$F$3*I38+$H$3*O38</f>
        <v>0.254855871713831</v>
      </c>
      <c r="AK38" s="143" t="n">
        <f aca="false">$D$3*D38+$F$3*J38+$H$3*P38</f>
        <v>0.370996051844976</v>
      </c>
      <c r="AL38" s="143" t="n">
        <f aca="false">$D$3*E38+$F$3*K38+$H$3*Q38</f>
        <v>0.167134165452967</v>
      </c>
      <c r="AM38" s="143" t="n">
        <f aca="false">$D$3*F38+$F$3*L38+$H$3*R38</f>
        <v>0.138962407235976</v>
      </c>
      <c r="AN38" s="143" t="n">
        <f aca="false">$D$3*G38+$F$3*M38+$H$3*S38</f>
        <v>0.0680515037522491</v>
      </c>
      <c r="AO38" s="143" t="n">
        <f aca="false">$D$3*H38+$F$3*N38+$H$3*T38</f>
        <v>0</v>
      </c>
      <c r="AP38" s="143" t="n">
        <f aca="false">SUM(AJ38:AO38)</f>
        <v>1</v>
      </c>
      <c r="AR38" s="143" t="n">
        <f aca="false">MAX(0.0002,U38+Incumbency!C$20*Incumbency!$C$6+'Tactical &amp; Candidate'!C$12/100)</f>
        <v>0.254855871713831</v>
      </c>
      <c r="AS38" s="143" t="n">
        <f aca="false">MAX(0.0002,V38+Incumbency!D$20*Incumbency!$C$6+'Tactical &amp; Candidate'!D$12/100)</f>
        <v>0.394996051844976</v>
      </c>
      <c r="AT38" s="143" t="n">
        <f aca="false">MAX(0.0002,W38+Incumbency!E$20*Incumbency!$C$6+'Tactical &amp; Candidate'!E$12/100)</f>
        <v>0.167134165452967</v>
      </c>
      <c r="AU38" s="143" t="n">
        <f aca="false">MAX(0.0002,X38+Incumbency!F$20*Incumbency!$C$6+'Tactical &amp; Candidate'!F$12/100)</f>
        <v>0.138962407235976</v>
      </c>
      <c r="AV38" s="143" t="n">
        <f aca="false">MAX(0.0002,Y38+Incumbency!G$20*Incumbency!$C$6+'Tactical &amp; Candidate'!G$12/100)</f>
        <v>0.0680515037522491</v>
      </c>
      <c r="AW38" s="143" t="n">
        <f aca="false">MAX(0.0002,Z38+Incumbency!H$20*Incumbency!$C$6+'Tactical &amp; Candidate'!H$12/100)</f>
        <v>0.0002</v>
      </c>
      <c r="AX38" s="143" t="n">
        <f aca="false">SUM(AR38:AW38)</f>
        <v>1.0242</v>
      </c>
      <c r="AY38" s="143" t="n">
        <f aca="false">AR38/$AX38</f>
        <v>0.248834086812958</v>
      </c>
      <c r="AZ38" s="143" t="n">
        <f aca="false">AS38/$AX38</f>
        <v>0.385663007073791</v>
      </c>
      <c r="BA38" s="143" t="n">
        <f aca="false">AT38/$AX38</f>
        <v>0.163185086362983</v>
      </c>
      <c r="BB38" s="143" t="n">
        <f aca="false">AU38/$AX38</f>
        <v>0.13567897601638</v>
      </c>
      <c r="BC38" s="143" t="n">
        <f aca="false">AV38/$AX38</f>
        <v>0.0664435693734126</v>
      </c>
      <c r="BD38" s="143" t="n">
        <f aca="false">AW38/$AX38</f>
        <v>0.000195274360476469</v>
      </c>
      <c r="BF38" s="143" t="n">
        <f aca="false">AY38*(1-'Tactical &amp; Candidate'!C$8)</f>
        <v>0.248834086812958</v>
      </c>
      <c r="BG38" s="143" t="n">
        <f aca="false">AZ38*(1-'Tactical &amp; Candidate'!D$8)</f>
        <v>0.385663007073791</v>
      </c>
      <c r="BH38" s="143" t="n">
        <f aca="false">BA38*(1-'Tactical &amp; Candidate'!E$8)</f>
        <v>0.163185086362983</v>
      </c>
      <c r="BI38" s="143" t="n">
        <f aca="false">BB38*(1-'Tactical &amp; Candidate'!F$8)</f>
        <v>0.13567897601638</v>
      </c>
      <c r="BJ38" s="143" t="n">
        <f aca="false">BC38*(1-'Tactical &amp; Candidate'!G$8)</f>
        <v>0.0664435693734126</v>
      </c>
      <c r="BK38" s="143" t="n">
        <f aca="false">BD38*(1-'Tactical &amp; Candidate'!H$8)</f>
        <v>0.000195274360476469</v>
      </c>
      <c r="BL38" s="143" t="n">
        <f aca="false">LARGE(AY38:BD38,2)</f>
        <v>0.248834086812958</v>
      </c>
      <c r="BM38" s="143" t="n">
        <f aca="false">SUMPRODUCT((AY38:BD38&lt;$BL38)*AY38:BD38)*'Tactical &amp; Candidate'!$C$6</f>
        <v>0</v>
      </c>
      <c r="BN38" s="143" t="n">
        <f aca="false">MAX(BF38:BK38)</f>
        <v>0.385663007073791</v>
      </c>
      <c r="BO38" s="144" t="n">
        <f aca="false">SUMPRODUCT((BF38:BK38=$BN38)*1)</f>
        <v>1</v>
      </c>
      <c r="BQ38" s="143" t="n">
        <f aca="false">AY38*(1-'Tactical &amp; Candidate'!$C$6*(AY38&lt;$BL38))+IF(BF38=$BN38,$BM38/$BO38,0)</f>
        <v>0.248834086812958</v>
      </c>
      <c r="BR38" s="143" t="n">
        <f aca="false">AZ38*(1-'Tactical &amp; Candidate'!$C$6*(AZ38&lt;$BL38))+IF(BG38=$BN38,$BM38/$BO38,0)</f>
        <v>0.385663007073791</v>
      </c>
      <c r="BS38" s="143" t="n">
        <f aca="false">BA38*(1-'Tactical &amp; Candidate'!$C$6*(BA38&lt;$BL38))+IF(BH38=$BN38,$BM38/$BO38,0)</f>
        <v>0.163185086362983</v>
      </c>
      <c r="BT38" s="143" t="n">
        <f aca="false">BB38*(1-'Tactical &amp; Candidate'!$C$6*(BB38&lt;$BL38))+IF(BI38=$BN38,$BM38/$BO38,0)</f>
        <v>0.13567897601638</v>
      </c>
      <c r="BU38" s="143" t="n">
        <f aca="false">BC38*(1-'Tactical &amp; Candidate'!$C$6*(BC38&lt;$BL38))+IF(BJ38=$BN38,$BM38/$BO38,0)</f>
        <v>0.0664435693734126</v>
      </c>
      <c r="BV38" s="143" t="n">
        <f aca="false">BD38*(1-'Tactical &amp; Candidate'!$C$6*(BD38&lt;$BL38))+IF(BK38=$BN38,$BM38/$BO38,0)</f>
        <v>0.000195274360476469</v>
      </c>
      <c r="BW38" s="143" t="n">
        <f aca="false">SUM(BQ38:BV38)</f>
        <v>1</v>
      </c>
      <c r="BX38" s="143" t="n">
        <f aca="false">BQ38/$BW38</f>
        <v>0.248834086812958</v>
      </c>
      <c r="BY38" s="143" t="n">
        <f aca="false">BR38/$BW38</f>
        <v>0.385663007073791</v>
      </c>
      <c r="BZ38" s="143" t="n">
        <f aca="false">BS38/$BW38</f>
        <v>0.163185086362983</v>
      </c>
      <c r="CA38" s="143" t="n">
        <f aca="false">BT38/$BW38</f>
        <v>0.13567897601638</v>
      </c>
      <c r="CB38" s="143" t="n">
        <f aca="false">BU38/$BW38</f>
        <v>0.0664435693734126</v>
      </c>
      <c r="CC38" s="143" t="n">
        <f aca="false">BV38/$BW38</f>
        <v>0.000195274360476469</v>
      </c>
    </row>
    <row r="39" customFormat="false" ht="15" hidden="false" customHeight="false" outlineLevel="0" collapsed="false">
      <c r="B39" s="9" t="s">
        <v>85</v>
      </c>
      <c r="C39" s="132" t="n">
        <f aca="false">AC39/$AI39</f>
        <v>0.235026325603563</v>
      </c>
      <c r="D39" s="133" t="n">
        <f aca="false">AD39/$AI39</f>
        <v>0.297985545875169</v>
      </c>
      <c r="E39" s="134" t="n">
        <f aca="false">AE39/$AI39</f>
        <v>0.236932714093508</v>
      </c>
      <c r="F39" s="130" t="n">
        <f aca="false">AF39/$AI39</f>
        <v>0.136657788723506</v>
      </c>
      <c r="G39" s="135" t="n">
        <f aca="false">AG39/$AI39</f>
        <v>0.0933976257042537</v>
      </c>
      <c r="H39" s="136" t="n">
        <f aca="false">AH39/$AI39</f>
        <v>0</v>
      </c>
      <c r="I39" s="132" t="n">
        <f aca="false">$L$3*'Voting History'!C39+$M$3*'Voting History'!I39+$N$3*'Voting History'!O39</f>
        <v>0.376277518166368</v>
      </c>
      <c r="J39" s="133" t="n">
        <f aca="false">$L$3*'Voting History'!D39+$M$3*'Voting History'!J39+$N$3*'Voting History'!P39</f>
        <v>0.227332583245547</v>
      </c>
      <c r="K39" s="134" t="n">
        <f aca="false">$L$3*'Voting History'!E39+$M$3*'Voting History'!K39+$N$3*'Voting History'!Q39</f>
        <v>0.229378604629537</v>
      </c>
      <c r="L39" s="130" t="n">
        <f aca="false">$L$3*'Voting History'!F39+$M$3*'Voting History'!L39+$N$3*'Voting History'!R39</f>
        <v>0.086469040043382</v>
      </c>
      <c r="M39" s="135" t="n">
        <f aca="false">$L$3*'Voting History'!G39+$M$3*'Voting History'!M39+$N$3*'Voting History'!S39</f>
        <v>0.0805422539151655</v>
      </c>
      <c r="N39" s="136" t="n">
        <f aca="false">$L$3*'Voting History'!H39+$M$3*'Voting History'!N39+$N$3*'Voting History'!T39</f>
        <v>0</v>
      </c>
      <c r="O39" s="132" t="n">
        <f aca="false">Polling!C39</f>
        <v>0.397346617778967</v>
      </c>
      <c r="P39" s="133" t="n">
        <f aca="false">Polling!D39</f>
        <v>0.214267924739891</v>
      </c>
      <c r="Q39" s="134" t="n">
        <f aca="false">Polling!E39</f>
        <v>0.214860439685029</v>
      </c>
      <c r="R39" s="130" t="n">
        <f aca="false">Polling!F39</f>
        <v>0.0963290828076649</v>
      </c>
      <c r="S39" s="135" t="n">
        <f aca="false">Polling!G39</f>
        <v>0.0771959349884486</v>
      </c>
      <c r="T39" s="136" t="n">
        <f aca="false">Polling!H39</f>
        <v>0</v>
      </c>
      <c r="U39" s="137" t="n">
        <f aca="false">AJ39/$AP39</f>
        <v>0.343383255223196</v>
      </c>
      <c r="V39" s="138" t="n">
        <f aca="false">AK39/$AP39</f>
        <v>0.242649375706888</v>
      </c>
      <c r="W39" s="139" t="n">
        <f aca="false">AL39/$AP39</f>
        <v>0.2251116632437</v>
      </c>
      <c r="X39" s="140" t="n">
        <f aca="false">AM39/$AP39</f>
        <v>0.105962683891347</v>
      </c>
      <c r="Y39" s="141" t="n">
        <f aca="false">AN39/$AP39</f>
        <v>0.0828930219348694</v>
      </c>
      <c r="Z39" s="142" t="n">
        <f aca="false">AO39/$AP39</f>
        <v>0</v>
      </c>
      <c r="AA39" s="53" t="n">
        <f aca="false">SUMPRODUCT(Demographics!$C39:$I39,Demographics!$C$43:$I$43)</f>
        <v>0.68628890939946</v>
      </c>
      <c r="AC39" s="143" t="n">
        <f aca="false">SUMPRODUCT(Demographics!$C39:$I39,Demographics!$C$43:$I$43,Demographics!$C$44:$I$44)</f>
        <v>0.161295960678632</v>
      </c>
      <c r="AD39" s="143" t="n">
        <f aca="false">SUMPRODUCT(Demographics!$C39:$I39,Demographics!$C$43:$I$43,Demographics!$C$45:$I$45)</f>
        <v>0.204504175295473</v>
      </c>
      <c r="AE39" s="143" t="n">
        <f aca="false">SUMPRODUCT(Demographics!$C39:$I39,Demographics!$C$43:$I$43,Demographics!$C$46:$I$46)</f>
        <v>0.162604293956288</v>
      </c>
      <c r="AF39" s="143" t="n">
        <f aca="false">SUMPRODUCT(Demographics!$C39:$I39,Demographics!$C$43:$I$43,Demographics!$C$47:$I$47)</f>
        <v>0.0937867247839969</v>
      </c>
      <c r="AG39" s="143" t="n">
        <f aca="false">SUMPRODUCT(Demographics!$C39:$I39,Demographics!$C$43:$I$43,Demographics!$C$48:$I$48)</f>
        <v>0.0640977546850712</v>
      </c>
      <c r="AH39" s="143" t="n">
        <f aca="false">SUMPRODUCT(Demographics!$C39:$I39,Demographics!$C$43:$I$43,Demographics!$C$49:$I$49)</f>
        <v>0</v>
      </c>
      <c r="AI39" s="143" t="n">
        <f aca="false">SUM(AC39:AH39)</f>
        <v>0.68628890939946</v>
      </c>
      <c r="AJ39" s="143" t="n">
        <f aca="false">$D$3*C39+$F$3*I39+$H$3*O39</f>
        <v>0.343383255223196</v>
      </c>
      <c r="AK39" s="143" t="n">
        <f aca="false">$D$3*D39+$F$3*J39+$H$3*P39</f>
        <v>0.242649375706888</v>
      </c>
      <c r="AL39" s="143" t="n">
        <f aca="false">$D$3*E39+$F$3*K39+$H$3*Q39</f>
        <v>0.2251116632437</v>
      </c>
      <c r="AM39" s="143" t="n">
        <f aca="false">$D$3*F39+$F$3*L39+$H$3*R39</f>
        <v>0.105962683891347</v>
      </c>
      <c r="AN39" s="143" t="n">
        <f aca="false">$D$3*G39+$F$3*M39+$H$3*S39</f>
        <v>0.0828930219348694</v>
      </c>
      <c r="AO39" s="143" t="n">
        <f aca="false">$D$3*H39+$F$3*N39+$H$3*T39</f>
        <v>0</v>
      </c>
      <c r="AP39" s="143" t="n">
        <f aca="false">SUM(AJ39:AO39)</f>
        <v>1</v>
      </c>
      <c r="AR39" s="143" t="n">
        <f aca="false">MAX(0.0002,U39+Incumbency!C$20*Incumbency!$C$6+'Tactical &amp; Candidate'!C$12/100)</f>
        <v>0.343383255223196</v>
      </c>
      <c r="AS39" s="143" t="n">
        <f aca="false">MAX(0.0002,V39+Incumbency!D$20*Incumbency!$C$6+'Tactical &amp; Candidate'!D$12/100)</f>
        <v>0.266649375706888</v>
      </c>
      <c r="AT39" s="143" t="n">
        <f aca="false">MAX(0.0002,W39+Incumbency!E$20*Incumbency!$C$6+'Tactical &amp; Candidate'!E$12/100)</f>
        <v>0.2251116632437</v>
      </c>
      <c r="AU39" s="143" t="n">
        <f aca="false">MAX(0.0002,X39+Incumbency!F$20*Incumbency!$C$6+'Tactical &amp; Candidate'!F$12/100)</f>
        <v>0.105962683891347</v>
      </c>
      <c r="AV39" s="143" t="n">
        <f aca="false">MAX(0.0002,Y39+Incumbency!G$20*Incumbency!$C$6+'Tactical &amp; Candidate'!G$12/100)</f>
        <v>0.0828930219348694</v>
      </c>
      <c r="AW39" s="143" t="n">
        <f aca="false">MAX(0.0002,Z39+Incumbency!H$20*Incumbency!$C$6+'Tactical &amp; Candidate'!H$12/100)</f>
        <v>0.0002</v>
      </c>
      <c r="AX39" s="143" t="n">
        <f aca="false">SUM(AR39:AW39)</f>
        <v>1.0242</v>
      </c>
      <c r="AY39" s="143" t="n">
        <f aca="false">AR39/$AX39</f>
        <v>0.335269727810189</v>
      </c>
      <c r="AZ39" s="143" t="n">
        <f aca="false">AS39/$AX39</f>
        <v>0.260348931563062</v>
      </c>
      <c r="BA39" s="143" t="n">
        <f aca="false">AT39/$AX39</f>
        <v>0.219792680378539</v>
      </c>
      <c r="BB39" s="143" t="n">
        <f aca="false">AU39/$AX39</f>
        <v>0.103458976656265</v>
      </c>
      <c r="BC39" s="143" t="n">
        <f aca="false">AV39/$AX39</f>
        <v>0.0809344092314678</v>
      </c>
      <c r="BD39" s="143" t="n">
        <f aca="false">AW39/$AX39</f>
        <v>0.000195274360476469</v>
      </c>
      <c r="BF39" s="143" t="n">
        <f aca="false">AY39*(1-'Tactical &amp; Candidate'!C$8)</f>
        <v>0.335269727810189</v>
      </c>
      <c r="BG39" s="143" t="n">
        <f aca="false">AZ39*(1-'Tactical &amp; Candidate'!D$8)</f>
        <v>0.260348931563062</v>
      </c>
      <c r="BH39" s="143" t="n">
        <f aca="false">BA39*(1-'Tactical &amp; Candidate'!E$8)</f>
        <v>0.219792680378539</v>
      </c>
      <c r="BI39" s="143" t="n">
        <f aca="false">BB39*(1-'Tactical &amp; Candidate'!F$8)</f>
        <v>0.103458976656265</v>
      </c>
      <c r="BJ39" s="143" t="n">
        <f aca="false">BC39*(1-'Tactical &amp; Candidate'!G$8)</f>
        <v>0.0809344092314678</v>
      </c>
      <c r="BK39" s="143" t="n">
        <f aca="false">BD39*(1-'Tactical &amp; Candidate'!H$8)</f>
        <v>0.000195274360476469</v>
      </c>
      <c r="BL39" s="143" t="n">
        <f aca="false">LARGE(AY39:BD39,2)</f>
        <v>0.260348931563062</v>
      </c>
      <c r="BM39" s="143" t="n">
        <f aca="false">SUMPRODUCT((AY39:BD39&lt;$BL39)*AY39:BD39)*'Tactical &amp; Candidate'!$C$6</f>
        <v>0</v>
      </c>
      <c r="BN39" s="143" t="n">
        <f aca="false">MAX(BF39:BK39)</f>
        <v>0.335269727810189</v>
      </c>
      <c r="BO39" s="144" t="n">
        <f aca="false">SUMPRODUCT((BF39:BK39=$BN39)*1)</f>
        <v>1</v>
      </c>
      <c r="BQ39" s="143" t="n">
        <f aca="false">AY39*(1-'Tactical &amp; Candidate'!$C$6*(AY39&lt;$BL39))+IF(BF39=$BN39,$BM39/$BO39,0)</f>
        <v>0.335269727810189</v>
      </c>
      <c r="BR39" s="143" t="n">
        <f aca="false">AZ39*(1-'Tactical &amp; Candidate'!$C$6*(AZ39&lt;$BL39))+IF(BG39=$BN39,$BM39/$BO39,0)</f>
        <v>0.260348931563062</v>
      </c>
      <c r="BS39" s="143" t="n">
        <f aca="false">BA39*(1-'Tactical &amp; Candidate'!$C$6*(BA39&lt;$BL39))+IF(BH39=$BN39,$BM39/$BO39,0)</f>
        <v>0.219792680378539</v>
      </c>
      <c r="BT39" s="143" t="n">
        <f aca="false">BB39*(1-'Tactical &amp; Candidate'!$C$6*(BB39&lt;$BL39))+IF(BI39=$BN39,$BM39/$BO39,0)</f>
        <v>0.103458976656265</v>
      </c>
      <c r="BU39" s="143" t="n">
        <f aca="false">BC39*(1-'Tactical &amp; Candidate'!$C$6*(BC39&lt;$BL39))+IF(BJ39=$BN39,$BM39/$BO39,0)</f>
        <v>0.0809344092314678</v>
      </c>
      <c r="BV39" s="143" t="n">
        <f aca="false">BD39*(1-'Tactical &amp; Candidate'!$C$6*(BD39&lt;$BL39))+IF(BK39=$BN39,$BM39/$BO39,0)</f>
        <v>0.000195274360476469</v>
      </c>
      <c r="BW39" s="143" t="n">
        <f aca="false">SUM(BQ39:BV39)</f>
        <v>1</v>
      </c>
      <c r="BX39" s="143" t="n">
        <f aca="false">BQ39/$BW39</f>
        <v>0.335269727810189</v>
      </c>
      <c r="BY39" s="143" t="n">
        <f aca="false">BR39/$BW39</f>
        <v>0.260348931563062</v>
      </c>
      <c r="BZ39" s="143" t="n">
        <f aca="false">BS39/$BW39</f>
        <v>0.219792680378539</v>
      </c>
      <c r="CA39" s="143" t="n">
        <f aca="false">BT39/$BW39</f>
        <v>0.103458976656265</v>
      </c>
      <c r="CB39" s="143" t="n">
        <f aca="false">BU39/$BW39</f>
        <v>0.0809344092314678</v>
      </c>
      <c r="CC39" s="143" t="n">
        <f aca="false">BV39/$BW39</f>
        <v>0.000195274360476469</v>
      </c>
    </row>
    <row r="40" customFormat="false" ht="15" hidden="false" customHeight="false" outlineLevel="0" collapsed="false">
      <c r="B40" s="21" t="s">
        <v>87</v>
      </c>
      <c r="C40" s="145" t="n">
        <f aca="false">AC40/$AI40</f>
        <v>0.183027600597898</v>
      </c>
      <c r="D40" s="146" t="n">
        <f aca="false">AD40/$AI40</f>
        <v>0.236717969793269</v>
      </c>
      <c r="E40" s="147" t="n">
        <f aca="false">AE40/$AI40</f>
        <v>0.116653277120208</v>
      </c>
      <c r="F40" s="148" t="n">
        <f aca="false">AF40/$AI40</f>
        <v>0.187338664966288</v>
      </c>
      <c r="G40" s="149" t="n">
        <f aca="false">AG40/$AI40</f>
        <v>0.0960244357216953</v>
      </c>
      <c r="H40" s="150" t="n">
        <f aca="false">AH40/$AI40</f>
        <v>0.180238051800642</v>
      </c>
      <c r="I40" s="145" t="n">
        <f aca="false">$L$3*'Voting History'!C40+$M$3*'Voting History'!I40+$N$3*'Voting History'!O40</f>
        <v>0.095236850694678</v>
      </c>
      <c r="J40" s="146" t="n">
        <f aca="false">$L$3*'Voting History'!D40+$M$3*'Voting History'!J40+$N$3*'Voting History'!P40</f>
        <v>0.23372906565477</v>
      </c>
      <c r="K40" s="147" t="n">
        <f aca="false">$L$3*'Voting History'!E40+$M$3*'Voting History'!K40+$N$3*'Voting History'!Q40</f>
        <v>0.0778336330861443</v>
      </c>
      <c r="L40" s="148" t="n">
        <f aca="false">$L$3*'Voting History'!F40+$M$3*'Voting History'!L40+$N$3*'Voting History'!R40</f>
        <v>0.123464216784779</v>
      </c>
      <c r="M40" s="149" t="n">
        <f aca="false">$L$3*'Voting History'!G40+$M$3*'Voting History'!M40+$N$3*'Voting History'!S40</f>
        <v>0.0490771025669107</v>
      </c>
      <c r="N40" s="150" t="n">
        <f aca="false">$L$3*'Voting History'!H40+$M$3*'Voting History'!N40+$N$3*'Voting History'!T40</f>
        <v>0.420659131212718</v>
      </c>
      <c r="O40" s="145" t="n">
        <f aca="false">Polling!C40</f>
        <v>0.0962864455405258</v>
      </c>
      <c r="P40" s="146" t="n">
        <f aca="false">Polling!D40</f>
        <v>0.21993789289139</v>
      </c>
      <c r="Q40" s="147" t="n">
        <f aca="false">Polling!E40</f>
        <v>0.0678373575311472</v>
      </c>
      <c r="R40" s="148" t="n">
        <f aca="false">Polling!F40</f>
        <v>0.108215946904289</v>
      </c>
      <c r="S40" s="149" t="n">
        <f aca="false">Polling!G40</f>
        <v>0.0524746600066554</v>
      </c>
      <c r="T40" s="150" t="n">
        <f aca="false">Polling!H40</f>
        <v>0.455247697125993</v>
      </c>
      <c r="U40" s="151" t="n">
        <f aca="false">AJ40/$AP40</f>
        <v>0.122046393346276</v>
      </c>
      <c r="V40" s="152" t="n">
        <f aca="false">AK40/$AP40</f>
        <v>0.228419709152798</v>
      </c>
      <c r="W40" s="153" t="n">
        <f aca="false">AL40/$AP40</f>
        <v>0.0849812022966148</v>
      </c>
      <c r="X40" s="154" t="n">
        <f aca="false">AM40/$AP40</f>
        <v>0.135764829793011</v>
      </c>
      <c r="Y40" s="155" t="n">
        <f aca="false">AN40/$AP40</f>
        <v>0.0646902033612312</v>
      </c>
      <c r="Z40" s="156" t="n">
        <f aca="false">AO40/$AP40</f>
        <v>0.364097662050069</v>
      </c>
      <c r="AA40" s="64" t="n">
        <f aca="false">SUMPRODUCT(Demographics!$C40:$I40,Demographics!$C$43:$I$43)</f>
        <v>0.573652228497667</v>
      </c>
      <c r="AC40" s="143" t="n">
        <f aca="false">SUMPRODUCT(Demographics!$C40:$I40,Demographics!$C$43:$I$43,Demographics!$C$44:$I$44)</f>
        <v>0.104994190959565</v>
      </c>
      <c r="AD40" s="143" t="n">
        <f aca="false">SUMPRODUCT(Demographics!$C40:$I40,Demographics!$C$43:$I$43,Demographics!$C$45:$I$45)</f>
        <v>0.135793790897352</v>
      </c>
      <c r="AE40" s="143" t="n">
        <f aca="false">SUMPRODUCT(Demographics!$C40:$I40,Demographics!$C$43:$I$43,Demographics!$C$46:$I$46)</f>
        <v>0.0669184123815634</v>
      </c>
      <c r="AF40" s="143" t="n">
        <f aca="false">SUMPRODUCT(Demographics!$C40:$I40,Demographics!$C$43:$I$43,Demographics!$C$47:$I$47)</f>
        <v>0.107467242641689</v>
      </c>
      <c r="AG40" s="143" t="n">
        <f aca="false">SUMPRODUCT(Demographics!$C40:$I40,Demographics!$C$43:$I$43,Demographics!$C$48:$I$48)</f>
        <v>0.0550846315419815</v>
      </c>
      <c r="AH40" s="143" t="n">
        <f aca="false">SUMPRODUCT(Demographics!$C40:$I40,Demographics!$C$43:$I$43,Demographics!$C$49:$I$49)</f>
        <v>0.103393960075516</v>
      </c>
      <c r="AI40" s="143" t="n">
        <f aca="false">SUM(AC40:AH40)</f>
        <v>0.573652228497667</v>
      </c>
      <c r="AJ40" s="143" t="n">
        <f aca="false">$D$3*C40+$F$3*I40+$H$3*O40</f>
        <v>0.122046393346276</v>
      </c>
      <c r="AK40" s="143" t="n">
        <f aca="false">$D$3*D40+$F$3*J40+$H$3*P40</f>
        <v>0.228419709152798</v>
      </c>
      <c r="AL40" s="143" t="n">
        <f aca="false">$D$3*E40+$F$3*K40+$H$3*Q40</f>
        <v>0.0849812022966148</v>
      </c>
      <c r="AM40" s="143" t="n">
        <f aca="false">$D$3*F40+$F$3*L40+$H$3*R40</f>
        <v>0.135764829793011</v>
      </c>
      <c r="AN40" s="143" t="n">
        <f aca="false">$D$3*G40+$F$3*M40+$H$3*S40</f>
        <v>0.0646902033612312</v>
      </c>
      <c r="AO40" s="143" t="n">
        <f aca="false">$D$3*H40+$F$3*N40+$H$3*T40</f>
        <v>0.364097662050069</v>
      </c>
      <c r="AP40" s="143" t="n">
        <f aca="false">SUM(AJ40:AO40)</f>
        <v>1</v>
      </c>
      <c r="AR40" s="143" t="n">
        <f aca="false">MAX(0.0002,U40+Incumbency!C$20*Incumbency!$C$6+'Tactical &amp; Candidate'!C$12/100)</f>
        <v>0.122046393346276</v>
      </c>
      <c r="AS40" s="143" t="n">
        <f aca="false">MAX(0.0002,V40+Incumbency!D$20*Incumbency!$C$6+'Tactical &amp; Candidate'!D$12/100)</f>
        <v>0.252419709152798</v>
      </c>
      <c r="AT40" s="143" t="n">
        <f aca="false">MAX(0.0002,W40+Incumbency!E$20*Incumbency!$C$6+'Tactical &amp; Candidate'!E$12/100)</f>
        <v>0.0849812022966148</v>
      </c>
      <c r="AU40" s="143" t="n">
        <f aca="false">MAX(0.0002,X40+Incumbency!F$20*Incumbency!$C$6+'Tactical &amp; Candidate'!F$12/100)</f>
        <v>0.135764829793011</v>
      </c>
      <c r="AV40" s="143" t="n">
        <f aca="false">MAX(0.0002,Y40+Incumbency!G$20*Incumbency!$C$6+'Tactical &amp; Candidate'!G$12/100)</f>
        <v>0.0646902033612312</v>
      </c>
      <c r="AW40" s="143" t="n">
        <f aca="false">MAX(0.0002,Z40+Incumbency!H$20*Incumbency!$C$6+'Tactical &amp; Candidate'!H$12/100)</f>
        <v>0.364097662050069</v>
      </c>
      <c r="AX40" s="143" t="n">
        <f aca="false">SUM(AR40:AW40)</f>
        <v>1.024</v>
      </c>
      <c r="AY40" s="143" t="n">
        <f aca="false">AR40/$AX40</f>
        <v>0.119185931002222</v>
      </c>
      <c r="AZ40" s="143" t="n">
        <f aca="false">AS40/$AX40</f>
        <v>0.24650362221953</v>
      </c>
      <c r="BA40" s="143" t="n">
        <f aca="false">AT40/$AX40</f>
        <v>0.0829894553677879</v>
      </c>
      <c r="BB40" s="143" t="n">
        <f aca="false">AU40/$AX40</f>
        <v>0.132582841594738</v>
      </c>
      <c r="BC40" s="143" t="n">
        <f aca="false">AV40/$AX40</f>
        <v>0.0631740267199523</v>
      </c>
      <c r="BD40" s="143" t="n">
        <f aca="false">AW40/$AX40</f>
        <v>0.35556412309577</v>
      </c>
      <c r="BF40" s="143" t="n">
        <f aca="false">AY40*(1-'Tactical &amp; Candidate'!C$8)</f>
        <v>0.119185931002222</v>
      </c>
      <c r="BG40" s="143" t="n">
        <f aca="false">AZ40*(1-'Tactical &amp; Candidate'!D$8)</f>
        <v>0.24650362221953</v>
      </c>
      <c r="BH40" s="143" t="n">
        <f aca="false">BA40*(1-'Tactical &amp; Candidate'!E$8)</f>
        <v>0.0829894553677879</v>
      </c>
      <c r="BI40" s="143" t="n">
        <f aca="false">BB40*(1-'Tactical &amp; Candidate'!F$8)</f>
        <v>0.132582841594738</v>
      </c>
      <c r="BJ40" s="143" t="n">
        <f aca="false">BC40*(1-'Tactical &amp; Candidate'!G$8)</f>
        <v>0.0631740267199523</v>
      </c>
      <c r="BK40" s="143" t="n">
        <f aca="false">BD40*(1-'Tactical &amp; Candidate'!H$8)</f>
        <v>0.35556412309577</v>
      </c>
      <c r="BL40" s="143" t="n">
        <f aca="false">LARGE(AY40:BD40,2)</f>
        <v>0.24650362221953</v>
      </c>
      <c r="BM40" s="143" t="n">
        <f aca="false">SUMPRODUCT((AY40:BD40&lt;$BL40)*AY40:BD40)*'Tactical &amp; Candidate'!$C$6</f>
        <v>0</v>
      </c>
      <c r="BN40" s="143" t="n">
        <f aca="false">MAX(BF40:BK40)</f>
        <v>0.35556412309577</v>
      </c>
      <c r="BO40" s="144" t="n">
        <f aca="false">SUMPRODUCT((BF40:BK40=$BN40)*1)</f>
        <v>1</v>
      </c>
      <c r="BQ40" s="143" t="n">
        <f aca="false">AY40*(1-'Tactical &amp; Candidate'!$C$6*(AY40&lt;$BL40))+IF(BF40=$BN40,$BM40/$BO40,0)</f>
        <v>0.119185931002222</v>
      </c>
      <c r="BR40" s="143" t="n">
        <f aca="false">AZ40*(1-'Tactical &amp; Candidate'!$C$6*(AZ40&lt;$BL40))+IF(BG40=$BN40,$BM40/$BO40,0)</f>
        <v>0.24650362221953</v>
      </c>
      <c r="BS40" s="143" t="n">
        <f aca="false">BA40*(1-'Tactical &amp; Candidate'!$C$6*(BA40&lt;$BL40))+IF(BH40=$BN40,$BM40/$BO40,0)</f>
        <v>0.0829894553677879</v>
      </c>
      <c r="BT40" s="143" t="n">
        <f aca="false">BB40*(1-'Tactical &amp; Candidate'!$C$6*(BB40&lt;$BL40))+IF(BI40=$BN40,$BM40/$BO40,0)</f>
        <v>0.132582841594738</v>
      </c>
      <c r="BU40" s="143" t="n">
        <f aca="false">BC40*(1-'Tactical &amp; Candidate'!$C$6*(BC40&lt;$BL40))+IF(BJ40=$BN40,$BM40/$BO40,0)</f>
        <v>0.0631740267199523</v>
      </c>
      <c r="BV40" s="143" t="n">
        <f aca="false">BD40*(1-'Tactical &amp; Candidate'!$C$6*(BD40&lt;$BL40))+IF(BK40=$BN40,$BM40/$BO40,0)</f>
        <v>0.35556412309577</v>
      </c>
      <c r="BW40" s="143" t="n">
        <f aca="false">SUM(BQ40:BV40)</f>
        <v>1</v>
      </c>
      <c r="BX40" s="143" t="n">
        <f aca="false">BQ40/$BW40</f>
        <v>0.119185931002222</v>
      </c>
      <c r="BY40" s="143" t="n">
        <f aca="false">BR40/$BW40</f>
        <v>0.24650362221953</v>
      </c>
      <c r="BZ40" s="143" t="n">
        <f aca="false">BS40/$BW40</f>
        <v>0.0829894553677879</v>
      </c>
      <c r="CA40" s="143" t="n">
        <f aca="false">BT40/$BW40</f>
        <v>0.132582841594738</v>
      </c>
      <c r="CB40" s="143" t="n">
        <f aca="false">BU40/$BW40</f>
        <v>0.0631740267199523</v>
      </c>
      <c r="CC40" s="143" t="n">
        <f aca="false">BV40/$BW40</f>
        <v>0.35556412309577</v>
      </c>
    </row>
  </sheetData>
  <mergeCells count="6">
    <mergeCell ref="B1:AA1"/>
    <mergeCell ref="B2:AA2"/>
    <mergeCell ref="C4:H4"/>
    <mergeCell ref="I4:N4"/>
    <mergeCell ref="O4:T4"/>
    <mergeCell ref="U4:Z4"/>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E4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18"/>
  </cols>
  <sheetData>
    <row r="1" customFormat="false" ht="15" hidden="false" customHeight="false" outlineLevel="0" collapsed="false">
      <c r="A1" s="157" t="s">
        <v>194</v>
      </c>
      <c r="B1" s="104" t="n">
        <v>1</v>
      </c>
      <c r="C1" s="104" t="n">
        <v>2</v>
      </c>
      <c r="D1" s="104" t="n">
        <v>3</v>
      </c>
      <c r="E1" s="104" t="n">
        <v>4</v>
      </c>
      <c r="F1" s="104" t="n">
        <v>5</v>
      </c>
      <c r="G1" s="104" t="n">
        <v>6</v>
      </c>
      <c r="H1" s="104" t="n">
        <v>7</v>
      </c>
      <c r="I1" s="104" t="n">
        <v>8</v>
      </c>
      <c r="J1" s="104" t="n">
        <v>9</v>
      </c>
      <c r="K1" s="104" t="n">
        <v>10</v>
      </c>
      <c r="L1" s="104" t="n">
        <v>11</v>
      </c>
      <c r="M1" s="104" t="n">
        <v>12</v>
      </c>
      <c r="N1" s="104" t="n">
        <v>13</v>
      </c>
      <c r="O1" s="104" t="n">
        <v>14</v>
      </c>
      <c r="P1" s="104" t="n">
        <v>15</v>
      </c>
      <c r="Q1" s="104" t="n">
        <v>16</v>
      </c>
      <c r="R1" s="104" t="n">
        <v>17</v>
      </c>
      <c r="S1" s="104" t="n">
        <v>18</v>
      </c>
      <c r="T1" s="104" t="n">
        <v>19</v>
      </c>
      <c r="U1" s="104" t="n">
        <v>20</v>
      </c>
      <c r="V1" s="104" t="n">
        <v>21</v>
      </c>
      <c r="W1" s="104" t="n">
        <v>22</v>
      </c>
      <c r="X1" s="104" t="n">
        <v>23</v>
      </c>
      <c r="Y1" s="104" t="n">
        <v>24</v>
      </c>
      <c r="Z1" s="104" t="n">
        <v>25</v>
      </c>
      <c r="AA1" s="104" t="n">
        <v>26</v>
      </c>
      <c r="AB1" s="104" t="n">
        <v>27</v>
      </c>
      <c r="AC1" s="104" t="n">
        <v>28</v>
      </c>
      <c r="AD1" s="104" t="n">
        <v>29</v>
      </c>
      <c r="AE1" s="104" t="n">
        <v>30</v>
      </c>
      <c r="AF1" s="104" t="n">
        <v>31</v>
      </c>
      <c r="AG1" s="104" t="n">
        <v>32</v>
      </c>
      <c r="AH1" s="104" t="n">
        <v>33</v>
      </c>
      <c r="AI1" s="104" t="n">
        <v>34</v>
      </c>
      <c r="AJ1" s="104" t="n">
        <v>35</v>
      </c>
      <c r="AK1" s="104" t="n">
        <v>36</v>
      </c>
      <c r="AL1" s="104" t="n">
        <v>37</v>
      </c>
      <c r="AM1" s="104" t="n">
        <v>38</v>
      </c>
      <c r="AN1" s="104" t="n">
        <v>39</v>
      </c>
      <c r="AO1" s="104" t="n">
        <v>40</v>
      </c>
      <c r="AP1" s="104" t="n">
        <v>41</v>
      </c>
      <c r="AQ1" s="104" t="n">
        <v>42</v>
      </c>
      <c r="AR1" s="104" t="n">
        <v>43</v>
      </c>
      <c r="AS1" s="104" t="n">
        <v>44</v>
      </c>
      <c r="AT1" s="104" t="n">
        <v>45</v>
      </c>
      <c r="AU1" s="104" t="n">
        <v>46</v>
      </c>
      <c r="AV1" s="104" t="n">
        <v>47</v>
      </c>
      <c r="AW1" s="104" t="n">
        <v>48</v>
      </c>
      <c r="AX1" s="104" t="n">
        <v>49</v>
      </c>
      <c r="AY1" s="104" t="n">
        <v>50</v>
      </c>
      <c r="AZ1" s="104" t="n">
        <v>51</v>
      </c>
      <c r="BA1" s="104" t="n">
        <v>52</v>
      </c>
      <c r="BB1" s="104" t="n">
        <v>53</v>
      </c>
      <c r="BC1" s="104" t="n">
        <v>54</v>
      </c>
      <c r="BD1" s="104" t="n">
        <v>55</v>
      </c>
      <c r="BE1" s="104" t="n">
        <v>56</v>
      </c>
      <c r="BF1" s="104" t="n">
        <v>57</v>
      </c>
      <c r="BG1" s="104" t="n">
        <v>58</v>
      </c>
      <c r="BH1" s="104" t="n">
        <v>59</v>
      </c>
      <c r="BI1" s="104" t="n">
        <v>60</v>
      </c>
      <c r="BJ1" s="104" t="n">
        <v>61</v>
      </c>
      <c r="BK1" s="104" t="n">
        <v>62</v>
      </c>
      <c r="BL1" s="104" t="n">
        <v>63</v>
      </c>
      <c r="BM1" s="104" t="n">
        <v>64</v>
      </c>
      <c r="BN1" s="104" t="n">
        <v>65</v>
      </c>
      <c r="BO1" s="104" t="n">
        <v>66</v>
      </c>
      <c r="BP1" s="104" t="n">
        <v>67</v>
      </c>
      <c r="BQ1" s="104" t="n">
        <v>68</v>
      </c>
      <c r="BR1" s="104" t="n">
        <v>69</v>
      </c>
      <c r="BS1" s="104" t="n">
        <v>70</v>
      </c>
      <c r="BT1" s="104" t="n">
        <v>71</v>
      </c>
      <c r="BU1" s="104" t="n">
        <v>72</v>
      </c>
      <c r="BV1" s="104" t="n">
        <v>73</v>
      </c>
      <c r="BW1" s="104" t="n">
        <v>74</v>
      </c>
      <c r="BX1" s="104" t="n">
        <v>75</v>
      </c>
      <c r="BY1" s="104" t="n">
        <v>76</v>
      </c>
      <c r="BZ1" s="104" t="s">
        <v>195</v>
      </c>
      <c r="CA1" s="104" t="s">
        <v>196</v>
      </c>
      <c r="CB1" s="104" t="s">
        <v>197</v>
      </c>
      <c r="CC1" s="104" t="s">
        <v>198</v>
      </c>
      <c r="CD1" s="104" t="s">
        <v>199</v>
      </c>
      <c r="CE1" s="104" t="s">
        <v>200</v>
      </c>
    </row>
    <row r="2" customFormat="false" ht="15" hidden="false" customHeight="false" outlineLevel="0" collapsed="false">
      <c r="A2" s="158" t="s">
        <v>30</v>
      </c>
      <c r="B2" s="159" t="n">
        <f aca="true">RAND()</f>
        <v>0.632779248930364</v>
      </c>
      <c r="C2" s="159" t="n">
        <f aca="true">RAND()</f>
        <v>0.891136508932564</v>
      </c>
      <c r="D2" s="159" t="n">
        <f aca="true">RAND()</f>
        <v>0.622328769371373</v>
      </c>
      <c r="E2" s="159" t="n">
        <f aca="true">RAND()</f>
        <v>0.202825309439065</v>
      </c>
      <c r="F2" s="159" t="n">
        <f aca="true">RAND()</f>
        <v>0.849980479777695</v>
      </c>
      <c r="G2" s="159" t="n">
        <f aca="true">RAND()</f>
        <v>0.300153368908091</v>
      </c>
      <c r="H2" s="159" t="n">
        <f aca="true">RAND()</f>
        <v>0.718444032185045</v>
      </c>
      <c r="I2" s="159" t="n">
        <f aca="true">RAND()</f>
        <v>0.334440124313169</v>
      </c>
      <c r="J2" s="159" t="n">
        <f aca="true">RAND()</f>
        <v>0.604908472151163</v>
      </c>
      <c r="K2" s="159" t="n">
        <f aca="true">RAND()</f>
        <v>0.00497636511559213</v>
      </c>
      <c r="L2" s="159" t="n">
        <f aca="true">RAND()</f>
        <v>0.892200246014674</v>
      </c>
      <c r="M2" s="159" t="n">
        <f aca="true">RAND()</f>
        <v>0.959705784798208</v>
      </c>
      <c r="N2" s="159" t="n">
        <f aca="true">RAND()</f>
        <v>0.730503645486084</v>
      </c>
      <c r="O2" s="159" t="n">
        <f aca="true">RAND()</f>
        <v>0.961123105829973</v>
      </c>
      <c r="P2" s="159" t="n">
        <f aca="true">RAND()</f>
        <v>0.244036976186698</v>
      </c>
      <c r="Q2" s="159" t="n">
        <f aca="true">RAND()</f>
        <v>0.952412245661314</v>
      </c>
      <c r="R2" s="159" t="n">
        <f aca="true">RAND()</f>
        <v>0.534268137913349</v>
      </c>
      <c r="S2" s="159" t="n">
        <f aca="true">RAND()</f>
        <v>0.443400754725971</v>
      </c>
      <c r="T2" s="159" t="n">
        <f aca="true">RAND()</f>
        <v>0.382121448908322</v>
      </c>
      <c r="U2" s="159" t="n">
        <f aca="true">RAND()</f>
        <v>0.391137386936721</v>
      </c>
      <c r="V2" s="159" t="n">
        <f aca="true">RAND()</f>
        <v>0.476777179377308</v>
      </c>
      <c r="W2" s="159" t="n">
        <f aca="true">RAND()</f>
        <v>0.164268166220218</v>
      </c>
      <c r="X2" s="159" t="n">
        <f aca="true">RAND()</f>
        <v>0.0198451089460715</v>
      </c>
      <c r="Y2" s="159" t="n">
        <f aca="true">RAND()</f>
        <v>0.358827897791579</v>
      </c>
      <c r="Z2" s="159" t="n">
        <f aca="true">RAND()</f>
        <v>0.990670626653499</v>
      </c>
      <c r="AA2" s="159" t="n">
        <f aca="true">RAND()</f>
        <v>0.0777482888397657</v>
      </c>
      <c r="AB2" s="159" t="n">
        <f aca="true">RAND()</f>
        <v>0.518957167879712</v>
      </c>
      <c r="AC2" s="159" t="n">
        <f aca="true">RAND()</f>
        <v>0.992106746583301</v>
      </c>
      <c r="AD2" s="159" t="n">
        <f aca="true">RAND()</f>
        <v>0.16333456785868</v>
      </c>
      <c r="AE2" s="159" t="n">
        <f aca="true">RAND()</f>
        <v>0.421711208771363</v>
      </c>
      <c r="AF2" s="159" t="n">
        <f aca="true">RAND()</f>
        <v>0.948920038300969</v>
      </c>
      <c r="AG2" s="159" t="n">
        <f aca="true">RAND()</f>
        <v>0.242578010349068</v>
      </c>
      <c r="AH2" s="159" t="n">
        <f aca="true">RAND()</f>
        <v>0.419615017512858</v>
      </c>
      <c r="AI2" s="159" t="n">
        <f aca="true">RAND()</f>
        <v>0.247147242713166</v>
      </c>
      <c r="AJ2" s="159" t="n">
        <f aca="true">RAND()</f>
        <v>0.499320338037244</v>
      </c>
      <c r="AK2" s="159" t="n">
        <f aca="true">RAND()</f>
        <v>0.928093780316961</v>
      </c>
      <c r="AL2" s="159" t="n">
        <f aca="true">RAND()</f>
        <v>0.488879876398244</v>
      </c>
      <c r="AM2" s="159" t="n">
        <f aca="true">RAND()</f>
        <v>0.510681336520725</v>
      </c>
      <c r="AN2" s="159" t="n">
        <f aca="true">RAND()</f>
        <v>0.113252172133587</v>
      </c>
      <c r="AO2" s="159" t="n">
        <f aca="true">RAND()</f>
        <v>0.995454774519154</v>
      </c>
      <c r="AP2" s="159" t="n">
        <f aca="true">RAND()</f>
        <v>0.0308199445023663</v>
      </c>
      <c r="AQ2" s="159" t="n">
        <f aca="true">RAND()</f>
        <v>0.845174884236971</v>
      </c>
      <c r="AR2" s="159" t="n">
        <f aca="true">RAND()</f>
        <v>0.0175127549780908</v>
      </c>
      <c r="AS2" s="159" t="n">
        <f aca="true">RAND()</f>
        <v>0.520882998149161</v>
      </c>
      <c r="AT2" s="159" t="n">
        <f aca="true">RAND()</f>
        <v>0.652621647459095</v>
      </c>
      <c r="AU2" s="159" t="n">
        <f aca="true">RAND()</f>
        <v>0.482069891657245</v>
      </c>
      <c r="AV2" s="159" t="n">
        <f aca="true">RAND()</f>
        <v>0.402825601156678</v>
      </c>
      <c r="AW2" s="159" t="n">
        <f aca="true">RAND()</f>
        <v>0.276902149927017</v>
      </c>
      <c r="AX2" s="159" t="n">
        <f aca="true">RAND()</f>
        <v>0.000989877439824584</v>
      </c>
      <c r="AY2" s="159" t="n">
        <f aca="true">RAND()</f>
        <v>0.569488264056064</v>
      </c>
      <c r="AZ2" s="159" t="n">
        <f aca="true">RAND()</f>
        <v>0.874217784683005</v>
      </c>
      <c r="BA2" s="159" t="n">
        <f aca="true">RAND()</f>
        <v>0.324731685126185</v>
      </c>
      <c r="BB2" s="159" t="n">
        <f aca="true">RAND()</f>
        <v>0.836214669765812</v>
      </c>
      <c r="BC2" s="159" t="n">
        <f aca="true">RAND()</f>
        <v>0.115952364967373</v>
      </c>
      <c r="BD2" s="159" t="n">
        <f aca="true">RAND()</f>
        <v>0.145109794817477</v>
      </c>
      <c r="BE2" s="159" t="n">
        <f aca="true">RAND()</f>
        <v>0.0675248120657774</v>
      </c>
      <c r="BF2" s="159" t="n">
        <f aca="true">RAND()</f>
        <v>0.732184408298851</v>
      </c>
      <c r="BG2" s="159" t="n">
        <f aca="true">RAND()</f>
        <v>0.975114774136447</v>
      </c>
      <c r="BH2" s="159" t="n">
        <f aca="true">RAND()</f>
        <v>0.569151835196463</v>
      </c>
      <c r="BI2" s="159" t="n">
        <f aca="true">RAND()</f>
        <v>0.695393845671461</v>
      </c>
      <c r="BJ2" s="159" t="n">
        <f aca="true">RAND()</f>
        <v>0.882539329773774</v>
      </c>
      <c r="BK2" s="159" t="n">
        <f aca="true">RAND()</f>
        <v>0.473647999646516</v>
      </c>
      <c r="BL2" s="159" t="n">
        <f aca="true">RAND()</f>
        <v>0.8939062633112</v>
      </c>
      <c r="BM2" s="159" t="n">
        <f aca="true">RAND()</f>
        <v>0.292199796231297</v>
      </c>
      <c r="BN2" s="159" t="n">
        <f aca="true">RAND()</f>
        <v>0.914467607690138</v>
      </c>
      <c r="BO2" s="159" t="n">
        <f aca="true">RAND()</f>
        <v>0.895622140017063</v>
      </c>
      <c r="BP2" s="159" t="n">
        <f aca="true">RAND()</f>
        <v>0.319372759239634</v>
      </c>
      <c r="BQ2" s="159" t="n">
        <f aca="true">RAND()</f>
        <v>0.788291011277597</v>
      </c>
      <c r="BR2" s="159" t="n">
        <f aca="true">RAND()</f>
        <v>0.604749999794358</v>
      </c>
      <c r="BS2" s="159" t="n">
        <f aca="true">RAND()</f>
        <v>0.460066921446253</v>
      </c>
      <c r="BT2" s="159" t="n">
        <f aca="true">RAND()</f>
        <v>0.890598809271468</v>
      </c>
      <c r="BU2" s="159" t="n">
        <f aca="true">RAND()</f>
        <v>0.798766411747729</v>
      </c>
      <c r="BV2" s="159" t="n">
        <f aca="true">RAND()</f>
        <v>0.829466827101855</v>
      </c>
      <c r="BW2" s="159" t="n">
        <f aca="true">RAND()</f>
        <v>0.147550410723926</v>
      </c>
      <c r="BX2" s="159" t="n">
        <f aca="true">RAND()</f>
        <v>0.0677932911500175</v>
      </c>
      <c r="BY2" s="159" t="n">
        <f aca="true">RAND()</f>
        <v>0.0688908062522037</v>
      </c>
      <c r="BZ2" s="160" t="n">
        <f aca="false">Simulator!J5*Simulator!$D$5+Simulator!K5*Simulator!$D$6+Simulator!L5*Simulator!$D$7+Simulator!M5*Simulator!$D$8+Simulator!N5*Simulator!$D$9+Simulator!O5*Simulator!$D$10</f>
        <v>0.658211588579549</v>
      </c>
      <c r="CA2" s="160" t="n">
        <f aca="false">IF($BZ2=0,0.1667,(Simulator!J5*Simulator!$D$5)/$BZ2)</f>
        <v>0.311286390651533</v>
      </c>
      <c r="CB2" s="160" t="n">
        <f aca="false">IF($BZ2=0,0.3333,(Simulator!J5*Simulator!$D$5+Simulator!K5*Simulator!$D$6)/$BZ2)</f>
        <v>0.879304445064779</v>
      </c>
      <c r="CC2" s="160" t="n">
        <f aca="false">IF($BZ2=0,0.5,(Simulator!J5*Simulator!$D$5+Simulator!K5*Simulator!$D$6+Simulator!L5*Simulator!$D$7)/$BZ2)</f>
        <v>0.944518462726516</v>
      </c>
      <c r="CD2" s="160" t="n">
        <f aca="false">IF($BZ2=0,0.6667,(Simulator!J5*Simulator!$D$5+Simulator!K5*Simulator!$D$6+Simulator!L5*Simulator!$D$7+Simulator!M5*Simulator!$D$8)/$BZ2)</f>
        <v>0.994476151935253</v>
      </c>
      <c r="CE2" s="160" t="n">
        <f aca="false">IF($BZ2=0,0.8333,(Simulator!J5*Simulator!$D$5+Simulator!K5*Simulator!$D$6+Simulator!L5*Simulator!$D$7+Simulator!M5*Simulator!$D$8+Simulator!N5*Simulator!$D$9)/$BZ2)</f>
        <v>0.999703325854688</v>
      </c>
    </row>
    <row r="3" customFormat="false" ht="15" hidden="false" customHeight="false" outlineLevel="0" collapsed="false">
      <c r="A3" s="158" t="s">
        <v>33</v>
      </c>
      <c r="B3" s="159" t="n">
        <f aca="true">RAND()</f>
        <v>0.956860798033791</v>
      </c>
      <c r="C3" s="159" t="n">
        <f aca="true">RAND()</f>
        <v>0.233082962922586</v>
      </c>
      <c r="D3" s="159" t="n">
        <f aca="true">RAND()</f>
        <v>0.0542185012467689</v>
      </c>
      <c r="E3" s="159" t="n">
        <f aca="true">RAND()</f>
        <v>0.768606424061789</v>
      </c>
      <c r="F3" s="159" t="n">
        <f aca="true">RAND()</f>
        <v>0.45285568504184</v>
      </c>
      <c r="G3" s="159" t="n">
        <f aca="true">RAND()</f>
        <v>0.646939135774577</v>
      </c>
      <c r="H3" s="159" t="n">
        <f aca="true">RAND()</f>
        <v>0.980147458460905</v>
      </c>
      <c r="I3" s="159" t="n">
        <f aca="true">RAND()</f>
        <v>0.482791525026693</v>
      </c>
      <c r="J3" s="159" t="n">
        <f aca="true">RAND()</f>
        <v>0.238043304944986</v>
      </c>
      <c r="K3" s="159" t="n">
        <f aca="true">RAND()</f>
        <v>0.159063958367553</v>
      </c>
      <c r="L3" s="159" t="n">
        <f aca="true">RAND()</f>
        <v>0.970480164231744</v>
      </c>
      <c r="M3" s="159" t="n">
        <f aca="true">RAND()</f>
        <v>0.554398713705532</v>
      </c>
      <c r="N3" s="159" t="n">
        <f aca="true">RAND()</f>
        <v>0.867270784857067</v>
      </c>
      <c r="O3" s="159" t="n">
        <f aca="true">RAND()</f>
        <v>0.556573774114766</v>
      </c>
      <c r="P3" s="159" t="n">
        <f aca="true">RAND()</f>
        <v>0.867241510405243</v>
      </c>
      <c r="Q3" s="159" t="n">
        <f aca="true">RAND()</f>
        <v>0.483517575939392</v>
      </c>
      <c r="R3" s="159" t="n">
        <f aca="true">RAND()</f>
        <v>0.380189803221303</v>
      </c>
      <c r="S3" s="159" t="n">
        <f aca="true">RAND()</f>
        <v>0.582614931922341</v>
      </c>
      <c r="T3" s="159" t="n">
        <f aca="true">RAND()</f>
        <v>0.514022641550278</v>
      </c>
      <c r="U3" s="159" t="n">
        <f aca="true">RAND()</f>
        <v>0.289824436607278</v>
      </c>
      <c r="V3" s="159" t="n">
        <f aca="true">RAND()</f>
        <v>0.668232206303462</v>
      </c>
      <c r="W3" s="159" t="n">
        <f aca="true">RAND()</f>
        <v>0.0963063046647259</v>
      </c>
      <c r="X3" s="159" t="n">
        <f aca="true">RAND()</f>
        <v>0.602280464998765</v>
      </c>
      <c r="Y3" s="159" t="n">
        <f aca="true">RAND()</f>
        <v>0.819820670587252</v>
      </c>
      <c r="Z3" s="159" t="n">
        <f aca="true">RAND()</f>
        <v>0.889428451593353</v>
      </c>
      <c r="AA3" s="159" t="n">
        <f aca="true">RAND()</f>
        <v>0.0437661539074667</v>
      </c>
      <c r="AB3" s="159" t="n">
        <f aca="true">RAND()</f>
        <v>0.404136592463252</v>
      </c>
      <c r="AC3" s="159" t="n">
        <f aca="true">RAND()</f>
        <v>0.428410471811629</v>
      </c>
      <c r="AD3" s="159" t="n">
        <f aca="true">RAND()</f>
        <v>0.16881882405738</v>
      </c>
      <c r="AE3" s="159" t="n">
        <f aca="true">RAND()</f>
        <v>0.00144576284882729</v>
      </c>
      <c r="AF3" s="159" t="n">
        <f aca="true">RAND()</f>
        <v>0.969224553397179</v>
      </c>
      <c r="AG3" s="159" t="n">
        <f aca="true">RAND()</f>
        <v>0.240467124948669</v>
      </c>
      <c r="AH3" s="159" t="n">
        <f aca="true">RAND()</f>
        <v>0.53311495239614</v>
      </c>
      <c r="AI3" s="159" t="n">
        <f aca="true">RAND()</f>
        <v>0.43872058671461</v>
      </c>
      <c r="AJ3" s="159" t="n">
        <f aca="true">RAND()</f>
        <v>0.436713695810435</v>
      </c>
      <c r="AK3" s="159" t="n">
        <f aca="true">RAND()</f>
        <v>0.201222825689895</v>
      </c>
      <c r="AL3" s="159" t="n">
        <f aca="true">RAND()</f>
        <v>0.684759093094756</v>
      </c>
      <c r="AM3" s="159" t="n">
        <f aca="true">RAND()</f>
        <v>0.518712428196044</v>
      </c>
      <c r="AN3" s="159" t="n">
        <f aca="true">RAND()</f>
        <v>0.792915612465283</v>
      </c>
      <c r="AO3" s="159" t="n">
        <f aca="true">RAND()</f>
        <v>0.941220474379237</v>
      </c>
      <c r="AP3" s="159" t="n">
        <f aca="true">RAND()</f>
        <v>0.297657226717485</v>
      </c>
      <c r="AQ3" s="159" t="n">
        <f aca="true">RAND()</f>
        <v>0.994431575683919</v>
      </c>
      <c r="AR3" s="159" t="n">
        <f aca="true">RAND()</f>
        <v>0.23515015832934</v>
      </c>
      <c r="AS3" s="159" t="n">
        <f aca="true">RAND()</f>
        <v>0.199623859133524</v>
      </c>
      <c r="AT3" s="159" t="n">
        <f aca="true">RAND()</f>
        <v>0.181727409939621</v>
      </c>
      <c r="AU3" s="159" t="n">
        <f aca="true">RAND()</f>
        <v>0.60731981140181</v>
      </c>
      <c r="AV3" s="159" t="n">
        <f aca="true">RAND()</f>
        <v>0.664738937288998</v>
      </c>
      <c r="AW3" s="159" t="n">
        <f aca="true">RAND()</f>
        <v>0.444044005345228</v>
      </c>
      <c r="AX3" s="159" t="n">
        <f aca="true">RAND()</f>
        <v>0.540899420475283</v>
      </c>
      <c r="AY3" s="159" t="n">
        <f aca="true">RAND()</f>
        <v>0.816918231433999</v>
      </c>
      <c r="AZ3" s="159" t="n">
        <f aca="true">RAND()</f>
        <v>0.718142142711242</v>
      </c>
      <c r="BA3" s="159" t="n">
        <f aca="true">RAND()</f>
        <v>0.679610590274283</v>
      </c>
      <c r="BB3" s="159" t="n">
        <f aca="true">RAND()</f>
        <v>0.159749543544791</v>
      </c>
      <c r="BC3" s="159" t="n">
        <f aca="true">RAND()</f>
        <v>0.200632360750501</v>
      </c>
      <c r="BD3" s="159" t="n">
        <f aca="true">RAND()</f>
        <v>0.325598535794357</v>
      </c>
      <c r="BE3" s="159" t="n">
        <f aca="true">RAND()</f>
        <v>0.732657025656162</v>
      </c>
      <c r="BF3" s="159" t="n">
        <f aca="true">RAND()</f>
        <v>0.820231646815784</v>
      </c>
      <c r="BG3" s="159" t="n">
        <f aca="true">RAND()</f>
        <v>0.712434508813003</v>
      </c>
      <c r="BH3" s="159" t="n">
        <f aca="true">RAND()</f>
        <v>0.327205584538884</v>
      </c>
      <c r="BI3" s="159" t="n">
        <f aca="true">RAND()</f>
        <v>0.543635846729229</v>
      </c>
      <c r="BJ3" s="159" t="n">
        <f aca="true">RAND()</f>
        <v>0.0413711565519989</v>
      </c>
      <c r="BK3" s="159" t="n">
        <f aca="true">RAND()</f>
        <v>0.982221718395215</v>
      </c>
      <c r="BL3" s="159" t="n">
        <f aca="true">RAND()</f>
        <v>0.146162139962831</v>
      </c>
      <c r="BM3" s="159" t="n">
        <f aca="true">RAND()</f>
        <v>0.925987577414827</v>
      </c>
      <c r="BN3" s="159" t="n">
        <f aca="true">RAND()</f>
        <v>0.593476699682743</v>
      </c>
      <c r="BO3" s="159" t="n">
        <f aca="true">RAND()</f>
        <v>0.576400676889233</v>
      </c>
      <c r="BP3" s="159" t="n">
        <f aca="true">RAND()</f>
        <v>0.564087539319688</v>
      </c>
      <c r="BQ3" s="159" t="n">
        <f aca="true">RAND()</f>
        <v>0.290562535740903</v>
      </c>
      <c r="BR3" s="159" t="n">
        <f aca="true">RAND()</f>
        <v>0.853254688798596</v>
      </c>
      <c r="BS3" s="159" t="n">
        <f aca="true">RAND()</f>
        <v>0.0842022763233666</v>
      </c>
      <c r="BT3" s="159" t="n">
        <f aca="true">RAND()</f>
        <v>0.0444594423659674</v>
      </c>
      <c r="BU3" s="159" t="n">
        <f aca="true">RAND()</f>
        <v>0.779932098561285</v>
      </c>
      <c r="BV3" s="159" t="n">
        <f aca="true">RAND()</f>
        <v>0.473712283270578</v>
      </c>
      <c r="BW3" s="159" t="n">
        <f aca="true">RAND()</f>
        <v>0.0163022977426765</v>
      </c>
      <c r="BX3" s="159" t="n">
        <f aca="true">RAND()</f>
        <v>0.250293839887693</v>
      </c>
      <c r="BY3" s="159" t="n">
        <f aca="true">RAND()</f>
        <v>0.0237003112627502</v>
      </c>
      <c r="BZ3" s="160" t="n">
        <f aca="false">Simulator!J6*Simulator!$D$5+Simulator!K6*Simulator!$D$6+Simulator!L6*Simulator!$D$7+Simulator!M6*Simulator!$D$8+Simulator!N6*Simulator!$D$9+Simulator!O6*Simulator!$D$10</f>
        <v>0.658460571076827</v>
      </c>
      <c r="CA3" s="160" t="n">
        <f aca="false">IF($BZ3=0,0.1667,(Simulator!J6*Simulator!$D$5)/$BZ3)</f>
        <v>0.294313729092739</v>
      </c>
      <c r="CB3" s="160" t="n">
        <f aca="false">IF($BZ3=0,0.3333,(Simulator!J6*Simulator!$D$5+Simulator!K6*Simulator!$D$6)/$BZ3)</f>
        <v>0.883391563203907</v>
      </c>
      <c r="CC3" s="160" t="n">
        <f aca="false">IF($BZ3=0,0.5,(Simulator!J6*Simulator!$D$5+Simulator!K6*Simulator!$D$6+Simulator!L6*Simulator!$D$7)/$BZ3)</f>
        <v>0.951891489008579</v>
      </c>
      <c r="CD3" s="160" t="n">
        <f aca="false">IF($BZ3=0,0.6667,(Simulator!J6*Simulator!$D$5+Simulator!K6*Simulator!$D$6+Simulator!L6*Simulator!$D$7+Simulator!M6*Simulator!$D$8)/$BZ3)</f>
        <v>0.993689026542465</v>
      </c>
      <c r="CE3" s="160" t="n">
        <f aca="false">IF($BZ3=0,0.8333,(Simulator!J6*Simulator!$D$5+Simulator!K6*Simulator!$D$6+Simulator!L6*Simulator!$D$7+Simulator!M6*Simulator!$D$8+Simulator!N6*Simulator!$D$9)/$BZ3)</f>
        <v>0.999703438035542</v>
      </c>
    </row>
    <row r="4" customFormat="false" ht="15" hidden="false" customHeight="false" outlineLevel="0" collapsed="false">
      <c r="A4" s="158" t="s">
        <v>36</v>
      </c>
      <c r="B4" s="159" t="n">
        <f aca="true">RAND()</f>
        <v>0.173386579264812</v>
      </c>
      <c r="C4" s="159" t="n">
        <f aca="true">RAND()</f>
        <v>0.882592110022002</v>
      </c>
      <c r="D4" s="159" t="n">
        <f aca="true">RAND()</f>
        <v>0.538095023429242</v>
      </c>
      <c r="E4" s="159" t="n">
        <f aca="true">RAND()</f>
        <v>0.0962056909008246</v>
      </c>
      <c r="F4" s="159" t="n">
        <f aca="true">RAND()</f>
        <v>0.289774653485147</v>
      </c>
      <c r="G4" s="159" t="n">
        <f aca="true">RAND()</f>
        <v>0.842617125230316</v>
      </c>
      <c r="H4" s="159" t="n">
        <f aca="true">RAND()</f>
        <v>0.583758457574537</v>
      </c>
      <c r="I4" s="159" t="n">
        <f aca="true">RAND()</f>
        <v>0.293824528034744</v>
      </c>
      <c r="J4" s="159" t="n">
        <f aca="true">RAND()</f>
        <v>0.27078599511028</v>
      </c>
      <c r="K4" s="159" t="n">
        <f aca="true">RAND()</f>
        <v>0.515604957527207</v>
      </c>
      <c r="L4" s="159" t="n">
        <f aca="true">RAND()</f>
        <v>0.0959592348444787</v>
      </c>
      <c r="M4" s="159" t="n">
        <f aca="true">RAND()</f>
        <v>0.577419826976999</v>
      </c>
      <c r="N4" s="159" t="n">
        <f aca="true">RAND()</f>
        <v>0.519859916462099</v>
      </c>
      <c r="O4" s="159" t="n">
        <f aca="true">RAND()</f>
        <v>0.0755177948173628</v>
      </c>
      <c r="P4" s="159" t="n">
        <f aca="true">RAND()</f>
        <v>0.695613284584877</v>
      </c>
      <c r="Q4" s="159" t="n">
        <f aca="true">RAND()</f>
        <v>0.763245768226168</v>
      </c>
      <c r="R4" s="159" t="n">
        <f aca="true">RAND()</f>
        <v>0.693075667415938</v>
      </c>
      <c r="S4" s="159" t="n">
        <f aca="true">RAND()</f>
        <v>0.51432564690205</v>
      </c>
      <c r="T4" s="159" t="n">
        <f aca="true">RAND()</f>
        <v>0.0529337329214611</v>
      </c>
      <c r="U4" s="159" t="n">
        <f aca="true">RAND()</f>
        <v>0.770661684088569</v>
      </c>
      <c r="V4" s="159" t="n">
        <f aca="true">RAND()</f>
        <v>0.207018688010914</v>
      </c>
      <c r="W4" s="159" t="n">
        <f aca="true">RAND()</f>
        <v>0.335908003604637</v>
      </c>
      <c r="X4" s="159" t="n">
        <f aca="true">RAND()</f>
        <v>0.385103168193402</v>
      </c>
      <c r="Y4" s="159" t="n">
        <f aca="true">RAND()</f>
        <v>0.291194262995188</v>
      </c>
      <c r="Z4" s="159" t="n">
        <f aca="true">RAND()</f>
        <v>0.476930044753647</v>
      </c>
      <c r="AA4" s="159" t="n">
        <f aca="true">RAND()</f>
        <v>0.4294547982559</v>
      </c>
      <c r="AB4" s="159" t="n">
        <f aca="true">RAND()</f>
        <v>0.717120013400879</v>
      </c>
      <c r="AC4" s="159" t="n">
        <f aca="true">RAND()</f>
        <v>0.846608767307569</v>
      </c>
      <c r="AD4" s="159" t="n">
        <f aca="true">RAND()</f>
        <v>0.554127269966242</v>
      </c>
      <c r="AE4" s="159" t="n">
        <f aca="true">RAND()</f>
        <v>0.988726943898648</v>
      </c>
      <c r="AF4" s="159" t="n">
        <f aca="true">RAND()</f>
        <v>0.740429948720462</v>
      </c>
      <c r="AG4" s="159" t="n">
        <f aca="true">RAND()</f>
        <v>0.710590988914431</v>
      </c>
      <c r="AH4" s="159" t="n">
        <f aca="true">RAND()</f>
        <v>0.983452044288227</v>
      </c>
      <c r="AI4" s="159" t="n">
        <f aca="true">RAND()</f>
        <v>0.634978675924417</v>
      </c>
      <c r="AJ4" s="159" t="n">
        <f aca="true">RAND()</f>
        <v>0.00389011120430447</v>
      </c>
      <c r="AK4" s="159" t="n">
        <f aca="true">RAND()</f>
        <v>0.88102040094599</v>
      </c>
      <c r="AL4" s="159" t="n">
        <f aca="true">RAND()</f>
        <v>0.335407722594899</v>
      </c>
      <c r="AM4" s="159" t="n">
        <f aca="true">RAND()</f>
        <v>0.946601406512488</v>
      </c>
      <c r="AN4" s="159" t="n">
        <f aca="true">RAND()</f>
        <v>0.483571902111383</v>
      </c>
      <c r="AO4" s="159" t="n">
        <f aca="true">RAND()</f>
        <v>0.651574810380268</v>
      </c>
      <c r="AP4" s="159" t="n">
        <f aca="true">RAND()</f>
        <v>0.43955755116208</v>
      </c>
      <c r="AQ4" s="159" t="n">
        <f aca="true">RAND()</f>
        <v>0.761275488381343</v>
      </c>
      <c r="AR4" s="159" t="n">
        <f aca="true">RAND()</f>
        <v>0.458455177269595</v>
      </c>
      <c r="AS4" s="159" t="n">
        <f aca="true">RAND()</f>
        <v>0.777910421564355</v>
      </c>
      <c r="AT4" s="159" t="n">
        <f aca="true">RAND()</f>
        <v>0.602482467327404</v>
      </c>
      <c r="AU4" s="159" t="n">
        <f aca="true">RAND()</f>
        <v>0.399691620418664</v>
      </c>
      <c r="AV4" s="159" t="n">
        <f aca="true">RAND()</f>
        <v>0.326449228376113</v>
      </c>
      <c r="AW4" s="159" t="n">
        <f aca="true">RAND()</f>
        <v>0.522785565343603</v>
      </c>
      <c r="AX4" s="159" t="n">
        <f aca="true">RAND()</f>
        <v>0.529196911067942</v>
      </c>
      <c r="AY4" s="159" t="n">
        <f aca="true">RAND()</f>
        <v>0.0137860563838301</v>
      </c>
      <c r="AZ4" s="159" t="n">
        <f aca="true">RAND()</f>
        <v>0.9835944713633</v>
      </c>
      <c r="BA4" s="159" t="n">
        <f aca="true">RAND()</f>
        <v>0.722260727587896</v>
      </c>
      <c r="BB4" s="159" t="n">
        <f aca="true">RAND()</f>
        <v>0.542159959420209</v>
      </c>
      <c r="BC4" s="159" t="n">
        <f aca="true">RAND()</f>
        <v>0.787092283597223</v>
      </c>
      <c r="BD4" s="159" t="n">
        <f aca="true">RAND()</f>
        <v>0.326086208992775</v>
      </c>
      <c r="BE4" s="159" t="n">
        <f aca="true">RAND()</f>
        <v>0.70014296162334</v>
      </c>
      <c r="BF4" s="159" t="n">
        <f aca="true">RAND()</f>
        <v>0.280494953647972</v>
      </c>
      <c r="BG4" s="159" t="n">
        <f aca="true">RAND()</f>
        <v>0.113467933387184</v>
      </c>
      <c r="BH4" s="159" t="n">
        <f aca="true">RAND()</f>
        <v>0.631140867114156</v>
      </c>
      <c r="BI4" s="159" t="n">
        <f aca="true">RAND()</f>
        <v>0.0478123052700635</v>
      </c>
      <c r="BJ4" s="159" t="n">
        <f aca="true">RAND()</f>
        <v>0.704475606675722</v>
      </c>
      <c r="BK4" s="159" t="n">
        <f aca="true">RAND()</f>
        <v>0.492690912772045</v>
      </c>
      <c r="BL4" s="159" t="n">
        <f aca="true">RAND()</f>
        <v>0.477274581653257</v>
      </c>
      <c r="BM4" s="159" t="n">
        <f aca="true">RAND()</f>
        <v>0.273029584652147</v>
      </c>
      <c r="BN4" s="159" t="n">
        <f aca="true">RAND()</f>
        <v>0.396083508338708</v>
      </c>
      <c r="BO4" s="159" t="n">
        <f aca="true">RAND()</f>
        <v>0.209531032636983</v>
      </c>
      <c r="BP4" s="159" t="n">
        <f aca="true">RAND()</f>
        <v>0.532754935748299</v>
      </c>
      <c r="BQ4" s="159" t="n">
        <f aca="true">RAND()</f>
        <v>0.0835355828203973</v>
      </c>
      <c r="BR4" s="159" t="n">
        <f aca="true">RAND()</f>
        <v>0.474718700586786</v>
      </c>
      <c r="BS4" s="159" t="n">
        <f aca="true">RAND()</f>
        <v>0.539592042903433</v>
      </c>
      <c r="BT4" s="159" t="n">
        <f aca="true">RAND()</f>
        <v>0.186100816961427</v>
      </c>
      <c r="BU4" s="159" t="n">
        <f aca="true">RAND()</f>
        <v>0.571502606145317</v>
      </c>
      <c r="BV4" s="159" t="n">
        <f aca="true">RAND()</f>
        <v>0.856503782120375</v>
      </c>
      <c r="BW4" s="159" t="n">
        <f aca="true">RAND()</f>
        <v>0.583262136223113</v>
      </c>
      <c r="BX4" s="159" t="n">
        <f aca="true">RAND()</f>
        <v>0.600452078497602</v>
      </c>
      <c r="BY4" s="159" t="n">
        <f aca="true">RAND()</f>
        <v>0.810731403501018</v>
      </c>
      <c r="BZ4" s="160" t="n">
        <f aca="false">Simulator!J7*Simulator!$D$5+Simulator!K7*Simulator!$D$6+Simulator!L7*Simulator!$D$7+Simulator!M7*Simulator!$D$8+Simulator!N7*Simulator!$D$9+Simulator!O7*Simulator!$D$10</f>
        <v>0.672330804297991</v>
      </c>
      <c r="CA4" s="160" t="n">
        <f aca="false">IF($BZ4=0,0.1667,(Simulator!J7*Simulator!$D$5)/$BZ4)</f>
        <v>0.330787022262833</v>
      </c>
      <c r="CB4" s="160" t="n">
        <f aca="false">IF($BZ4=0,0.3333,(Simulator!J7*Simulator!$D$5+Simulator!K7*Simulator!$D$6)/$BZ4)</f>
        <v>0.885527952152735</v>
      </c>
      <c r="CC4" s="160" t="n">
        <f aca="false">IF($BZ4=0,0.5,(Simulator!J7*Simulator!$D$5+Simulator!K7*Simulator!$D$6+Simulator!L7*Simulator!$D$7)/$BZ4)</f>
        <v>0.942806889553259</v>
      </c>
      <c r="CD4" s="160" t="n">
        <f aca="false">IF($BZ4=0,0.6667,(Simulator!J7*Simulator!$D$5+Simulator!K7*Simulator!$D$6+Simulator!L7*Simulator!$D$7+Simulator!M7*Simulator!$D$8)/$BZ4)</f>
        <v>0.995040299222619</v>
      </c>
      <c r="CE4" s="160" t="n">
        <f aca="false">IF($BZ4=0,0.8333,(Simulator!J7*Simulator!$D$5+Simulator!K7*Simulator!$D$6+Simulator!L7*Simulator!$D$7+Simulator!M7*Simulator!$D$8+Simulator!N7*Simulator!$D$9)/$BZ4)</f>
        <v>0.999709556130363</v>
      </c>
    </row>
    <row r="5" customFormat="false" ht="15" hidden="false" customHeight="false" outlineLevel="0" collapsed="false">
      <c r="A5" s="158" t="s">
        <v>39</v>
      </c>
      <c r="B5" s="159" t="n">
        <f aca="true">RAND()</f>
        <v>0.824027748788553</v>
      </c>
      <c r="C5" s="159" t="n">
        <f aca="true">RAND()</f>
        <v>0.77189568049379</v>
      </c>
      <c r="D5" s="159" t="n">
        <f aca="true">RAND()</f>
        <v>0.350432201060955</v>
      </c>
      <c r="E5" s="159" t="n">
        <f aca="true">RAND()</f>
        <v>0.587244918366867</v>
      </c>
      <c r="F5" s="159" t="n">
        <f aca="true">RAND()</f>
        <v>0.74185987676666</v>
      </c>
      <c r="G5" s="159" t="n">
        <f aca="true">RAND()</f>
        <v>0.617044497100238</v>
      </c>
      <c r="H5" s="159" t="n">
        <f aca="true">RAND()</f>
        <v>0.0643936900591942</v>
      </c>
      <c r="I5" s="159" t="n">
        <f aca="true">RAND()</f>
        <v>0.15973906613913</v>
      </c>
      <c r="J5" s="159" t="n">
        <f aca="true">RAND()</f>
        <v>0.490488442233561</v>
      </c>
      <c r="K5" s="159" t="n">
        <f aca="true">RAND()</f>
        <v>0.869430203438879</v>
      </c>
      <c r="L5" s="159" t="n">
        <f aca="true">RAND()</f>
        <v>0.554309718702902</v>
      </c>
      <c r="M5" s="159" t="n">
        <f aca="true">RAND()</f>
        <v>0.584821123349523</v>
      </c>
      <c r="N5" s="159" t="n">
        <f aca="true">RAND()</f>
        <v>0.584277862201822</v>
      </c>
      <c r="O5" s="159" t="n">
        <f aca="true">RAND()</f>
        <v>0.501230697772771</v>
      </c>
      <c r="P5" s="159" t="n">
        <f aca="true">RAND()</f>
        <v>0.821490394384228</v>
      </c>
      <c r="Q5" s="159" t="n">
        <f aca="true">RAND()</f>
        <v>0.0904303716429497</v>
      </c>
      <c r="R5" s="159" t="n">
        <f aca="true">RAND()</f>
        <v>0.537842246047989</v>
      </c>
      <c r="S5" s="159" t="n">
        <f aca="true">RAND()</f>
        <v>0.206756977325046</v>
      </c>
      <c r="T5" s="159" t="n">
        <f aca="true">RAND()</f>
        <v>0.911335821402025</v>
      </c>
      <c r="U5" s="159" t="n">
        <f aca="true">RAND()</f>
        <v>0.969008492087076</v>
      </c>
      <c r="V5" s="159" t="n">
        <f aca="true">RAND()</f>
        <v>0.184574465977005</v>
      </c>
      <c r="W5" s="159" t="n">
        <f aca="true">RAND()</f>
        <v>0.141594039112342</v>
      </c>
      <c r="X5" s="159" t="n">
        <f aca="true">RAND()</f>
        <v>0.608558841691093</v>
      </c>
      <c r="Y5" s="159" t="n">
        <f aca="true">RAND()</f>
        <v>0.206021668195072</v>
      </c>
      <c r="Z5" s="159" t="n">
        <f aca="true">RAND()</f>
        <v>0.718726249002114</v>
      </c>
      <c r="AA5" s="159" t="n">
        <f aca="true">RAND()</f>
        <v>0.439791750973453</v>
      </c>
      <c r="AB5" s="159" t="n">
        <f aca="true">RAND()</f>
        <v>0.455143623056009</v>
      </c>
      <c r="AC5" s="159" t="n">
        <f aca="true">RAND()</f>
        <v>0.160316086276342</v>
      </c>
      <c r="AD5" s="159" t="n">
        <f aca="true">RAND()</f>
        <v>0.758964377286829</v>
      </c>
      <c r="AE5" s="159" t="n">
        <f aca="true">RAND()</f>
        <v>0.626081779267743</v>
      </c>
      <c r="AF5" s="159" t="n">
        <f aca="true">RAND()</f>
        <v>0.229180411512966</v>
      </c>
      <c r="AG5" s="159" t="n">
        <f aca="true">RAND()</f>
        <v>0.056494581880056</v>
      </c>
      <c r="AH5" s="159" t="n">
        <f aca="true">RAND()</f>
        <v>0.903083831355588</v>
      </c>
      <c r="AI5" s="159" t="n">
        <f aca="true">RAND()</f>
        <v>0.871975651324593</v>
      </c>
      <c r="AJ5" s="159" t="n">
        <f aca="true">RAND()</f>
        <v>0.487986255868497</v>
      </c>
      <c r="AK5" s="159" t="n">
        <f aca="true">RAND()</f>
        <v>0.860798008565893</v>
      </c>
      <c r="AL5" s="159" t="n">
        <f aca="true">RAND()</f>
        <v>0.881951783659892</v>
      </c>
      <c r="AM5" s="159" t="n">
        <f aca="true">RAND()</f>
        <v>0.586965205500668</v>
      </c>
      <c r="AN5" s="159" t="n">
        <f aca="true">RAND()</f>
        <v>0.549658646464448</v>
      </c>
      <c r="AO5" s="159" t="n">
        <f aca="true">RAND()</f>
        <v>0.286863383546809</v>
      </c>
      <c r="AP5" s="159" t="n">
        <f aca="true">RAND()</f>
        <v>0.356973050070432</v>
      </c>
      <c r="AQ5" s="159" t="n">
        <f aca="true">RAND()</f>
        <v>0.541520577927674</v>
      </c>
      <c r="AR5" s="159" t="n">
        <f aca="true">RAND()</f>
        <v>0.736889473937606</v>
      </c>
      <c r="AS5" s="159" t="n">
        <f aca="true">RAND()</f>
        <v>0.707735178602156</v>
      </c>
      <c r="AT5" s="159" t="n">
        <f aca="true">RAND()</f>
        <v>0.924473311254912</v>
      </c>
      <c r="AU5" s="159" t="n">
        <f aca="true">RAND()</f>
        <v>0.386286578766968</v>
      </c>
      <c r="AV5" s="159" t="n">
        <f aca="true">RAND()</f>
        <v>0.0963555900889443</v>
      </c>
      <c r="AW5" s="159" t="n">
        <f aca="true">RAND()</f>
        <v>0.655635102147407</v>
      </c>
      <c r="AX5" s="159" t="n">
        <f aca="true">RAND()</f>
        <v>0.464197829056125</v>
      </c>
      <c r="AY5" s="159" t="n">
        <f aca="true">RAND()</f>
        <v>0.266901908951536</v>
      </c>
      <c r="AZ5" s="159" t="n">
        <f aca="true">RAND()</f>
        <v>0.253877271969449</v>
      </c>
      <c r="BA5" s="159" t="n">
        <f aca="true">RAND()</f>
        <v>0.627002055704328</v>
      </c>
      <c r="BB5" s="159" t="n">
        <f aca="true">RAND()</f>
        <v>0.169018451873757</v>
      </c>
      <c r="BC5" s="159" t="n">
        <f aca="true">RAND()</f>
        <v>0.235591301276327</v>
      </c>
      <c r="BD5" s="159" t="n">
        <f aca="true">RAND()</f>
        <v>0.295895435870956</v>
      </c>
      <c r="BE5" s="159" t="n">
        <f aca="true">RAND()</f>
        <v>0.687381417343504</v>
      </c>
      <c r="BF5" s="159" t="n">
        <f aca="true">RAND()</f>
        <v>0.740652730803627</v>
      </c>
      <c r="BG5" s="159" t="n">
        <f aca="true">RAND()</f>
        <v>0.89838499971766</v>
      </c>
      <c r="BH5" s="159" t="n">
        <f aca="true">RAND()</f>
        <v>0.411341737094796</v>
      </c>
      <c r="BI5" s="159" t="n">
        <f aca="true">RAND()</f>
        <v>0.149667708224545</v>
      </c>
      <c r="BJ5" s="159" t="n">
        <f aca="true">RAND()</f>
        <v>0.866089927690999</v>
      </c>
      <c r="BK5" s="159" t="n">
        <f aca="true">RAND()</f>
        <v>0.124269761013785</v>
      </c>
      <c r="BL5" s="159" t="n">
        <f aca="true">RAND()</f>
        <v>0.85335706397117</v>
      </c>
      <c r="BM5" s="159" t="n">
        <f aca="true">RAND()</f>
        <v>0.901854612931683</v>
      </c>
      <c r="BN5" s="159" t="n">
        <f aca="true">RAND()</f>
        <v>0.0122844255917311</v>
      </c>
      <c r="BO5" s="159" t="n">
        <f aca="true">RAND()</f>
        <v>0.544643297201503</v>
      </c>
      <c r="BP5" s="159" t="n">
        <f aca="true">RAND()</f>
        <v>0.334173539912219</v>
      </c>
      <c r="BQ5" s="159" t="n">
        <f aca="true">RAND()</f>
        <v>0.312933225993348</v>
      </c>
      <c r="BR5" s="159" t="n">
        <f aca="true">RAND()</f>
        <v>0.474299157352198</v>
      </c>
      <c r="BS5" s="159" t="n">
        <f aca="true">RAND()</f>
        <v>0.302009359213318</v>
      </c>
      <c r="BT5" s="159" t="n">
        <f aca="true">RAND()</f>
        <v>0.118917427109362</v>
      </c>
      <c r="BU5" s="159" t="n">
        <f aca="true">RAND()</f>
        <v>0.513431622666062</v>
      </c>
      <c r="BV5" s="159" t="n">
        <f aca="true">RAND()</f>
        <v>0.276005395332415</v>
      </c>
      <c r="BW5" s="159" t="n">
        <f aca="true">RAND()</f>
        <v>0.477600854005181</v>
      </c>
      <c r="BX5" s="159" t="n">
        <f aca="true">RAND()</f>
        <v>0.347060621073493</v>
      </c>
      <c r="BY5" s="159" t="n">
        <f aca="true">RAND()</f>
        <v>0.957300606389831</v>
      </c>
      <c r="BZ5" s="160" t="n">
        <f aca="false">Simulator!J8*Simulator!$D$5+Simulator!K8*Simulator!$D$6+Simulator!L8*Simulator!$D$7+Simulator!M8*Simulator!$D$8+Simulator!N8*Simulator!$D$9+Simulator!O8*Simulator!$D$10</f>
        <v>0.672279885856071</v>
      </c>
      <c r="CA5" s="160" t="n">
        <f aca="false">IF($BZ5=0,0.1667,(Simulator!J8*Simulator!$D$5)/$BZ5)</f>
        <v>0.292234472493362</v>
      </c>
      <c r="CB5" s="160" t="n">
        <f aca="false">IF($BZ5=0,0.3333,(Simulator!J8*Simulator!$D$5+Simulator!K8*Simulator!$D$6)/$BZ5)</f>
        <v>0.886065657579898</v>
      </c>
      <c r="CC5" s="160" t="n">
        <f aca="false">IF($BZ5=0,0.5,(Simulator!J8*Simulator!$D$5+Simulator!K8*Simulator!$D$6+Simulator!L8*Simulator!$D$7)/$BZ5)</f>
        <v>0.947899172363235</v>
      </c>
      <c r="CD5" s="160" t="n">
        <f aca="false">IF($BZ5=0,0.6667,(Simulator!J8*Simulator!$D$5+Simulator!K8*Simulator!$D$6+Simulator!L8*Simulator!$D$7+Simulator!M8*Simulator!$D$8)/$BZ5)</f>
        <v>0.994926051536878</v>
      </c>
      <c r="CE5" s="160" t="n">
        <f aca="false">IF($BZ5=0,0.8333,(Simulator!J8*Simulator!$D$5+Simulator!K8*Simulator!$D$6+Simulator!L8*Simulator!$D$7+Simulator!M8*Simulator!$D$8+Simulator!N8*Simulator!$D$9)/$BZ5)</f>
        <v>0.99970953413216</v>
      </c>
    </row>
    <row r="6" customFormat="false" ht="15" hidden="false" customHeight="false" outlineLevel="0" collapsed="false">
      <c r="A6" s="158" t="s">
        <v>42</v>
      </c>
      <c r="B6" s="159" t="n">
        <f aca="true">RAND()</f>
        <v>0.57853334832148</v>
      </c>
      <c r="C6" s="159" t="n">
        <f aca="true">RAND()</f>
        <v>0.77235820739107</v>
      </c>
      <c r="D6" s="159" t="n">
        <f aca="true">RAND()</f>
        <v>0.940530382024871</v>
      </c>
      <c r="E6" s="159" t="n">
        <f aca="true">RAND()</f>
        <v>0.728328148972835</v>
      </c>
      <c r="F6" s="159" t="n">
        <f aca="true">RAND()</f>
        <v>0.56469453126054</v>
      </c>
      <c r="G6" s="159" t="n">
        <f aca="true">RAND()</f>
        <v>0.306991164929651</v>
      </c>
      <c r="H6" s="159" t="n">
        <f aca="true">RAND()</f>
        <v>0.0194658453083304</v>
      </c>
      <c r="I6" s="159" t="n">
        <f aca="true">RAND()</f>
        <v>0.690588193735851</v>
      </c>
      <c r="J6" s="159" t="n">
        <f aca="true">RAND()</f>
        <v>0.970291585671112</v>
      </c>
      <c r="K6" s="159" t="n">
        <f aca="true">RAND()</f>
        <v>0.366787035917633</v>
      </c>
      <c r="L6" s="159" t="n">
        <f aca="true">RAND()</f>
        <v>0.120818210846958</v>
      </c>
      <c r="M6" s="159" t="n">
        <f aca="true">RAND()</f>
        <v>0.194924838079938</v>
      </c>
      <c r="N6" s="159" t="n">
        <f aca="true">RAND()</f>
        <v>0.596755473006491</v>
      </c>
      <c r="O6" s="159" t="n">
        <f aca="true">RAND()</f>
        <v>0.946208726151042</v>
      </c>
      <c r="P6" s="159" t="n">
        <f aca="true">RAND()</f>
        <v>0.100855456774217</v>
      </c>
      <c r="Q6" s="159" t="n">
        <f aca="true">RAND()</f>
        <v>0.316140197933421</v>
      </c>
      <c r="R6" s="159" t="n">
        <f aca="true">RAND()</f>
        <v>0.147520666295436</v>
      </c>
      <c r="S6" s="159" t="n">
        <f aca="true">RAND()</f>
        <v>0.65787074391238</v>
      </c>
      <c r="T6" s="159" t="n">
        <f aca="true">RAND()</f>
        <v>0.281157899065768</v>
      </c>
      <c r="U6" s="159" t="n">
        <f aca="true">RAND()</f>
        <v>0.69429768168086</v>
      </c>
      <c r="V6" s="159" t="n">
        <f aca="true">RAND()</f>
        <v>0.237613727593086</v>
      </c>
      <c r="W6" s="159" t="n">
        <f aca="true">RAND()</f>
        <v>0.026617025096918</v>
      </c>
      <c r="X6" s="159" t="n">
        <f aca="true">RAND()</f>
        <v>0.504125295305116</v>
      </c>
      <c r="Y6" s="159" t="n">
        <f aca="true">RAND()</f>
        <v>0.224051851024761</v>
      </c>
      <c r="Z6" s="159" t="n">
        <f aca="true">RAND()</f>
        <v>0.463500266669835</v>
      </c>
      <c r="AA6" s="159" t="n">
        <f aca="true">RAND()</f>
        <v>0.958422957609116</v>
      </c>
      <c r="AB6" s="159" t="n">
        <f aca="true">RAND()</f>
        <v>0.802956967963992</v>
      </c>
      <c r="AC6" s="159" t="n">
        <f aca="true">RAND()</f>
        <v>0.802031941423797</v>
      </c>
      <c r="AD6" s="159" t="n">
        <f aca="true">RAND()</f>
        <v>0.166521343059249</v>
      </c>
      <c r="AE6" s="159" t="n">
        <f aca="true">RAND()</f>
        <v>0.782141528436736</v>
      </c>
      <c r="AF6" s="159" t="n">
        <f aca="true">RAND()</f>
        <v>0.137115571463086</v>
      </c>
      <c r="AG6" s="159" t="n">
        <f aca="true">RAND()</f>
        <v>0.033940582482715</v>
      </c>
      <c r="AH6" s="159" t="n">
        <f aca="true">RAND()</f>
        <v>0.528580640454372</v>
      </c>
      <c r="AI6" s="159" t="n">
        <f aca="true">RAND()</f>
        <v>0.953556656867264</v>
      </c>
      <c r="AJ6" s="159" t="n">
        <f aca="true">RAND()</f>
        <v>0.121125367156769</v>
      </c>
      <c r="AK6" s="159" t="n">
        <f aca="true">RAND()</f>
        <v>0.51695526912647</v>
      </c>
      <c r="AL6" s="159" t="n">
        <f aca="true">RAND()</f>
        <v>0.992584330260305</v>
      </c>
      <c r="AM6" s="159" t="n">
        <f aca="true">RAND()</f>
        <v>0.855675688214467</v>
      </c>
      <c r="AN6" s="159" t="n">
        <f aca="true">RAND()</f>
        <v>0.00361962186013757</v>
      </c>
      <c r="AO6" s="159" t="n">
        <f aca="true">RAND()</f>
        <v>0.207926002316744</v>
      </c>
      <c r="AP6" s="159" t="n">
        <f aca="true">RAND()</f>
        <v>0.444541083143099</v>
      </c>
      <c r="AQ6" s="159" t="n">
        <f aca="true">RAND()</f>
        <v>0.115339763238213</v>
      </c>
      <c r="AR6" s="159" t="n">
        <f aca="true">RAND()</f>
        <v>0.767213475245577</v>
      </c>
      <c r="AS6" s="159" t="n">
        <f aca="true">RAND()</f>
        <v>0.403530982073224</v>
      </c>
      <c r="AT6" s="159" t="n">
        <f aca="true">RAND()</f>
        <v>0.0453329432074888</v>
      </c>
      <c r="AU6" s="159" t="n">
        <f aca="true">RAND()</f>
        <v>0.329887503502565</v>
      </c>
      <c r="AV6" s="159" t="n">
        <f aca="true">RAND()</f>
        <v>0.883474269233681</v>
      </c>
      <c r="AW6" s="159" t="n">
        <f aca="true">RAND()</f>
        <v>0.698142713969663</v>
      </c>
      <c r="AX6" s="159" t="n">
        <f aca="true">RAND()</f>
        <v>0.345112001490999</v>
      </c>
      <c r="AY6" s="159" t="n">
        <f aca="true">RAND()</f>
        <v>0.45444531064905</v>
      </c>
      <c r="AZ6" s="159" t="n">
        <f aca="true">RAND()</f>
        <v>0.400220179100762</v>
      </c>
      <c r="BA6" s="159" t="n">
        <f aca="true">RAND()</f>
        <v>0.317336421056299</v>
      </c>
      <c r="BB6" s="159" t="n">
        <f aca="true">RAND()</f>
        <v>0.316395959297901</v>
      </c>
      <c r="BC6" s="159" t="n">
        <f aca="true">RAND()</f>
        <v>0.331783424403826</v>
      </c>
      <c r="BD6" s="159" t="n">
        <f aca="true">RAND()</f>
        <v>0.444327094414472</v>
      </c>
      <c r="BE6" s="159" t="n">
        <f aca="true">RAND()</f>
        <v>0.983738054312635</v>
      </c>
      <c r="BF6" s="159" t="n">
        <f aca="true">RAND()</f>
        <v>0.039285730565904</v>
      </c>
      <c r="BG6" s="159" t="n">
        <f aca="true">RAND()</f>
        <v>0.442145905563271</v>
      </c>
      <c r="BH6" s="159" t="n">
        <f aca="true">RAND()</f>
        <v>0.435345858858661</v>
      </c>
      <c r="BI6" s="159" t="n">
        <f aca="true">RAND()</f>
        <v>0.510457155798228</v>
      </c>
      <c r="BJ6" s="159" t="n">
        <f aca="true">RAND()</f>
        <v>0.283924652899466</v>
      </c>
      <c r="BK6" s="159" t="n">
        <f aca="true">RAND()</f>
        <v>0.428967305082189</v>
      </c>
      <c r="BL6" s="159" t="n">
        <f aca="true">RAND()</f>
        <v>0.33872123829656</v>
      </c>
      <c r="BM6" s="159" t="n">
        <f aca="true">RAND()</f>
        <v>0.554762412613164</v>
      </c>
      <c r="BN6" s="159" t="n">
        <f aca="true">RAND()</f>
        <v>0.262284787335767</v>
      </c>
      <c r="BO6" s="159" t="n">
        <f aca="true">RAND()</f>
        <v>0.521469610097231</v>
      </c>
      <c r="BP6" s="159" t="n">
        <f aca="true">RAND()</f>
        <v>0.248643791884559</v>
      </c>
      <c r="BQ6" s="159" t="n">
        <f aca="true">RAND()</f>
        <v>0.678556104863561</v>
      </c>
      <c r="BR6" s="159" t="n">
        <f aca="true">RAND()</f>
        <v>0.24012212377829</v>
      </c>
      <c r="BS6" s="159" t="n">
        <f aca="true">RAND()</f>
        <v>0.997988279656988</v>
      </c>
      <c r="BT6" s="159" t="n">
        <f aca="true">RAND()</f>
        <v>0.706464647339229</v>
      </c>
      <c r="BU6" s="159" t="n">
        <f aca="true">RAND()</f>
        <v>0.591255081468917</v>
      </c>
      <c r="BV6" s="159" t="n">
        <f aca="true">RAND()</f>
        <v>0.00098753349061481</v>
      </c>
      <c r="BW6" s="159" t="n">
        <f aca="true">RAND()</f>
        <v>0.455864336726914</v>
      </c>
      <c r="BX6" s="159" t="n">
        <f aca="true">RAND()</f>
        <v>0.968729142490628</v>
      </c>
      <c r="BY6" s="159" t="n">
        <f aca="true">RAND()</f>
        <v>0.537518620167248</v>
      </c>
      <c r="BZ6" s="160" t="n">
        <f aca="false">Simulator!J9*Simulator!$D$5+Simulator!K9*Simulator!$D$6+Simulator!L9*Simulator!$D$7+Simulator!M9*Simulator!$D$8+Simulator!N9*Simulator!$D$9+Simulator!O9*Simulator!$D$10</f>
        <v>0.633170670525984</v>
      </c>
      <c r="CA6" s="160" t="n">
        <f aca="false">IF($BZ6=0,0.1667,(Simulator!J9*Simulator!$D$5)/$BZ6)</f>
        <v>0.477054706187518</v>
      </c>
      <c r="CB6" s="160" t="n">
        <f aca="false">IF($BZ6=0,0.3333,(Simulator!J9*Simulator!$D$5+Simulator!K9*Simulator!$D$6)/$BZ6)</f>
        <v>0.863618289669443</v>
      </c>
      <c r="CC6" s="160" t="n">
        <f aca="false">IF($BZ6=0,0.5,(Simulator!J9*Simulator!$D$5+Simulator!K9*Simulator!$D$6+Simulator!L9*Simulator!$D$7)/$BZ6)</f>
        <v>0.902298174167973</v>
      </c>
      <c r="CD6" s="160" t="n">
        <f aca="false">IF($BZ6=0,0.6667,(Simulator!J9*Simulator!$D$5+Simulator!K9*Simulator!$D$6+Simulator!L9*Simulator!$D$7+Simulator!M9*Simulator!$D$8)/$BZ6)</f>
        <v>0.994209182626981</v>
      </c>
      <c r="CE6" s="160" t="n">
        <f aca="false">IF($BZ6=0,0.8333,(Simulator!J9*Simulator!$D$5+Simulator!K9*Simulator!$D$6+Simulator!L9*Simulator!$D$7+Simulator!M9*Simulator!$D$8+Simulator!N9*Simulator!$D$9)/$BZ6)</f>
        <v>0.999691592852344</v>
      </c>
    </row>
    <row r="7" customFormat="false" ht="15" hidden="false" customHeight="false" outlineLevel="0" collapsed="false">
      <c r="A7" s="158" t="s">
        <v>45</v>
      </c>
      <c r="B7" s="159" t="n">
        <f aca="true">RAND()</f>
        <v>0.883551802071781</v>
      </c>
      <c r="C7" s="159" t="n">
        <f aca="true">RAND()</f>
        <v>0.27229728243982</v>
      </c>
      <c r="D7" s="159" t="n">
        <f aca="true">RAND()</f>
        <v>0.278897774168255</v>
      </c>
      <c r="E7" s="159" t="n">
        <f aca="true">RAND()</f>
        <v>0.453535508400726</v>
      </c>
      <c r="F7" s="159" t="n">
        <f aca="true">RAND()</f>
        <v>0.632235568559773</v>
      </c>
      <c r="G7" s="159" t="n">
        <f aca="true">RAND()</f>
        <v>0.445180597048123</v>
      </c>
      <c r="H7" s="159" t="n">
        <f aca="true">RAND()</f>
        <v>0.269266224816535</v>
      </c>
      <c r="I7" s="159" t="n">
        <f aca="true">RAND()</f>
        <v>0.494965242034977</v>
      </c>
      <c r="J7" s="159" t="n">
        <f aca="true">RAND()</f>
        <v>0.448161878100435</v>
      </c>
      <c r="K7" s="159" t="n">
        <f aca="true">RAND()</f>
        <v>0.643758503781388</v>
      </c>
      <c r="L7" s="159" t="n">
        <f aca="true">RAND()</f>
        <v>0.405560838518616</v>
      </c>
      <c r="M7" s="159" t="n">
        <f aca="true">RAND()</f>
        <v>0.74479552998502</v>
      </c>
      <c r="N7" s="159" t="n">
        <f aca="true">RAND()</f>
        <v>0.97451544934166</v>
      </c>
      <c r="O7" s="159" t="n">
        <f aca="true">RAND()</f>
        <v>0.816053336870272</v>
      </c>
      <c r="P7" s="159" t="n">
        <f aca="true">RAND()</f>
        <v>0.0120171060612566</v>
      </c>
      <c r="Q7" s="159" t="n">
        <f aca="true">RAND()</f>
        <v>0.981264810779289</v>
      </c>
      <c r="R7" s="159" t="n">
        <f aca="true">RAND()</f>
        <v>0.352513908989816</v>
      </c>
      <c r="S7" s="159" t="n">
        <f aca="true">RAND()</f>
        <v>0.990577914121594</v>
      </c>
      <c r="T7" s="159" t="n">
        <f aca="true">RAND()</f>
        <v>0.387425601404168</v>
      </c>
      <c r="U7" s="159" t="n">
        <f aca="true">RAND()</f>
        <v>0.159296394124463</v>
      </c>
      <c r="V7" s="159" t="n">
        <f aca="true">RAND()</f>
        <v>0.551284096369159</v>
      </c>
      <c r="W7" s="159" t="n">
        <f aca="true">RAND()</f>
        <v>0.0674213820406092</v>
      </c>
      <c r="X7" s="159" t="n">
        <f aca="true">RAND()</f>
        <v>0.431885733271439</v>
      </c>
      <c r="Y7" s="159" t="n">
        <f aca="true">RAND()</f>
        <v>0.577569882146404</v>
      </c>
      <c r="Z7" s="159" t="n">
        <f aca="true">RAND()</f>
        <v>0.744264501646099</v>
      </c>
      <c r="AA7" s="159" t="n">
        <f aca="true">RAND()</f>
        <v>0.627668707058418</v>
      </c>
      <c r="AB7" s="159" t="n">
        <f aca="true">RAND()</f>
        <v>0.959904650068715</v>
      </c>
      <c r="AC7" s="159" t="n">
        <f aca="true">RAND()</f>
        <v>0.363840130295635</v>
      </c>
      <c r="AD7" s="159" t="n">
        <f aca="true">RAND()</f>
        <v>0.781607013626802</v>
      </c>
      <c r="AE7" s="159" t="n">
        <f aca="true">RAND()</f>
        <v>0.75425374902508</v>
      </c>
      <c r="AF7" s="159" t="n">
        <f aca="true">RAND()</f>
        <v>0.938844471072253</v>
      </c>
      <c r="AG7" s="159" t="n">
        <f aca="true">RAND()</f>
        <v>0.780364168122144</v>
      </c>
      <c r="AH7" s="159" t="n">
        <f aca="true">RAND()</f>
        <v>0.418392988283637</v>
      </c>
      <c r="AI7" s="159" t="n">
        <f aca="true">RAND()</f>
        <v>0.11990761169858</v>
      </c>
      <c r="AJ7" s="159" t="n">
        <f aca="true">RAND()</f>
        <v>0.594781846005263</v>
      </c>
      <c r="AK7" s="159" t="n">
        <f aca="true">RAND()</f>
        <v>0.00497781625692388</v>
      </c>
      <c r="AL7" s="159" t="n">
        <f aca="true">RAND()</f>
        <v>0.519856401866938</v>
      </c>
      <c r="AM7" s="159" t="n">
        <f aca="true">RAND()</f>
        <v>0.710897819705226</v>
      </c>
      <c r="AN7" s="159" t="n">
        <f aca="true">RAND()</f>
        <v>0.489351928629065</v>
      </c>
      <c r="AO7" s="159" t="n">
        <f aca="true">RAND()</f>
        <v>0.141439331479948</v>
      </c>
      <c r="AP7" s="159" t="n">
        <f aca="true">RAND()</f>
        <v>0.436787059251779</v>
      </c>
      <c r="AQ7" s="159" t="n">
        <f aca="true">RAND()</f>
        <v>0.0879649457498098</v>
      </c>
      <c r="AR7" s="159" t="n">
        <f aca="true">RAND()</f>
        <v>0.557722330412039</v>
      </c>
      <c r="AS7" s="159" t="n">
        <f aca="true">RAND()</f>
        <v>0.514253585484958</v>
      </c>
      <c r="AT7" s="159" t="n">
        <f aca="true">RAND()</f>
        <v>0.928599352117128</v>
      </c>
      <c r="AU7" s="159" t="n">
        <f aca="true">RAND()</f>
        <v>0.172803605775188</v>
      </c>
      <c r="AV7" s="159" t="n">
        <f aca="true">RAND()</f>
        <v>0.655452242015491</v>
      </c>
      <c r="AW7" s="159" t="n">
        <f aca="true">RAND()</f>
        <v>0.598655854353456</v>
      </c>
      <c r="AX7" s="159" t="n">
        <f aca="true">RAND()</f>
        <v>0.0887298821629658</v>
      </c>
      <c r="AY7" s="159" t="n">
        <f aca="true">RAND()</f>
        <v>0.290663999189241</v>
      </c>
      <c r="AZ7" s="159" t="n">
        <f aca="true">RAND()</f>
        <v>0.706228257022913</v>
      </c>
      <c r="BA7" s="159" t="n">
        <f aca="true">RAND()</f>
        <v>0.252900738646558</v>
      </c>
      <c r="BB7" s="159" t="n">
        <f aca="true">RAND()</f>
        <v>0.946010967737521</v>
      </c>
      <c r="BC7" s="159" t="n">
        <f aca="true">RAND()</f>
        <v>0.0624926981461988</v>
      </c>
      <c r="BD7" s="159" t="n">
        <f aca="true">RAND()</f>
        <v>0.892097153720836</v>
      </c>
      <c r="BE7" s="159" t="n">
        <f aca="true">RAND()</f>
        <v>0.937398256439869</v>
      </c>
      <c r="BF7" s="159" t="n">
        <f aca="true">RAND()</f>
        <v>0.122339725341161</v>
      </c>
      <c r="BG7" s="159" t="n">
        <f aca="true">RAND()</f>
        <v>0.651498874969803</v>
      </c>
      <c r="BH7" s="159" t="n">
        <f aca="true">RAND()</f>
        <v>0.361831072586194</v>
      </c>
      <c r="BI7" s="159" t="n">
        <f aca="true">RAND()</f>
        <v>0.382753154697968</v>
      </c>
      <c r="BJ7" s="159" t="n">
        <f aca="true">RAND()</f>
        <v>0.556119568535731</v>
      </c>
      <c r="BK7" s="159" t="n">
        <f aca="true">RAND()</f>
        <v>0.627482404423651</v>
      </c>
      <c r="BL7" s="159" t="n">
        <f aca="true">RAND()</f>
        <v>0.630547685362135</v>
      </c>
      <c r="BM7" s="159" t="n">
        <f aca="true">RAND()</f>
        <v>0.752762072406598</v>
      </c>
      <c r="BN7" s="159" t="n">
        <f aca="true">RAND()</f>
        <v>0.149829806330401</v>
      </c>
      <c r="BO7" s="159" t="n">
        <f aca="true">RAND()</f>
        <v>0.0222066637768632</v>
      </c>
      <c r="BP7" s="159" t="n">
        <f aca="true">RAND()</f>
        <v>0.46965654580782</v>
      </c>
      <c r="BQ7" s="159" t="n">
        <f aca="true">RAND()</f>
        <v>0.64790600056659</v>
      </c>
      <c r="BR7" s="159" t="n">
        <f aca="true">RAND()</f>
        <v>0.770862440329393</v>
      </c>
      <c r="BS7" s="159" t="n">
        <f aca="true">RAND()</f>
        <v>0.640543347179964</v>
      </c>
      <c r="BT7" s="159" t="n">
        <f aca="true">RAND()</f>
        <v>0.750385641693808</v>
      </c>
      <c r="BU7" s="159" t="n">
        <f aca="true">RAND()</f>
        <v>0.270627209592544</v>
      </c>
      <c r="BV7" s="159" t="n">
        <f aca="true">RAND()</f>
        <v>0.821523224369695</v>
      </c>
      <c r="BW7" s="159" t="n">
        <f aca="true">RAND()</f>
        <v>0.166528382592577</v>
      </c>
      <c r="BX7" s="159" t="n">
        <f aca="true">RAND()</f>
        <v>0.00934528467028683</v>
      </c>
      <c r="BY7" s="159" t="n">
        <f aca="true">RAND()</f>
        <v>0.970423629268613</v>
      </c>
      <c r="BZ7" s="160" t="n">
        <f aca="false">Simulator!J10*Simulator!$D$5+Simulator!K10*Simulator!$D$6+Simulator!L10*Simulator!$D$7+Simulator!M10*Simulator!$D$8+Simulator!N10*Simulator!$D$9+Simulator!O10*Simulator!$D$10</f>
        <v>0.640859912133734</v>
      </c>
      <c r="CA7" s="160" t="n">
        <f aca="false">IF($BZ7=0,0.1667,(Simulator!J10*Simulator!$D$5)/$BZ7)</f>
        <v>0.436158154054854</v>
      </c>
      <c r="CB7" s="160" t="n">
        <f aca="false">IF($BZ7=0,0.3333,(Simulator!J10*Simulator!$D$5+Simulator!K10*Simulator!$D$6)/$BZ7)</f>
        <v>0.868386943244262</v>
      </c>
      <c r="CC7" s="160" t="n">
        <f aca="false">IF($BZ7=0,0.5,(Simulator!J10*Simulator!$D$5+Simulator!K10*Simulator!$D$6+Simulator!L10*Simulator!$D$7)/$BZ7)</f>
        <v>0.912886976998404</v>
      </c>
      <c r="CD7" s="160" t="n">
        <f aca="false">IF($BZ7=0,0.6667,(Simulator!J10*Simulator!$D$5+Simulator!K10*Simulator!$D$6+Simulator!L10*Simulator!$D$7+Simulator!M10*Simulator!$D$8)/$BZ7)</f>
        <v>0.994329174391317</v>
      </c>
      <c r="CE7" s="160" t="n">
        <f aca="false">IF($BZ7=0,0.8333,(Simulator!J10*Simulator!$D$5+Simulator!K10*Simulator!$D$6+Simulator!L10*Simulator!$D$7+Simulator!M10*Simulator!$D$8+Simulator!N10*Simulator!$D$9)/$BZ7)</f>
        <v>0.999695293219658</v>
      </c>
    </row>
    <row r="8" customFormat="false" ht="15" hidden="false" customHeight="false" outlineLevel="0" collapsed="false">
      <c r="A8" s="158" t="s">
        <v>46</v>
      </c>
      <c r="B8" s="159" t="n">
        <f aca="true">RAND()</f>
        <v>0.699561504533645</v>
      </c>
      <c r="C8" s="159" t="n">
        <f aca="true">RAND()</f>
        <v>0.000640283582242108</v>
      </c>
      <c r="D8" s="159" t="n">
        <f aca="true">RAND()</f>
        <v>0.880015264827801</v>
      </c>
      <c r="E8" s="159" t="n">
        <f aca="true">RAND()</f>
        <v>0.10878818851739</v>
      </c>
      <c r="F8" s="159" t="n">
        <f aca="true">RAND()</f>
        <v>0.420420869568687</v>
      </c>
      <c r="G8" s="159" t="n">
        <f aca="true">RAND()</f>
        <v>0.823590819355049</v>
      </c>
      <c r="H8" s="159" t="n">
        <f aca="true">RAND()</f>
        <v>0.719099092815856</v>
      </c>
      <c r="I8" s="159" t="n">
        <f aca="true">RAND()</f>
        <v>0.980699875950457</v>
      </c>
      <c r="J8" s="159" t="n">
        <f aca="true">RAND()</f>
        <v>0.282307978428251</v>
      </c>
      <c r="K8" s="159" t="n">
        <f aca="true">RAND()</f>
        <v>0.236117522892874</v>
      </c>
      <c r="L8" s="159" t="n">
        <f aca="true">RAND()</f>
        <v>0.780597424064439</v>
      </c>
      <c r="M8" s="159" t="n">
        <f aca="true">RAND()</f>
        <v>0.944493146989403</v>
      </c>
      <c r="N8" s="159" t="n">
        <f aca="true">RAND()</f>
        <v>0.0942129889793143</v>
      </c>
      <c r="O8" s="159" t="n">
        <f aca="true">RAND()</f>
        <v>0.804760933972682</v>
      </c>
      <c r="P8" s="159" t="n">
        <f aca="true">RAND()</f>
        <v>0.854676253692109</v>
      </c>
      <c r="Q8" s="159" t="n">
        <f aca="true">RAND()</f>
        <v>0.329393849985707</v>
      </c>
      <c r="R8" s="159" t="n">
        <f aca="true">RAND()</f>
        <v>0.282637379558199</v>
      </c>
      <c r="S8" s="159" t="n">
        <f aca="true">RAND()</f>
        <v>0.377884625415187</v>
      </c>
      <c r="T8" s="159" t="n">
        <f aca="true">RAND()</f>
        <v>0.842821515924246</v>
      </c>
      <c r="U8" s="159" t="n">
        <f aca="true">RAND()</f>
        <v>0.591025253301899</v>
      </c>
      <c r="V8" s="159" t="n">
        <f aca="true">RAND()</f>
        <v>0.753492860269039</v>
      </c>
      <c r="W8" s="159" t="n">
        <f aca="true">RAND()</f>
        <v>0.380902385045349</v>
      </c>
      <c r="X8" s="159" t="n">
        <f aca="true">RAND()</f>
        <v>0.102458207617233</v>
      </c>
      <c r="Y8" s="159" t="n">
        <f aca="true">RAND()</f>
        <v>0.416695718327813</v>
      </c>
      <c r="Z8" s="159" t="n">
        <f aca="true">RAND()</f>
        <v>0.320903591831212</v>
      </c>
      <c r="AA8" s="159" t="n">
        <f aca="true">RAND()</f>
        <v>0.410215061345065</v>
      </c>
      <c r="AB8" s="159" t="n">
        <f aca="true">RAND()</f>
        <v>0.951026932656568</v>
      </c>
      <c r="AC8" s="159" t="n">
        <f aca="true">RAND()</f>
        <v>0.832139959227222</v>
      </c>
      <c r="AD8" s="159" t="n">
        <f aca="true">RAND()</f>
        <v>0.206129087254447</v>
      </c>
      <c r="AE8" s="159" t="n">
        <f aca="true">RAND()</f>
        <v>0.355274247224866</v>
      </c>
      <c r="AF8" s="159" t="n">
        <f aca="true">RAND()</f>
        <v>0.249800908401633</v>
      </c>
      <c r="AG8" s="159" t="n">
        <f aca="true">RAND()</f>
        <v>0.58645188003401</v>
      </c>
      <c r="AH8" s="159" t="n">
        <f aca="true">RAND()</f>
        <v>0.328631152630318</v>
      </c>
      <c r="AI8" s="159" t="n">
        <f aca="true">RAND()</f>
        <v>0.606844496224558</v>
      </c>
      <c r="AJ8" s="159" t="n">
        <f aca="true">RAND()</f>
        <v>0.665430140455093</v>
      </c>
      <c r="AK8" s="159" t="n">
        <f aca="true">RAND()</f>
        <v>0.984722973089994</v>
      </c>
      <c r="AL8" s="159" t="n">
        <f aca="true">RAND()</f>
        <v>0.333244614659626</v>
      </c>
      <c r="AM8" s="159" t="n">
        <f aca="true">RAND()</f>
        <v>0.139407995829535</v>
      </c>
      <c r="AN8" s="159" t="n">
        <f aca="true">RAND()</f>
        <v>0.513850257021913</v>
      </c>
      <c r="AO8" s="159" t="n">
        <f aca="true">RAND()</f>
        <v>0.448040615792006</v>
      </c>
      <c r="AP8" s="159" t="n">
        <f aca="true">RAND()</f>
        <v>0.6668879907803</v>
      </c>
      <c r="AQ8" s="159" t="n">
        <f aca="true">RAND()</f>
        <v>0.866235342173972</v>
      </c>
      <c r="AR8" s="159" t="n">
        <f aca="true">RAND()</f>
        <v>0.993421368324082</v>
      </c>
      <c r="AS8" s="159" t="n">
        <f aca="true">RAND()</f>
        <v>0.881924560920538</v>
      </c>
      <c r="AT8" s="159" t="n">
        <f aca="true">RAND()</f>
        <v>0.543996353069062</v>
      </c>
      <c r="AU8" s="159" t="n">
        <f aca="true">RAND()</f>
        <v>0.975509066055262</v>
      </c>
      <c r="AV8" s="159" t="n">
        <f aca="true">RAND()</f>
        <v>0.289969761174754</v>
      </c>
      <c r="AW8" s="159" t="n">
        <f aca="true">RAND()</f>
        <v>0.113724825857953</v>
      </c>
      <c r="AX8" s="159" t="n">
        <f aca="true">RAND()</f>
        <v>0.0178217762954225</v>
      </c>
      <c r="AY8" s="159" t="n">
        <f aca="true">RAND()</f>
        <v>0.101414047568464</v>
      </c>
      <c r="AZ8" s="159" t="n">
        <f aca="true">RAND()</f>
        <v>0.90579183818419</v>
      </c>
      <c r="BA8" s="159" t="n">
        <f aca="true">RAND()</f>
        <v>0.189019476510262</v>
      </c>
      <c r="BB8" s="159" t="n">
        <f aca="true">RAND()</f>
        <v>0.631429588769045</v>
      </c>
      <c r="BC8" s="159" t="n">
        <f aca="true">RAND()</f>
        <v>0.934113462900891</v>
      </c>
      <c r="BD8" s="159" t="n">
        <f aca="true">RAND()</f>
        <v>0.509708102207673</v>
      </c>
      <c r="BE8" s="159" t="n">
        <f aca="true">RAND()</f>
        <v>0.505135555807674</v>
      </c>
      <c r="BF8" s="159" t="n">
        <f aca="true">RAND()</f>
        <v>0.0290357179401396</v>
      </c>
      <c r="BG8" s="159" t="n">
        <f aca="true">RAND()</f>
        <v>0.662182570009302</v>
      </c>
      <c r="BH8" s="159" t="n">
        <f aca="true">RAND()</f>
        <v>0.809575960343922</v>
      </c>
      <c r="BI8" s="159" t="n">
        <f aca="true">RAND()</f>
        <v>0.128771859064057</v>
      </c>
      <c r="BJ8" s="159" t="n">
        <f aca="true">RAND()</f>
        <v>0.394637317113758</v>
      </c>
      <c r="BK8" s="159" t="n">
        <f aca="true">RAND()</f>
        <v>0.356248376437492</v>
      </c>
      <c r="BL8" s="159" t="n">
        <f aca="true">RAND()</f>
        <v>0.00549206052370521</v>
      </c>
      <c r="BM8" s="159" t="n">
        <f aca="true">RAND()</f>
        <v>8.87271261503867E-005</v>
      </c>
      <c r="BN8" s="159" t="n">
        <f aca="true">RAND()</f>
        <v>0.510351211450825</v>
      </c>
      <c r="BO8" s="159" t="n">
        <f aca="true">RAND()</f>
        <v>0.683909423239901</v>
      </c>
      <c r="BP8" s="159" t="n">
        <f aca="true">RAND()</f>
        <v>0.223391094900726</v>
      </c>
      <c r="BQ8" s="159" t="n">
        <f aca="true">RAND()</f>
        <v>0.761029409944693</v>
      </c>
      <c r="BR8" s="159" t="n">
        <f aca="true">RAND()</f>
        <v>0.892545658970466</v>
      </c>
      <c r="BS8" s="159" t="n">
        <f aca="true">RAND()</f>
        <v>0.971987270192969</v>
      </c>
      <c r="BT8" s="159" t="n">
        <f aca="true">RAND()</f>
        <v>0.525754123775034</v>
      </c>
      <c r="BU8" s="159" t="n">
        <f aca="true">RAND()</f>
        <v>0.391902046230054</v>
      </c>
      <c r="BV8" s="159" t="n">
        <f aca="true">RAND()</f>
        <v>0.746055244096807</v>
      </c>
      <c r="BW8" s="159" t="n">
        <f aca="true">RAND()</f>
        <v>0.891478451694489</v>
      </c>
      <c r="BX8" s="159" t="n">
        <f aca="true">RAND()</f>
        <v>0.356917754736228</v>
      </c>
      <c r="BY8" s="159" t="n">
        <f aca="true">RAND()</f>
        <v>0.172388668925674</v>
      </c>
      <c r="BZ8" s="160" t="n">
        <f aca="false">Simulator!J11*Simulator!$D$5+Simulator!K11*Simulator!$D$6+Simulator!L11*Simulator!$D$7+Simulator!M11*Simulator!$D$8+Simulator!N11*Simulator!$D$9+Simulator!O11*Simulator!$D$10</f>
        <v>0.645639389603859</v>
      </c>
      <c r="CA8" s="160" t="n">
        <f aca="false">IF($BZ8=0,0.1667,(Simulator!J11*Simulator!$D$5)/$BZ8)</f>
        <v>0.355625750874709</v>
      </c>
      <c r="CB8" s="160" t="n">
        <f aca="false">IF($BZ8=0,0.3333,(Simulator!J11*Simulator!$D$5+Simulator!K11*Simulator!$D$6)/$BZ8)</f>
        <v>0.871258367593352</v>
      </c>
      <c r="CC8" s="160" t="n">
        <f aca="false">IF($BZ8=0,0.5,(Simulator!J11*Simulator!$D$5+Simulator!K11*Simulator!$D$6+Simulator!L11*Simulator!$D$7)/$BZ8)</f>
        <v>0.923335167525966</v>
      </c>
      <c r="CD8" s="160" t="n">
        <f aca="false">IF($BZ8=0,0.6667,(Simulator!J11*Simulator!$D$5+Simulator!K11*Simulator!$D$6+Simulator!L11*Simulator!$D$7+Simulator!M11*Simulator!$D$8)/$BZ8)</f>
        <v>0.994409424954943</v>
      </c>
      <c r="CE8" s="160" t="n">
        <f aca="false">IF($BZ8=0,0.8333,(Simulator!J11*Simulator!$D$5+Simulator!K11*Simulator!$D$6+Simulator!L11*Simulator!$D$7+Simulator!M11*Simulator!$D$8+Simulator!N11*Simulator!$D$9)/$BZ8)</f>
        <v>0.999697548873844</v>
      </c>
    </row>
    <row r="9" customFormat="false" ht="15" hidden="false" customHeight="false" outlineLevel="0" collapsed="false">
      <c r="A9" s="158" t="s">
        <v>48</v>
      </c>
      <c r="B9" s="159" t="n">
        <f aca="true">RAND()</f>
        <v>0.520730589908415</v>
      </c>
      <c r="C9" s="159" t="n">
        <f aca="true">RAND()</f>
        <v>0.56540574927052</v>
      </c>
      <c r="D9" s="159" t="n">
        <f aca="true">RAND()</f>
        <v>0.0182956568895025</v>
      </c>
      <c r="E9" s="159" t="n">
        <f aca="true">RAND()</f>
        <v>0.483608790965428</v>
      </c>
      <c r="F9" s="159" t="n">
        <f aca="true">RAND()</f>
        <v>0.906886457735588</v>
      </c>
      <c r="G9" s="159" t="n">
        <f aca="true">RAND()</f>
        <v>0.453259613518714</v>
      </c>
      <c r="H9" s="159" t="n">
        <f aca="true">RAND()</f>
        <v>0.698492529477186</v>
      </c>
      <c r="I9" s="159" t="n">
        <f aca="true">RAND()</f>
        <v>0.698407488604485</v>
      </c>
      <c r="J9" s="159" t="n">
        <f aca="true">RAND()</f>
        <v>0.986719780003938</v>
      </c>
      <c r="K9" s="159" t="n">
        <f aca="true">RAND()</f>
        <v>0.985403467203815</v>
      </c>
      <c r="L9" s="159" t="n">
        <f aca="true">RAND()</f>
        <v>0.7868945432655</v>
      </c>
      <c r="M9" s="159" t="n">
        <f aca="true">RAND()</f>
        <v>0.6146808176856</v>
      </c>
      <c r="N9" s="159" t="n">
        <f aca="true">RAND()</f>
        <v>0.183347354825002</v>
      </c>
      <c r="O9" s="159" t="n">
        <f aca="true">RAND()</f>
        <v>0.317665092213745</v>
      </c>
      <c r="P9" s="159" t="n">
        <f aca="true">RAND()</f>
        <v>0.855608448114859</v>
      </c>
      <c r="Q9" s="159" t="n">
        <f aca="true">RAND()</f>
        <v>0.299356582392061</v>
      </c>
      <c r="R9" s="159" t="n">
        <f aca="true">RAND()</f>
        <v>0.916618987161052</v>
      </c>
      <c r="S9" s="159" t="n">
        <f aca="true">RAND()</f>
        <v>0.326744904623247</v>
      </c>
      <c r="T9" s="159" t="n">
        <f aca="true">RAND()</f>
        <v>0.0144306842503093</v>
      </c>
      <c r="U9" s="159" t="n">
        <f aca="true">RAND()</f>
        <v>0.660486164198821</v>
      </c>
      <c r="V9" s="159" t="n">
        <f aca="true">RAND()</f>
        <v>0.601868286598616</v>
      </c>
      <c r="W9" s="159" t="n">
        <f aca="true">RAND()</f>
        <v>0.461057839469767</v>
      </c>
      <c r="X9" s="159" t="n">
        <f aca="true">RAND()</f>
        <v>0.616851607423415</v>
      </c>
      <c r="Y9" s="159" t="n">
        <f aca="true">RAND()</f>
        <v>0.559975421561949</v>
      </c>
      <c r="Z9" s="159" t="n">
        <f aca="true">RAND()</f>
        <v>0.360034769275676</v>
      </c>
      <c r="AA9" s="159" t="n">
        <f aca="true">RAND()</f>
        <v>0.370752040457988</v>
      </c>
      <c r="AB9" s="159" t="n">
        <f aca="true">RAND()</f>
        <v>0.903863603080678</v>
      </c>
      <c r="AC9" s="159" t="n">
        <f aca="true">RAND()</f>
        <v>0.104439960361357</v>
      </c>
      <c r="AD9" s="159" t="n">
        <f aca="true">RAND()</f>
        <v>0.572473149116594</v>
      </c>
      <c r="AE9" s="159" t="n">
        <f aca="true">RAND()</f>
        <v>0.159343879936847</v>
      </c>
      <c r="AF9" s="159" t="n">
        <f aca="true">RAND()</f>
        <v>0.316379757062051</v>
      </c>
      <c r="AG9" s="159" t="n">
        <f aca="true">RAND()</f>
        <v>0.0842258288392994</v>
      </c>
      <c r="AH9" s="159" t="n">
        <f aca="true">RAND()</f>
        <v>0.850536419979402</v>
      </c>
      <c r="AI9" s="159" t="n">
        <f aca="true">RAND()</f>
        <v>0.204301701682325</v>
      </c>
      <c r="AJ9" s="159" t="n">
        <f aca="true">RAND()</f>
        <v>0.00195280029558885</v>
      </c>
      <c r="AK9" s="159" t="n">
        <f aca="true">RAND()</f>
        <v>0.53291516032797</v>
      </c>
      <c r="AL9" s="159" t="n">
        <f aca="true">RAND()</f>
        <v>0.387940730453163</v>
      </c>
      <c r="AM9" s="159" t="n">
        <f aca="true">RAND()</f>
        <v>0.279683685168341</v>
      </c>
      <c r="AN9" s="159" t="n">
        <f aca="true">RAND()</f>
        <v>0.779233467743298</v>
      </c>
      <c r="AO9" s="159" t="n">
        <f aca="true">RAND()</f>
        <v>0.921779853299512</v>
      </c>
      <c r="AP9" s="159" t="n">
        <f aca="true">RAND()</f>
        <v>0.135906355809088</v>
      </c>
      <c r="AQ9" s="159" t="n">
        <f aca="true">RAND()</f>
        <v>0.283480461952338</v>
      </c>
      <c r="AR9" s="159" t="n">
        <f aca="true">RAND()</f>
        <v>0.743683395862857</v>
      </c>
      <c r="AS9" s="159" t="n">
        <f aca="true">RAND()</f>
        <v>0.926270243049815</v>
      </c>
      <c r="AT9" s="159" t="n">
        <f aca="true">RAND()</f>
        <v>0.754244162346391</v>
      </c>
      <c r="AU9" s="159" t="n">
        <f aca="true">RAND()</f>
        <v>0.471918750128644</v>
      </c>
      <c r="AV9" s="159" t="n">
        <f aca="true">RAND()</f>
        <v>0.314982979369312</v>
      </c>
      <c r="AW9" s="159" t="n">
        <f aca="true">RAND()</f>
        <v>0.68620230050665</v>
      </c>
      <c r="AX9" s="159" t="n">
        <f aca="true">RAND()</f>
        <v>0.300106529946355</v>
      </c>
      <c r="AY9" s="159" t="n">
        <f aca="true">RAND()</f>
        <v>0.76169898728397</v>
      </c>
      <c r="AZ9" s="159" t="n">
        <f aca="true">RAND()</f>
        <v>0.0732566958136041</v>
      </c>
      <c r="BA9" s="159" t="n">
        <f aca="true">RAND()</f>
        <v>0.852951319462351</v>
      </c>
      <c r="BB9" s="159" t="n">
        <f aca="true">RAND()</f>
        <v>0.490255801530418</v>
      </c>
      <c r="BC9" s="159" t="n">
        <f aca="true">RAND()</f>
        <v>0.880435217696805</v>
      </c>
      <c r="BD9" s="159" t="n">
        <f aca="true">RAND()</f>
        <v>0.0710763643463867</v>
      </c>
      <c r="BE9" s="159" t="n">
        <f aca="true">RAND()</f>
        <v>0.439542910919535</v>
      </c>
      <c r="BF9" s="159" t="n">
        <f aca="true">RAND()</f>
        <v>0.583989581717027</v>
      </c>
      <c r="BG9" s="159" t="n">
        <f aca="true">RAND()</f>
        <v>0.134016573332986</v>
      </c>
      <c r="BH9" s="159" t="n">
        <f aca="true">RAND()</f>
        <v>0.308891158687381</v>
      </c>
      <c r="BI9" s="159" t="n">
        <f aca="true">RAND()</f>
        <v>0.132240594443729</v>
      </c>
      <c r="BJ9" s="159" t="n">
        <f aca="true">RAND()</f>
        <v>0.196354083344272</v>
      </c>
      <c r="BK9" s="159" t="n">
        <f aca="true">RAND()</f>
        <v>0.646807827126447</v>
      </c>
      <c r="BL9" s="159" t="n">
        <f aca="true">RAND()</f>
        <v>0.367314938710227</v>
      </c>
      <c r="BM9" s="159" t="n">
        <f aca="true">RAND()</f>
        <v>0.852614634039985</v>
      </c>
      <c r="BN9" s="159" t="n">
        <f aca="true">RAND()</f>
        <v>0.562704990719293</v>
      </c>
      <c r="BO9" s="159" t="n">
        <f aca="true">RAND()</f>
        <v>0.202173961735398</v>
      </c>
      <c r="BP9" s="159" t="n">
        <f aca="true">RAND()</f>
        <v>0.487566864679585</v>
      </c>
      <c r="BQ9" s="159" t="n">
        <f aca="true">RAND()</f>
        <v>0.438204601530844</v>
      </c>
      <c r="BR9" s="159" t="n">
        <f aca="true">RAND()</f>
        <v>0.32669146399836</v>
      </c>
      <c r="BS9" s="159" t="n">
        <f aca="true">RAND()</f>
        <v>0.295978924245979</v>
      </c>
      <c r="BT9" s="159" t="n">
        <f aca="true">RAND()</f>
        <v>0.498519208792984</v>
      </c>
      <c r="BU9" s="159" t="n">
        <f aca="true">RAND()</f>
        <v>0.796355243594168</v>
      </c>
      <c r="BV9" s="159" t="n">
        <f aca="true">RAND()</f>
        <v>0.383380574413014</v>
      </c>
      <c r="BW9" s="159" t="n">
        <f aca="true">RAND()</f>
        <v>0.240892243856743</v>
      </c>
      <c r="BX9" s="159" t="n">
        <f aca="true">RAND()</f>
        <v>0.0189305542982038</v>
      </c>
      <c r="BY9" s="159" t="n">
        <f aca="true">RAND()</f>
        <v>0.39398810068891</v>
      </c>
      <c r="BZ9" s="160" t="n">
        <f aca="false">Simulator!J12*Simulator!$D$5+Simulator!K12*Simulator!$D$6+Simulator!L12*Simulator!$D$7+Simulator!M12*Simulator!$D$8+Simulator!N12*Simulator!$D$9+Simulator!O12*Simulator!$D$10</f>
        <v>0.664921515551875</v>
      </c>
      <c r="CA9" s="160" t="n">
        <f aca="false">IF($BZ9=0,0.1667,(Simulator!J12*Simulator!$D$5)/$BZ9)</f>
        <v>0.347129862542435</v>
      </c>
      <c r="CB9" s="160" t="n">
        <f aca="false">IF($BZ9=0,0.3333,(Simulator!J12*Simulator!$D$5+Simulator!K12*Simulator!$D$6)/$BZ9)</f>
        <v>0.882959228476598</v>
      </c>
      <c r="CC9" s="160" t="n">
        <f aca="false">IF($BZ9=0,0.5,(Simulator!J12*Simulator!$D$5+Simulator!K12*Simulator!$D$6+Simulator!L12*Simulator!$D$7)/$BZ9)</f>
        <v>0.931140573153107</v>
      </c>
      <c r="CD9" s="160" t="n">
        <f aca="false">IF($BZ9=0,0.6667,(Simulator!J12*Simulator!$D$5+Simulator!K12*Simulator!$D$6+Simulator!L12*Simulator!$D$7+Simulator!M12*Simulator!$D$8)/$BZ9)</f>
        <v>0.994614020448589</v>
      </c>
      <c r="CE9" s="160" t="n">
        <f aca="false">IF($BZ9=0,0.8333,(Simulator!J12*Simulator!$D$5+Simulator!K12*Simulator!$D$6+Simulator!L12*Simulator!$D$7+Simulator!M12*Simulator!$D$8+Simulator!N12*Simulator!$D$9)/$BZ9)</f>
        <v>0.99970631968449</v>
      </c>
    </row>
    <row r="10" customFormat="false" ht="15" hidden="false" customHeight="false" outlineLevel="0" collapsed="false">
      <c r="A10" s="158" t="s">
        <v>50</v>
      </c>
      <c r="B10" s="159" t="n">
        <f aca="true">RAND()</f>
        <v>0.482183255484647</v>
      </c>
      <c r="C10" s="159" t="n">
        <f aca="true">RAND()</f>
        <v>0.246591709114432</v>
      </c>
      <c r="D10" s="159" t="n">
        <f aca="true">RAND()</f>
        <v>0.877704392023335</v>
      </c>
      <c r="E10" s="159" t="n">
        <f aca="true">RAND()</f>
        <v>0.376573885369463</v>
      </c>
      <c r="F10" s="159" t="n">
        <f aca="true">RAND()</f>
        <v>0.00468937720421491</v>
      </c>
      <c r="G10" s="159" t="n">
        <f aca="true">RAND()</f>
        <v>0.111488529490493</v>
      </c>
      <c r="H10" s="159" t="n">
        <f aca="true">RAND()</f>
        <v>0.393398822379734</v>
      </c>
      <c r="I10" s="159" t="n">
        <f aca="true">RAND()</f>
        <v>0.01270991929749</v>
      </c>
      <c r="J10" s="159" t="n">
        <f aca="true">RAND()</f>
        <v>0.65248296175789</v>
      </c>
      <c r="K10" s="159" t="n">
        <f aca="true">RAND()</f>
        <v>0.679330129515874</v>
      </c>
      <c r="L10" s="159" t="n">
        <f aca="true">RAND()</f>
        <v>0.265427944362005</v>
      </c>
      <c r="M10" s="159" t="n">
        <f aca="true">RAND()</f>
        <v>0.177956983311754</v>
      </c>
      <c r="N10" s="159" t="n">
        <f aca="true">RAND()</f>
        <v>0.796850862354498</v>
      </c>
      <c r="O10" s="159" t="n">
        <f aca="true">RAND()</f>
        <v>0.35601907824374</v>
      </c>
      <c r="P10" s="159" t="n">
        <f aca="true">RAND()</f>
        <v>0.996595357435007</v>
      </c>
      <c r="Q10" s="159" t="n">
        <f aca="true">RAND()</f>
        <v>0.945368905626067</v>
      </c>
      <c r="R10" s="159" t="n">
        <f aca="true">RAND()</f>
        <v>0.92879245931269</v>
      </c>
      <c r="S10" s="159" t="n">
        <f aca="true">RAND()</f>
        <v>0.132075484413118</v>
      </c>
      <c r="T10" s="159" t="n">
        <f aca="true">RAND()</f>
        <v>0.39567201952715</v>
      </c>
      <c r="U10" s="159" t="n">
        <f aca="true">RAND()</f>
        <v>0.591635698220117</v>
      </c>
      <c r="V10" s="159" t="n">
        <f aca="true">RAND()</f>
        <v>0.686448106794446</v>
      </c>
      <c r="W10" s="159" t="n">
        <f aca="true">RAND()</f>
        <v>0.145872963914957</v>
      </c>
      <c r="X10" s="159" t="n">
        <f aca="true">RAND()</f>
        <v>0.396950534350446</v>
      </c>
      <c r="Y10" s="159" t="n">
        <f aca="true">RAND()</f>
        <v>0.791367715478689</v>
      </c>
      <c r="Z10" s="159" t="n">
        <f aca="true">RAND()</f>
        <v>0.357889246512613</v>
      </c>
      <c r="AA10" s="159" t="n">
        <f aca="true">RAND()</f>
        <v>0.396958531832044</v>
      </c>
      <c r="AB10" s="159" t="n">
        <f aca="true">RAND()</f>
        <v>0.118598853570365</v>
      </c>
      <c r="AC10" s="159" t="n">
        <f aca="true">RAND()</f>
        <v>0.135016202773702</v>
      </c>
      <c r="AD10" s="159" t="n">
        <f aca="true">RAND()</f>
        <v>0.252039942486192</v>
      </c>
      <c r="AE10" s="159" t="n">
        <f aca="true">RAND()</f>
        <v>0.479550204614689</v>
      </c>
      <c r="AF10" s="159" t="n">
        <f aca="true">RAND()</f>
        <v>0.568413769568035</v>
      </c>
      <c r="AG10" s="159" t="n">
        <f aca="true">RAND()</f>
        <v>0.776371029212089</v>
      </c>
      <c r="AH10" s="159" t="n">
        <f aca="true">RAND()</f>
        <v>0.86694102772898</v>
      </c>
      <c r="AI10" s="159" t="n">
        <f aca="true">RAND()</f>
        <v>0.106465047914646</v>
      </c>
      <c r="AJ10" s="159" t="n">
        <f aca="true">RAND()</f>
        <v>0.955393039917453</v>
      </c>
      <c r="AK10" s="159" t="n">
        <f aca="true">RAND()</f>
        <v>0.202537354005383</v>
      </c>
      <c r="AL10" s="159" t="n">
        <f aca="true">RAND()</f>
        <v>0.404449378359912</v>
      </c>
      <c r="AM10" s="159" t="n">
        <f aca="true">RAND()</f>
        <v>0.0489950150335059</v>
      </c>
      <c r="AN10" s="159" t="n">
        <f aca="true">RAND()</f>
        <v>0.206795311738298</v>
      </c>
      <c r="AO10" s="159" t="n">
        <f aca="true">RAND()</f>
        <v>0.586168430197692</v>
      </c>
      <c r="AP10" s="159" t="n">
        <f aca="true">RAND()</f>
        <v>0.846744453344331</v>
      </c>
      <c r="AQ10" s="159" t="n">
        <f aca="true">RAND()</f>
        <v>0.600745908202041</v>
      </c>
      <c r="AR10" s="159" t="n">
        <f aca="true">RAND()</f>
        <v>0.0959013992840164</v>
      </c>
      <c r="AS10" s="159" t="n">
        <f aca="true">RAND()</f>
        <v>0.0270323011430978</v>
      </c>
      <c r="AT10" s="159" t="n">
        <f aca="true">RAND()</f>
        <v>0.994529505191487</v>
      </c>
      <c r="AU10" s="159" t="n">
        <f aca="true">RAND()</f>
        <v>0.399151230724017</v>
      </c>
      <c r="AV10" s="159" t="n">
        <f aca="true">RAND()</f>
        <v>0.650024506083104</v>
      </c>
      <c r="AW10" s="159" t="n">
        <f aca="true">RAND()</f>
        <v>0.136974480494474</v>
      </c>
      <c r="AX10" s="159" t="n">
        <f aca="true">RAND()</f>
        <v>0.597237780626709</v>
      </c>
      <c r="AY10" s="159" t="n">
        <f aca="true">RAND()</f>
        <v>0.681337622559136</v>
      </c>
      <c r="AZ10" s="159" t="n">
        <f aca="true">RAND()</f>
        <v>0.149142437512009</v>
      </c>
      <c r="BA10" s="159" t="n">
        <f aca="true">RAND()</f>
        <v>0.616789247827277</v>
      </c>
      <c r="BB10" s="159" t="n">
        <f aca="true">RAND()</f>
        <v>0.299382388589206</v>
      </c>
      <c r="BC10" s="159" t="n">
        <f aca="true">RAND()</f>
        <v>0.0771600703167706</v>
      </c>
      <c r="BD10" s="159" t="n">
        <f aca="true">RAND()</f>
        <v>0.899047669707114</v>
      </c>
      <c r="BE10" s="159" t="n">
        <f aca="true">RAND()</f>
        <v>0.530085611515408</v>
      </c>
      <c r="BF10" s="159" t="n">
        <f aca="true">RAND()</f>
        <v>0.866987718659944</v>
      </c>
      <c r="BG10" s="159" t="n">
        <f aca="true">RAND()</f>
        <v>0.947730644316122</v>
      </c>
      <c r="BH10" s="159" t="n">
        <f aca="true">RAND()</f>
        <v>0.18785941715169</v>
      </c>
      <c r="BI10" s="159" t="n">
        <f aca="true">RAND()</f>
        <v>0.198538772377113</v>
      </c>
      <c r="BJ10" s="159" t="n">
        <f aca="true">RAND()</f>
        <v>0.425729985124295</v>
      </c>
      <c r="BK10" s="159" t="n">
        <f aca="true">RAND()</f>
        <v>0.383880071670349</v>
      </c>
      <c r="BL10" s="159" t="n">
        <f aca="true">RAND()</f>
        <v>0.297384910837039</v>
      </c>
      <c r="BM10" s="159" t="n">
        <f aca="true">RAND()</f>
        <v>0.742795429739278</v>
      </c>
      <c r="BN10" s="159" t="n">
        <f aca="true">RAND()</f>
        <v>0.913317052676461</v>
      </c>
      <c r="BO10" s="159" t="n">
        <f aca="true">RAND()</f>
        <v>0.735113759974314</v>
      </c>
      <c r="BP10" s="159" t="n">
        <f aca="true">RAND()</f>
        <v>0.401532192636165</v>
      </c>
      <c r="BQ10" s="159" t="n">
        <f aca="true">RAND()</f>
        <v>0.704997379666524</v>
      </c>
      <c r="BR10" s="159" t="n">
        <f aca="true">RAND()</f>
        <v>0.0152087750126931</v>
      </c>
      <c r="BS10" s="159" t="n">
        <f aca="true">RAND()</f>
        <v>0.180552089624886</v>
      </c>
      <c r="BT10" s="159" t="n">
        <f aca="true">RAND()</f>
        <v>0.0678501407099626</v>
      </c>
      <c r="BU10" s="159" t="n">
        <f aca="true">RAND()</f>
        <v>0.0257218391462339</v>
      </c>
      <c r="BV10" s="159" t="n">
        <f aca="true">RAND()</f>
        <v>0.524966617001625</v>
      </c>
      <c r="BW10" s="159" t="n">
        <f aca="true">RAND()</f>
        <v>0.628370571425515</v>
      </c>
      <c r="BX10" s="159" t="n">
        <f aca="true">RAND()</f>
        <v>0.652702398779288</v>
      </c>
      <c r="BY10" s="159" t="n">
        <f aca="true">RAND()</f>
        <v>0.893007475456741</v>
      </c>
      <c r="BZ10" s="160" t="n">
        <f aca="false">Simulator!J13*Simulator!$D$5+Simulator!K13*Simulator!$D$6+Simulator!L13*Simulator!$D$7+Simulator!M13*Simulator!$D$8+Simulator!N13*Simulator!$D$9+Simulator!O13*Simulator!$D$10</f>
        <v>0.612629553751725</v>
      </c>
      <c r="CA10" s="160" t="n">
        <f aca="false">IF($BZ10=0,0.1667,(Simulator!J13*Simulator!$D$5)/$BZ10)</f>
        <v>0.418258280409077</v>
      </c>
      <c r="CB10" s="160" t="n">
        <f aca="false">IF($BZ10=0,0.3333,(Simulator!J13*Simulator!$D$5+Simulator!K13*Simulator!$D$6)/$BZ10)</f>
        <v>0.852101025651279</v>
      </c>
      <c r="CC10" s="160" t="n">
        <f aca="false">IF($BZ10=0,0.5,(Simulator!J13*Simulator!$D$5+Simulator!K13*Simulator!$D$6+Simulator!L13*Simulator!$D$7)/$BZ10)</f>
        <v>0.8940001035272</v>
      </c>
      <c r="CD10" s="160" t="n">
        <f aca="false">IF($BZ10=0,0.6667,(Simulator!J13*Simulator!$D$5+Simulator!K13*Simulator!$D$6+Simulator!L13*Simulator!$D$7+Simulator!M13*Simulator!$D$8)/$BZ10)</f>
        <v>0.993511073367282</v>
      </c>
      <c r="CE10" s="160" t="n">
        <f aca="false">IF($BZ10=0,0.8333,(Simulator!J13*Simulator!$D$5+Simulator!K13*Simulator!$D$6+Simulator!L13*Simulator!$D$7+Simulator!M13*Simulator!$D$8+Simulator!N13*Simulator!$D$9)/$BZ10)</f>
        <v>0.999681252137967</v>
      </c>
    </row>
    <row r="11" customFormat="false" ht="15" hidden="false" customHeight="false" outlineLevel="0" collapsed="false">
      <c r="A11" s="158" t="s">
        <v>52</v>
      </c>
      <c r="B11" s="159" t="n">
        <f aca="true">RAND()</f>
        <v>0.43687484210224</v>
      </c>
      <c r="C11" s="159" t="n">
        <f aca="true">RAND()</f>
        <v>0.713767208199376</v>
      </c>
      <c r="D11" s="159" t="n">
        <f aca="true">RAND()</f>
        <v>0.663639256452237</v>
      </c>
      <c r="E11" s="159" t="n">
        <f aca="true">RAND()</f>
        <v>0.527046906478123</v>
      </c>
      <c r="F11" s="159" t="n">
        <f aca="true">RAND()</f>
        <v>0.0553515884548463</v>
      </c>
      <c r="G11" s="159" t="n">
        <f aca="true">RAND()</f>
        <v>0.570355218576308</v>
      </c>
      <c r="H11" s="159" t="n">
        <f aca="true">RAND()</f>
        <v>0.482142187996525</v>
      </c>
      <c r="I11" s="159" t="n">
        <f aca="true">RAND()</f>
        <v>0.0070181823751178</v>
      </c>
      <c r="J11" s="159" t="n">
        <f aca="true">RAND()</f>
        <v>0.217510652980864</v>
      </c>
      <c r="K11" s="159" t="n">
        <f aca="true">RAND()</f>
        <v>0.0288362568091022</v>
      </c>
      <c r="L11" s="159" t="n">
        <f aca="true">RAND()</f>
        <v>0.354764004494022</v>
      </c>
      <c r="M11" s="159" t="n">
        <f aca="true">RAND()</f>
        <v>0.1798725194573</v>
      </c>
      <c r="N11" s="159" t="n">
        <f aca="true">RAND()</f>
        <v>0.318648661126607</v>
      </c>
      <c r="O11" s="159" t="n">
        <f aca="true">RAND()</f>
        <v>0.63937166554181</v>
      </c>
      <c r="P11" s="159" t="n">
        <f aca="true">RAND()</f>
        <v>0.909536407370992</v>
      </c>
      <c r="Q11" s="159" t="n">
        <f aca="true">RAND()</f>
        <v>0.553865549066177</v>
      </c>
      <c r="R11" s="159" t="n">
        <f aca="true">RAND()</f>
        <v>0.461094132621119</v>
      </c>
      <c r="S11" s="159" t="n">
        <f aca="true">RAND()</f>
        <v>0.0517481523227436</v>
      </c>
      <c r="T11" s="159" t="n">
        <f aca="true">RAND()</f>
        <v>0.660158243857979</v>
      </c>
      <c r="U11" s="159" t="n">
        <f aca="true">RAND()</f>
        <v>0.709477243896819</v>
      </c>
      <c r="V11" s="159" t="n">
        <f aca="true">RAND()</f>
        <v>0.574164722221986</v>
      </c>
      <c r="W11" s="159" t="n">
        <f aca="true">RAND()</f>
        <v>0.899570716244209</v>
      </c>
      <c r="X11" s="159" t="n">
        <f aca="true">RAND()</f>
        <v>0.695146208894023</v>
      </c>
      <c r="Y11" s="159" t="n">
        <f aca="true">RAND()</f>
        <v>0.58832161061722</v>
      </c>
      <c r="Z11" s="159" t="n">
        <f aca="true">RAND()</f>
        <v>0.366116300535062</v>
      </c>
      <c r="AA11" s="159" t="n">
        <f aca="true">RAND()</f>
        <v>0.308093539094663</v>
      </c>
      <c r="AB11" s="159" t="n">
        <f aca="true">RAND()</f>
        <v>0.733412437357995</v>
      </c>
      <c r="AC11" s="159" t="n">
        <f aca="true">RAND()</f>
        <v>0.559214670970748</v>
      </c>
      <c r="AD11" s="159" t="n">
        <f aca="true">RAND()</f>
        <v>0.482717792490872</v>
      </c>
      <c r="AE11" s="159" t="n">
        <f aca="true">RAND()</f>
        <v>0.825259333058999</v>
      </c>
      <c r="AF11" s="159" t="n">
        <f aca="true">RAND()</f>
        <v>0.336910055593051</v>
      </c>
      <c r="AG11" s="159" t="n">
        <f aca="true">RAND()</f>
        <v>0.582925325173133</v>
      </c>
      <c r="AH11" s="159" t="n">
        <f aca="true">RAND()</f>
        <v>0.127430637232444</v>
      </c>
      <c r="AI11" s="159" t="n">
        <f aca="true">RAND()</f>
        <v>0.655932491135972</v>
      </c>
      <c r="AJ11" s="159" t="n">
        <f aca="true">RAND()</f>
        <v>0.308562246725766</v>
      </c>
      <c r="AK11" s="159" t="n">
        <f aca="true">RAND()</f>
        <v>0.0260273001211197</v>
      </c>
      <c r="AL11" s="159" t="n">
        <f aca="true">RAND()</f>
        <v>0.676127029169726</v>
      </c>
      <c r="AM11" s="159" t="n">
        <f aca="true">RAND()</f>
        <v>0.171881427195607</v>
      </c>
      <c r="AN11" s="159" t="n">
        <f aca="true">RAND()</f>
        <v>0.555036597026163</v>
      </c>
      <c r="AO11" s="159" t="n">
        <f aca="true">RAND()</f>
        <v>0.806978492551868</v>
      </c>
      <c r="AP11" s="159" t="n">
        <f aca="true">RAND()</f>
        <v>0.18946983832674</v>
      </c>
      <c r="AQ11" s="159" t="n">
        <f aca="true">RAND()</f>
        <v>0.85281025593186</v>
      </c>
      <c r="AR11" s="159" t="n">
        <f aca="true">RAND()</f>
        <v>0.53790005113117</v>
      </c>
      <c r="AS11" s="159" t="n">
        <f aca="true">RAND()</f>
        <v>0.690270792112815</v>
      </c>
      <c r="AT11" s="159" t="n">
        <f aca="true">RAND()</f>
        <v>0.557731189657016</v>
      </c>
      <c r="AU11" s="159" t="n">
        <f aca="true">RAND()</f>
        <v>0.662465832656078</v>
      </c>
      <c r="AV11" s="159" t="n">
        <f aca="true">RAND()</f>
        <v>0.0517609080059758</v>
      </c>
      <c r="AW11" s="159" t="n">
        <f aca="true">RAND()</f>
        <v>0.173751479196047</v>
      </c>
      <c r="AX11" s="159" t="n">
        <f aca="true">RAND()</f>
        <v>0.660562538759289</v>
      </c>
      <c r="AY11" s="159" t="n">
        <f aca="true">RAND()</f>
        <v>0.783469046330237</v>
      </c>
      <c r="AZ11" s="159" t="n">
        <f aca="true">RAND()</f>
        <v>0.905404392016648</v>
      </c>
      <c r="BA11" s="159" t="n">
        <f aca="true">RAND()</f>
        <v>0.247758998816085</v>
      </c>
      <c r="BB11" s="159" t="n">
        <f aca="true">RAND()</f>
        <v>0.273126312809884</v>
      </c>
      <c r="BC11" s="159" t="n">
        <f aca="true">RAND()</f>
        <v>0.538949269970695</v>
      </c>
      <c r="BD11" s="159" t="n">
        <f aca="true">RAND()</f>
        <v>0.48353679243582</v>
      </c>
      <c r="BE11" s="159" t="n">
        <f aca="true">RAND()</f>
        <v>0.870897140764822</v>
      </c>
      <c r="BF11" s="159" t="n">
        <f aca="true">RAND()</f>
        <v>0.93609991130498</v>
      </c>
      <c r="BG11" s="159" t="n">
        <f aca="true">RAND()</f>
        <v>0.861114021381625</v>
      </c>
      <c r="BH11" s="159" t="n">
        <f aca="true">RAND()</f>
        <v>0.67273029315822</v>
      </c>
      <c r="BI11" s="159" t="n">
        <f aca="true">RAND()</f>
        <v>0.286064796336604</v>
      </c>
      <c r="BJ11" s="159" t="n">
        <f aca="true">RAND()</f>
        <v>0.549878289163816</v>
      </c>
      <c r="BK11" s="159" t="n">
        <f aca="true">RAND()</f>
        <v>0.951190423813766</v>
      </c>
      <c r="BL11" s="159" t="n">
        <f aca="true">RAND()</f>
        <v>0.00693366956629945</v>
      </c>
      <c r="BM11" s="159" t="n">
        <f aca="true">RAND()</f>
        <v>0.827382418937134</v>
      </c>
      <c r="BN11" s="159" t="n">
        <f aca="true">RAND()</f>
        <v>0.817232661589777</v>
      </c>
      <c r="BO11" s="159" t="n">
        <f aca="true">RAND()</f>
        <v>0.82138375083292</v>
      </c>
      <c r="BP11" s="159" t="n">
        <f aca="true">RAND()</f>
        <v>0.165321117314199</v>
      </c>
      <c r="BQ11" s="159" t="n">
        <f aca="true">RAND()</f>
        <v>0.301825366053505</v>
      </c>
      <c r="BR11" s="159" t="n">
        <f aca="true">RAND()</f>
        <v>0.403837780285023</v>
      </c>
      <c r="BS11" s="159" t="n">
        <f aca="true">RAND()</f>
        <v>0.51983399976549</v>
      </c>
      <c r="BT11" s="159" t="n">
        <f aca="true">RAND()</f>
        <v>0.435729703178957</v>
      </c>
      <c r="BU11" s="159" t="n">
        <f aca="true">RAND()</f>
        <v>0.116688845405615</v>
      </c>
      <c r="BV11" s="159" t="n">
        <f aca="true">RAND()</f>
        <v>0.278476528086189</v>
      </c>
      <c r="BW11" s="159" t="n">
        <f aca="true">RAND()</f>
        <v>0.812214452598276</v>
      </c>
      <c r="BX11" s="159" t="n">
        <f aca="true">RAND()</f>
        <v>0.0425681711546889</v>
      </c>
      <c r="BY11" s="159" t="n">
        <f aca="true">RAND()</f>
        <v>0.736305932517495</v>
      </c>
      <c r="BZ11" s="160" t="n">
        <f aca="false">Simulator!J14*Simulator!$D$5+Simulator!K14*Simulator!$D$6+Simulator!L14*Simulator!$D$7+Simulator!M14*Simulator!$D$8+Simulator!N14*Simulator!$D$9+Simulator!O14*Simulator!$D$10</f>
        <v>0.687760111960249</v>
      </c>
      <c r="CA11" s="160" t="n">
        <f aca="false">IF($BZ11=0,0.1667,(Simulator!J14*Simulator!$D$5)/$BZ11)</f>
        <v>0.308802615325226</v>
      </c>
      <c r="CB11" s="160" t="n">
        <f aca="false">IF($BZ11=0,0.3333,(Simulator!J14*Simulator!$D$5+Simulator!K14*Simulator!$D$6)/$BZ11)</f>
        <v>0.893551230453515</v>
      </c>
      <c r="CC11" s="160" t="n">
        <f aca="false">IF($BZ11=0,0.5,(Simulator!J14*Simulator!$D$5+Simulator!K14*Simulator!$D$6+Simulator!L14*Simulator!$D$7)/$BZ11)</f>
        <v>0.945908122050234</v>
      </c>
      <c r="CD11" s="160" t="n">
        <f aca="false">IF($BZ11=0,0.6667,(Simulator!J14*Simulator!$D$5+Simulator!K14*Simulator!$D$6+Simulator!L14*Simulator!$D$7+Simulator!M14*Simulator!$D$8)/$BZ11)</f>
        <v>0.995326540792885</v>
      </c>
      <c r="CE11" s="160" t="n">
        <f aca="false">IF($BZ11=0,0.8333,(Simulator!J14*Simulator!$D$5+Simulator!K14*Simulator!$D$6+Simulator!L14*Simulator!$D$7+Simulator!M14*Simulator!$D$8+Simulator!N14*Simulator!$D$9)/$BZ11)</f>
        <v>0.999716071989229</v>
      </c>
    </row>
    <row r="12" customFormat="false" ht="15" hidden="false" customHeight="false" outlineLevel="0" collapsed="false">
      <c r="A12" s="158" t="s">
        <v>53</v>
      </c>
      <c r="B12" s="159" t="n">
        <f aca="true">RAND()</f>
        <v>0.369663317313359</v>
      </c>
      <c r="C12" s="159" t="n">
        <f aca="true">RAND()</f>
        <v>0.859470123688729</v>
      </c>
      <c r="D12" s="159" t="n">
        <f aca="true">RAND()</f>
        <v>0.639703221111974</v>
      </c>
      <c r="E12" s="159" t="n">
        <f aca="true">RAND()</f>
        <v>0.695736063976971</v>
      </c>
      <c r="F12" s="159" t="n">
        <f aca="true">RAND()</f>
        <v>0.662671156553567</v>
      </c>
      <c r="G12" s="159" t="n">
        <f aca="true">RAND()</f>
        <v>0.330821619045189</v>
      </c>
      <c r="H12" s="159" t="n">
        <f aca="true">RAND()</f>
        <v>0.273616859821403</v>
      </c>
      <c r="I12" s="159" t="n">
        <f aca="true">RAND()</f>
        <v>0.550335165708476</v>
      </c>
      <c r="J12" s="159" t="n">
        <f aca="true">RAND()</f>
        <v>0.447768744986379</v>
      </c>
      <c r="K12" s="159" t="n">
        <f aca="true">RAND()</f>
        <v>0.68641903434119</v>
      </c>
      <c r="L12" s="159" t="n">
        <f aca="true">RAND()</f>
        <v>0.107630573807819</v>
      </c>
      <c r="M12" s="159" t="n">
        <f aca="true">RAND()</f>
        <v>0.518447351278703</v>
      </c>
      <c r="N12" s="159" t="n">
        <f aca="true">RAND()</f>
        <v>0.246928876855957</v>
      </c>
      <c r="O12" s="159" t="n">
        <f aca="true">RAND()</f>
        <v>0.868621285429437</v>
      </c>
      <c r="P12" s="159" t="n">
        <f aca="true">RAND()</f>
        <v>0.978449070326587</v>
      </c>
      <c r="Q12" s="159" t="n">
        <f aca="true">RAND()</f>
        <v>0.173267839814291</v>
      </c>
      <c r="R12" s="159" t="n">
        <f aca="true">RAND()</f>
        <v>0.38362431309717</v>
      </c>
      <c r="S12" s="159" t="n">
        <f aca="true">RAND()</f>
        <v>0.025195957501769</v>
      </c>
      <c r="T12" s="159" t="n">
        <f aca="true">RAND()</f>
        <v>0.243172965254418</v>
      </c>
      <c r="U12" s="159" t="n">
        <f aca="true">RAND()</f>
        <v>0.147861100231138</v>
      </c>
      <c r="V12" s="159" t="n">
        <f aca="true">RAND()</f>
        <v>0.902454866516304</v>
      </c>
      <c r="W12" s="159" t="n">
        <f aca="true">RAND()</f>
        <v>0.218014436301394</v>
      </c>
      <c r="X12" s="159" t="n">
        <f aca="true">RAND()</f>
        <v>0.208300086801688</v>
      </c>
      <c r="Y12" s="159" t="n">
        <f aca="true">RAND()</f>
        <v>0.960124682349268</v>
      </c>
      <c r="Z12" s="159" t="n">
        <f aca="true">RAND()</f>
        <v>0.762207549076976</v>
      </c>
      <c r="AA12" s="159" t="n">
        <f aca="true">RAND()</f>
        <v>0.377617768231801</v>
      </c>
      <c r="AB12" s="159" t="n">
        <f aca="true">RAND()</f>
        <v>0.893935408469006</v>
      </c>
      <c r="AC12" s="159" t="n">
        <f aca="true">RAND()</f>
        <v>0.0342313734706557</v>
      </c>
      <c r="AD12" s="159" t="n">
        <f aca="true">RAND()</f>
        <v>0.207988826540589</v>
      </c>
      <c r="AE12" s="159" t="n">
        <f aca="true">RAND()</f>
        <v>0.302101581481156</v>
      </c>
      <c r="AF12" s="159" t="n">
        <f aca="true">RAND()</f>
        <v>0.292227267573001</v>
      </c>
      <c r="AG12" s="159" t="n">
        <f aca="true">RAND()</f>
        <v>0.916110935056492</v>
      </c>
      <c r="AH12" s="159" t="n">
        <f aca="true">RAND()</f>
        <v>0.300659019941005</v>
      </c>
      <c r="AI12" s="159" t="n">
        <f aca="true">RAND()</f>
        <v>0.216061022369059</v>
      </c>
      <c r="AJ12" s="159" t="n">
        <f aca="true">RAND()</f>
        <v>0.129149333939383</v>
      </c>
      <c r="AK12" s="159" t="n">
        <f aca="true">RAND()</f>
        <v>0.531562002347043</v>
      </c>
      <c r="AL12" s="159" t="n">
        <f aca="true">RAND()</f>
        <v>0.637521984343205</v>
      </c>
      <c r="AM12" s="159" t="n">
        <f aca="true">RAND()</f>
        <v>0.0421578567205193</v>
      </c>
      <c r="AN12" s="159" t="n">
        <f aca="true">RAND()</f>
        <v>0.92756089008238</v>
      </c>
      <c r="AO12" s="159" t="n">
        <f aca="true">RAND()</f>
        <v>0.476473405944956</v>
      </c>
      <c r="AP12" s="159" t="n">
        <f aca="true">RAND()</f>
        <v>0.484239374957412</v>
      </c>
      <c r="AQ12" s="159" t="n">
        <f aca="true">RAND()</f>
        <v>0.124992008191697</v>
      </c>
      <c r="AR12" s="159" t="n">
        <f aca="true">RAND()</f>
        <v>0.679920834051211</v>
      </c>
      <c r="AS12" s="159" t="n">
        <f aca="true">RAND()</f>
        <v>0.258531128081078</v>
      </c>
      <c r="AT12" s="159" t="n">
        <f aca="true">RAND()</f>
        <v>0.00569100474183309</v>
      </c>
      <c r="AU12" s="159" t="n">
        <f aca="true">RAND()</f>
        <v>0.857240294177661</v>
      </c>
      <c r="AV12" s="159" t="n">
        <f aca="true">RAND()</f>
        <v>0.840587905889333</v>
      </c>
      <c r="AW12" s="159" t="n">
        <f aca="true">RAND()</f>
        <v>0.418496482711278</v>
      </c>
      <c r="AX12" s="159" t="n">
        <f aca="true">RAND()</f>
        <v>0.462270144965662</v>
      </c>
      <c r="AY12" s="159" t="n">
        <f aca="true">RAND()</f>
        <v>0.430110631783646</v>
      </c>
      <c r="AZ12" s="159" t="n">
        <f aca="true">RAND()</f>
        <v>0.361241157657122</v>
      </c>
      <c r="BA12" s="159" t="n">
        <f aca="true">RAND()</f>
        <v>0.182357315252548</v>
      </c>
      <c r="BB12" s="159" t="n">
        <f aca="true">RAND()</f>
        <v>0.935655121772544</v>
      </c>
      <c r="BC12" s="159" t="n">
        <f aca="true">RAND()</f>
        <v>0.567782693322577</v>
      </c>
      <c r="BD12" s="159" t="n">
        <f aca="true">RAND()</f>
        <v>0.564853990999126</v>
      </c>
      <c r="BE12" s="159" t="n">
        <f aca="true">RAND()</f>
        <v>0.0865696788408448</v>
      </c>
      <c r="BF12" s="159" t="n">
        <f aca="true">RAND()</f>
        <v>0.956176745814892</v>
      </c>
      <c r="BG12" s="159" t="n">
        <f aca="true">RAND()</f>
        <v>0.449325895782294</v>
      </c>
      <c r="BH12" s="159" t="n">
        <f aca="true">RAND()</f>
        <v>0.112073108900349</v>
      </c>
      <c r="BI12" s="159" t="n">
        <f aca="true">RAND()</f>
        <v>0.121598374250327</v>
      </c>
      <c r="BJ12" s="159" t="n">
        <f aca="true">RAND()</f>
        <v>0.834902394531095</v>
      </c>
      <c r="BK12" s="159" t="n">
        <f aca="true">RAND()</f>
        <v>0.958514258140092</v>
      </c>
      <c r="BL12" s="159" t="n">
        <f aca="true">RAND()</f>
        <v>0.0332882347790759</v>
      </c>
      <c r="BM12" s="159" t="n">
        <f aca="true">RAND()</f>
        <v>0.0441296990139961</v>
      </c>
      <c r="BN12" s="159" t="n">
        <f aca="true">RAND()</f>
        <v>0.0858608876103017</v>
      </c>
      <c r="BO12" s="159" t="n">
        <f aca="true">RAND()</f>
        <v>0.923022350419789</v>
      </c>
      <c r="BP12" s="159" t="n">
        <f aca="true">RAND()</f>
        <v>0.0115557861664595</v>
      </c>
      <c r="BQ12" s="159" t="n">
        <f aca="true">RAND()</f>
        <v>0.487060650599497</v>
      </c>
      <c r="BR12" s="159" t="n">
        <f aca="true">RAND()</f>
        <v>0.926805716811978</v>
      </c>
      <c r="BS12" s="159" t="n">
        <f aca="true">RAND()</f>
        <v>0.367029819605352</v>
      </c>
      <c r="BT12" s="159" t="n">
        <f aca="true">RAND()</f>
        <v>0.110363125411095</v>
      </c>
      <c r="BU12" s="159" t="n">
        <f aca="true">RAND()</f>
        <v>0.00988625490587512</v>
      </c>
      <c r="BV12" s="159" t="n">
        <f aca="true">RAND()</f>
        <v>0.315321767431468</v>
      </c>
      <c r="BW12" s="159" t="n">
        <f aca="true">RAND()</f>
        <v>0.687529676473507</v>
      </c>
      <c r="BX12" s="159" t="n">
        <f aca="true">RAND()</f>
        <v>0.807107084736778</v>
      </c>
      <c r="BY12" s="159" t="n">
        <f aca="true">RAND()</f>
        <v>0.296297413991642</v>
      </c>
      <c r="BZ12" s="160" t="n">
        <f aca="false">Simulator!J15*Simulator!$D$5+Simulator!K15*Simulator!$D$6+Simulator!L15*Simulator!$D$7+Simulator!M15*Simulator!$D$8+Simulator!N15*Simulator!$D$9+Simulator!O15*Simulator!$D$10</f>
        <v>0.693691868273599</v>
      </c>
      <c r="CA12" s="160" t="n">
        <f aca="false">IF($BZ12=0,0.1667,(Simulator!J15*Simulator!$D$5)/$BZ12)</f>
        <v>0.399659101300332</v>
      </c>
      <c r="CB12" s="160" t="n">
        <f aca="false">IF($BZ12=0,0.3333,(Simulator!J15*Simulator!$D$5+Simulator!K15*Simulator!$D$6)/$BZ12)</f>
        <v>0.898324813147323</v>
      </c>
      <c r="CC12" s="160" t="n">
        <f aca="false">IF($BZ12=0,0.5,(Simulator!J15*Simulator!$D$5+Simulator!K15*Simulator!$D$6+Simulator!L15*Simulator!$D$7)/$BZ12)</f>
        <v>0.949264286208291</v>
      </c>
      <c r="CD12" s="160" t="n">
        <f aca="false">IF($BZ12=0,0.6667,(Simulator!J15*Simulator!$D$5+Simulator!K15*Simulator!$D$6+Simulator!L15*Simulator!$D$7+Simulator!M15*Simulator!$D$8)/$BZ12)</f>
        <v>0.99507537001315</v>
      </c>
      <c r="CE12" s="160" t="n">
        <f aca="false">IF($BZ12=0,0.8333,(Simulator!J15*Simulator!$D$5+Simulator!K15*Simulator!$D$6+Simulator!L15*Simulator!$D$7+Simulator!M15*Simulator!$D$8+Simulator!N15*Simulator!$D$9)/$BZ12)</f>
        <v>0.999718499856482</v>
      </c>
    </row>
    <row r="13" customFormat="false" ht="15" hidden="false" customHeight="false" outlineLevel="0" collapsed="false">
      <c r="A13" s="158" t="s">
        <v>54</v>
      </c>
      <c r="B13" s="159" t="n">
        <f aca="true">RAND()</f>
        <v>0.69494960900458</v>
      </c>
      <c r="C13" s="159" t="n">
        <f aca="true">RAND()</f>
        <v>0.713860796758453</v>
      </c>
      <c r="D13" s="159" t="n">
        <f aca="true">RAND()</f>
        <v>0.340772296252751</v>
      </c>
      <c r="E13" s="159" t="n">
        <f aca="true">RAND()</f>
        <v>0.902341765908386</v>
      </c>
      <c r="F13" s="159" t="n">
        <f aca="true">RAND()</f>
        <v>0.27837799944232</v>
      </c>
      <c r="G13" s="159" t="n">
        <f aca="true">RAND()</f>
        <v>0.789161853685534</v>
      </c>
      <c r="H13" s="159" t="n">
        <f aca="true">RAND()</f>
        <v>0.937267106745598</v>
      </c>
      <c r="I13" s="159" t="n">
        <f aca="true">RAND()</f>
        <v>0.265294568608433</v>
      </c>
      <c r="J13" s="159" t="n">
        <f aca="true">RAND()</f>
        <v>0.682234862778036</v>
      </c>
      <c r="K13" s="159" t="n">
        <f aca="true">RAND()</f>
        <v>0.10232056833542</v>
      </c>
      <c r="L13" s="159" t="n">
        <f aca="true">RAND()</f>
        <v>0.840035435022836</v>
      </c>
      <c r="M13" s="159" t="n">
        <f aca="true">RAND()</f>
        <v>0.355974197873145</v>
      </c>
      <c r="N13" s="159" t="n">
        <f aca="true">RAND()</f>
        <v>0.296599745359372</v>
      </c>
      <c r="O13" s="159" t="n">
        <f aca="true">RAND()</f>
        <v>0.857045371839501</v>
      </c>
      <c r="P13" s="159" t="n">
        <f aca="true">RAND()</f>
        <v>0.582702872642071</v>
      </c>
      <c r="Q13" s="159" t="n">
        <f aca="true">RAND()</f>
        <v>0.959694647670334</v>
      </c>
      <c r="R13" s="159" t="n">
        <f aca="true">RAND()</f>
        <v>0.0184043504465204</v>
      </c>
      <c r="S13" s="159" t="n">
        <f aca="true">RAND()</f>
        <v>0.836802619933937</v>
      </c>
      <c r="T13" s="159" t="n">
        <f aca="true">RAND()</f>
        <v>0.0200786360427282</v>
      </c>
      <c r="U13" s="159" t="n">
        <f aca="true">RAND()</f>
        <v>0.535447077364707</v>
      </c>
      <c r="V13" s="159" t="n">
        <f aca="true">RAND()</f>
        <v>0.276342795553547</v>
      </c>
      <c r="W13" s="159" t="n">
        <f aca="true">RAND()</f>
        <v>0.0720622242249624</v>
      </c>
      <c r="X13" s="159" t="n">
        <f aca="true">RAND()</f>
        <v>0.905569981592603</v>
      </c>
      <c r="Y13" s="159" t="n">
        <f aca="true">RAND()</f>
        <v>0.728228054404343</v>
      </c>
      <c r="Z13" s="159" t="n">
        <f aca="true">RAND()</f>
        <v>0.0982254499016919</v>
      </c>
      <c r="AA13" s="159" t="n">
        <f aca="true">RAND()</f>
        <v>0.319493850715832</v>
      </c>
      <c r="AB13" s="159" t="n">
        <f aca="true">RAND()</f>
        <v>0.693294367668055</v>
      </c>
      <c r="AC13" s="159" t="n">
        <f aca="true">RAND()</f>
        <v>0.193506732633378</v>
      </c>
      <c r="AD13" s="159" t="n">
        <f aca="true">RAND()</f>
        <v>0.336526295524821</v>
      </c>
      <c r="AE13" s="159" t="n">
        <f aca="true">RAND()</f>
        <v>0.0527869300612208</v>
      </c>
      <c r="AF13" s="159" t="n">
        <f aca="true">RAND()</f>
        <v>0.103056339553042</v>
      </c>
      <c r="AG13" s="159" t="n">
        <f aca="true">RAND()</f>
        <v>0.132135068429216</v>
      </c>
      <c r="AH13" s="159" t="n">
        <f aca="true">RAND()</f>
        <v>0.0865493632348007</v>
      </c>
      <c r="AI13" s="159" t="n">
        <f aca="true">RAND()</f>
        <v>0.664936082981401</v>
      </c>
      <c r="AJ13" s="159" t="n">
        <f aca="true">RAND()</f>
        <v>0.0853571376138581</v>
      </c>
      <c r="AK13" s="159" t="n">
        <f aca="true">RAND()</f>
        <v>0.0287686553381825</v>
      </c>
      <c r="AL13" s="159" t="n">
        <f aca="true">RAND()</f>
        <v>0.545529445703467</v>
      </c>
      <c r="AM13" s="159" t="n">
        <f aca="true">RAND()</f>
        <v>0.562220482010928</v>
      </c>
      <c r="AN13" s="159" t="n">
        <f aca="true">RAND()</f>
        <v>0.897683881255544</v>
      </c>
      <c r="AO13" s="159" t="n">
        <f aca="true">RAND()</f>
        <v>0.733905856144232</v>
      </c>
      <c r="AP13" s="159" t="n">
        <f aca="true">RAND()</f>
        <v>0.929994564426975</v>
      </c>
      <c r="AQ13" s="159" t="n">
        <f aca="true">RAND()</f>
        <v>0.835779903121461</v>
      </c>
      <c r="AR13" s="159" t="n">
        <f aca="true">RAND()</f>
        <v>0.186701383802512</v>
      </c>
      <c r="AS13" s="159" t="n">
        <f aca="true">RAND()</f>
        <v>0.393347321455832</v>
      </c>
      <c r="AT13" s="159" t="n">
        <f aca="true">RAND()</f>
        <v>0.946656604084749</v>
      </c>
      <c r="AU13" s="159" t="n">
        <f aca="true">RAND()</f>
        <v>0.479628483556464</v>
      </c>
      <c r="AV13" s="159" t="n">
        <f aca="true">RAND()</f>
        <v>0.931293435956576</v>
      </c>
      <c r="AW13" s="159" t="n">
        <f aca="true">RAND()</f>
        <v>0.689413945451856</v>
      </c>
      <c r="AX13" s="159" t="n">
        <f aca="true">RAND()</f>
        <v>0.13974075231195</v>
      </c>
      <c r="AY13" s="159" t="n">
        <f aca="true">RAND()</f>
        <v>0.0747807951938198</v>
      </c>
      <c r="AZ13" s="159" t="n">
        <f aca="true">RAND()</f>
        <v>0.816507913777184</v>
      </c>
      <c r="BA13" s="159" t="n">
        <f aca="true">RAND()</f>
        <v>0.157515311451076</v>
      </c>
      <c r="BB13" s="159" t="n">
        <f aca="true">RAND()</f>
        <v>0.450393589076487</v>
      </c>
      <c r="BC13" s="159" t="n">
        <f aca="true">RAND()</f>
        <v>0.010720771750114</v>
      </c>
      <c r="BD13" s="159" t="n">
        <f aca="true">RAND()</f>
        <v>0.932574620010985</v>
      </c>
      <c r="BE13" s="159" t="n">
        <f aca="true">RAND()</f>
        <v>0.638761908107946</v>
      </c>
      <c r="BF13" s="159" t="n">
        <f aca="true">RAND()</f>
        <v>0.126179146411595</v>
      </c>
      <c r="BG13" s="159" t="n">
        <f aca="true">RAND()</f>
        <v>0.557947072127198</v>
      </c>
      <c r="BH13" s="159" t="n">
        <f aca="true">RAND()</f>
        <v>0.0863504263819736</v>
      </c>
      <c r="BI13" s="159" t="n">
        <f aca="true">RAND()</f>
        <v>0.388011744099198</v>
      </c>
      <c r="BJ13" s="159" t="n">
        <f aca="true">RAND()</f>
        <v>0.648642027038415</v>
      </c>
      <c r="BK13" s="159" t="n">
        <f aca="true">RAND()</f>
        <v>0.778099008517633</v>
      </c>
      <c r="BL13" s="159" t="n">
        <f aca="true">RAND()</f>
        <v>0.598317762135862</v>
      </c>
      <c r="BM13" s="159" t="n">
        <f aca="true">RAND()</f>
        <v>0.290333360066799</v>
      </c>
      <c r="BN13" s="159" t="n">
        <f aca="true">RAND()</f>
        <v>0.0813761574289112</v>
      </c>
      <c r="BO13" s="159" t="n">
        <f aca="true">RAND()</f>
        <v>0.641638457987027</v>
      </c>
      <c r="BP13" s="159" t="n">
        <f aca="true">RAND()</f>
        <v>0.296372527363346</v>
      </c>
      <c r="BQ13" s="159" t="n">
        <f aca="true">RAND()</f>
        <v>0.328034251051168</v>
      </c>
      <c r="BR13" s="159" t="n">
        <f aca="true">RAND()</f>
        <v>0.69276043041173</v>
      </c>
      <c r="BS13" s="159" t="n">
        <f aca="true">RAND()</f>
        <v>0.742201704442247</v>
      </c>
      <c r="BT13" s="159" t="n">
        <f aca="true">RAND()</f>
        <v>0.688672701831003</v>
      </c>
      <c r="BU13" s="159" t="n">
        <f aca="true">RAND()</f>
        <v>0.926826886272387</v>
      </c>
      <c r="BV13" s="159" t="n">
        <f aca="true">RAND()</f>
        <v>0.383792470160725</v>
      </c>
      <c r="BW13" s="159" t="n">
        <f aca="true">RAND()</f>
        <v>0.132871003534536</v>
      </c>
      <c r="BX13" s="159" t="n">
        <f aca="true">RAND()</f>
        <v>0.270379658792954</v>
      </c>
      <c r="BY13" s="159" t="n">
        <f aca="true">RAND()</f>
        <v>0.468994919122023</v>
      </c>
      <c r="BZ13" s="160" t="n">
        <f aca="false">Simulator!J16*Simulator!$D$5+Simulator!K16*Simulator!$D$6+Simulator!L16*Simulator!$D$7+Simulator!M16*Simulator!$D$8+Simulator!N16*Simulator!$D$9+Simulator!O16*Simulator!$D$10</f>
        <v>0.688102753667206</v>
      </c>
      <c r="CA13" s="160" t="n">
        <f aca="false">IF($BZ13=0,0.1667,(Simulator!J16*Simulator!$D$5)/$BZ13)</f>
        <v>0.352600100391301</v>
      </c>
      <c r="CB13" s="160" t="n">
        <f aca="false">IF($BZ13=0,0.3333,(Simulator!J16*Simulator!$D$5+Simulator!K16*Simulator!$D$6)/$BZ13)</f>
        <v>0.893302495450307</v>
      </c>
      <c r="CC13" s="160" t="n">
        <f aca="false">IF($BZ13=0,0.5,(Simulator!J16*Simulator!$D$5+Simulator!K16*Simulator!$D$6+Simulator!L16*Simulator!$D$7)/$BZ13)</f>
        <v>0.952779209609665</v>
      </c>
      <c r="CD13" s="160" t="n">
        <f aca="false">IF($BZ13=0,0.6667,(Simulator!J16*Simulator!$D$5+Simulator!K16*Simulator!$D$6+Simulator!L16*Simulator!$D$7+Simulator!M16*Simulator!$D$8)/$BZ13)</f>
        <v>0.995417558454803</v>
      </c>
      <c r="CE13" s="160" t="n">
        <f aca="false">IF($BZ13=0,0.8333,(Simulator!J16*Simulator!$D$5+Simulator!K16*Simulator!$D$6+Simulator!L16*Simulator!$D$7+Simulator!M16*Simulator!$D$8+Simulator!N16*Simulator!$D$9)/$BZ13)</f>
        <v>0.99971621337157</v>
      </c>
    </row>
    <row r="14" customFormat="false" ht="15" hidden="false" customHeight="false" outlineLevel="0" collapsed="false">
      <c r="A14" s="158" t="s">
        <v>55</v>
      </c>
      <c r="B14" s="159" t="n">
        <f aca="true">RAND()</f>
        <v>0.457283307467469</v>
      </c>
      <c r="C14" s="159" t="n">
        <f aca="true">RAND()</f>
        <v>0.112813892776884</v>
      </c>
      <c r="D14" s="159" t="n">
        <f aca="true">RAND()</f>
        <v>0.65845886549267</v>
      </c>
      <c r="E14" s="159" t="n">
        <f aca="true">RAND()</f>
        <v>0.504842917375821</v>
      </c>
      <c r="F14" s="159" t="n">
        <f aca="true">RAND()</f>
        <v>0.326965716766622</v>
      </c>
      <c r="G14" s="159" t="n">
        <f aca="true">RAND()</f>
        <v>0.781692049562615</v>
      </c>
      <c r="H14" s="159" t="n">
        <f aca="true">RAND()</f>
        <v>0.958446542420647</v>
      </c>
      <c r="I14" s="159" t="n">
        <f aca="true">RAND()</f>
        <v>0.151596685683073</v>
      </c>
      <c r="J14" s="159" t="n">
        <f aca="true">RAND()</f>
        <v>0.240798078223291</v>
      </c>
      <c r="K14" s="159" t="n">
        <f aca="true">RAND()</f>
        <v>0.737316047231331</v>
      </c>
      <c r="L14" s="159" t="n">
        <f aca="true">RAND()</f>
        <v>0.142006193411874</v>
      </c>
      <c r="M14" s="159" t="n">
        <f aca="true">RAND()</f>
        <v>0.314119542928098</v>
      </c>
      <c r="N14" s="159" t="n">
        <f aca="true">RAND()</f>
        <v>0.535066211941201</v>
      </c>
      <c r="O14" s="159" t="n">
        <f aca="true">RAND()</f>
        <v>0.567858619848662</v>
      </c>
      <c r="P14" s="159" t="n">
        <f aca="true">RAND()</f>
        <v>0.780802796469641</v>
      </c>
      <c r="Q14" s="159" t="n">
        <f aca="true">RAND()</f>
        <v>0.564873706479131</v>
      </c>
      <c r="R14" s="159" t="n">
        <f aca="true">RAND()</f>
        <v>0.0445971522771526</v>
      </c>
      <c r="S14" s="159" t="n">
        <f aca="true">RAND()</f>
        <v>0.206200324324666</v>
      </c>
      <c r="T14" s="159" t="n">
        <f aca="true">RAND()</f>
        <v>0.986586771862742</v>
      </c>
      <c r="U14" s="159" t="n">
        <f aca="true">RAND()</f>
        <v>0.0146885925305228</v>
      </c>
      <c r="V14" s="159" t="n">
        <f aca="true">RAND()</f>
        <v>0.629258460292227</v>
      </c>
      <c r="W14" s="159" t="n">
        <f aca="true">RAND()</f>
        <v>0.419738907388375</v>
      </c>
      <c r="X14" s="159" t="n">
        <f aca="true">RAND()</f>
        <v>0.904331555752489</v>
      </c>
      <c r="Y14" s="159" t="n">
        <f aca="true">RAND()</f>
        <v>0.446728728106594</v>
      </c>
      <c r="Z14" s="159" t="n">
        <f aca="true">RAND()</f>
        <v>0.24265052884543</v>
      </c>
      <c r="AA14" s="159" t="n">
        <f aca="true">RAND()</f>
        <v>0.926983395924886</v>
      </c>
      <c r="AB14" s="159" t="n">
        <f aca="true">RAND()</f>
        <v>0.320636363311838</v>
      </c>
      <c r="AC14" s="159" t="n">
        <f aca="true">RAND()</f>
        <v>0.885409963469178</v>
      </c>
      <c r="AD14" s="159" t="n">
        <f aca="true">RAND()</f>
        <v>0.899384594765502</v>
      </c>
      <c r="AE14" s="159" t="n">
        <f aca="true">RAND()</f>
        <v>0.443843034931278</v>
      </c>
      <c r="AF14" s="159" t="n">
        <f aca="true">RAND()</f>
        <v>0.888495941336178</v>
      </c>
      <c r="AG14" s="159" t="n">
        <f aca="true">RAND()</f>
        <v>0.430460056018315</v>
      </c>
      <c r="AH14" s="159" t="n">
        <f aca="true">RAND()</f>
        <v>0.169358569753237</v>
      </c>
      <c r="AI14" s="159" t="n">
        <f aca="true">RAND()</f>
        <v>0.00316777679030977</v>
      </c>
      <c r="AJ14" s="159" t="n">
        <f aca="true">RAND()</f>
        <v>0.336959119031377</v>
      </c>
      <c r="AK14" s="159" t="n">
        <f aca="true">RAND()</f>
        <v>0.594348644573712</v>
      </c>
      <c r="AL14" s="159" t="n">
        <f aca="true">RAND()</f>
        <v>0.226829710833754</v>
      </c>
      <c r="AM14" s="159" t="n">
        <f aca="true">RAND()</f>
        <v>0.110116079287516</v>
      </c>
      <c r="AN14" s="159" t="n">
        <f aca="true">RAND()</f>
        <v>0.211963145626891</v>
      </c>
      <c r="AO14" s="159" t="n">
        <f aca="true">RAND()</f>
        <v>0.932602557178291</v>
      </c>
      <c r="AP14" s="159" t="n">
        <f aca="true">RAND()</f>
        <v>0.545160858703446</v>
      </c>
      <c r="AQ14" s="159" t="n">
        <f aca="true">RAND()</f>
        <v>0.693657277993465</v>
      </c>
      <c r="AR14" s="159" t="n">
        <f aca="true">RAND()</f>
        <v>0.224123369529981</v>
      </c>
      <c r="AS14" s="159" t="n">
        <f aca="true">RAND()</f>
        <v>0.154266280248512</v>
      </c>
      <c r="AT14" s="159" t="n">
        <f aca="true">RAND()</f>
        <v>0.630161907651406</v>
      </c>
      <c r="AU14" s="159" t="n">
        <f aca="true">RAND()</f>
        <v>0.273945161386742</v>
      </c>
      <c r="AV14" s="159" t="n">
        <f aca="true">RAND()</f>
        <v>0.418325871742861</v>
      </c>
      <c r="AW14" s="159" t="n">
        <f aca="true">RAND()</f>
        <v>0.504696486567505</v>
      </c>
      <c r="AX14" s="159" t="n">
        <f aca="true">RAND()</f>
        <v>0.132252524853155</v>
      </c>
      <c r="AY14" s="159" t="n">
        <f aca="true">RAND()</f>
        <v>0.786371278752137</v>
      </c>
      <c r="AZ14" s="159" t="n">
        <f aca="true">RAND()</f>
        <v>0.318878242262783</v>
      </c>
      <c r="BA14" s="159" t="n">
        <f aca="true">RAND()</f>
        <v>0.522431546284824</v>
      </c>
      <c r="BB14" s="159" t="n">
        <f aca="true">RAND()</f>
        <v>0.0875880734897529</v>
      </c>
      <c r="BC14" s="159" t="n">
        <f aca="true">RAND()</f>
        <v>0.63036303037086</v>
      </c>
      <c r="BD14" s="159" t="n">
        <f aca="true">RAND()</f>
        <v>0.600577243013044</v>
      </c>
      <c r="BE14" s="159" t="n">
        <f aca="true">RAND()</f>
        <v>0.173295762239244</v>
      </c>
      <c r="BF14" s="159" t="n">
        <f aca="true">RAND()</f>
        <v>0.955136837694466</v>
      </c>
      <c r="BG14" s="159" t="n">
        <f aca="true">RAND()</f>
        <v>0.415822789645413</v>
      </c>
      <c r="BH14" s="159" t="n">
        <f aca="true">RAND()</f>
        <v>0.804190795736888</v>
      </c>
      <c r="BI14" s="159" t="n">
        <f aca="true">RAND()</f>
        <v>0.662897429673414</v>
      </c>
      <c r="BJ14" s="159" t="n">
        <f aca="true">RAND()</f>
        <v>0.156540942303571</v>
      </c>
      <c r="BK14" s="159" t="n">
        <f aca="true">RAND()</f>
        <v>0.429152046491493</v>
      </c>
      <c r="BL14" s="159" t="n">
        <f aca="true">RAND()</f>
        <v>0.074200531294399</v>
      </c>
      <c r="BM14" s="159" t="n">
        <f aca="true">RAND()</f>
        <v>0.262472991663703</v>
      </c>
      <c r="BN14" s="159" t="n">
        <f aca="true">RAND()</f>
        <v>0.817865518930335</v>
      </c>
      <c r="BO14" s="159" t="n">
        <f aca="true">RAND()</f>
        <v>0.568803972476981</v>
      </c>
      <c r="BP14" s="159" t="n">
        <f aca="true">RAND()</f>
        <v>0.337424119978032</v>
      </c>
      <c r="BQ14" s="159" t="n">
        <f aca="true">RAND()</f>
        <v>0.303292674814413</v>
      </c>
      <c r="BR14" s="159" t="n">
        <f aca="true">RAND()</f>
        <v>0.550872699689375</v>
      </c>
      <c r="BS14" s="159" t="n">
        <f aca="true">RAND()</f>
        <v>0.537465892313699</v>
      </c>
      <c r="BT14" s="159" t="n">
        <f aca="true">RAND()</f>
        <v>0.673971704257838</v>
      </c>
      <c r="BU14" s="159" t="n">
        <f aca="true">RAND()</f>
        <v>0.176106394872371</v>
      </c>
      <c r="BV14" s="159" t="n">
        <f aca="true">RAND()</f>
        <v>0.78341066068859</v>
      </c>
      <c r="BW14" s="159" t="n">
        <f aca="true">RAND()</f>
        <v>0.0751752586984863</v>
      </c>
      <c r="BX14" s="159" t="n">
        <f aca="true">RAND()</f>
        <v>0.268170975821779</v>
      </c>
      <c r="BY14" s="159" t="n">
        <f aca="true">RAND()</f>
        <v>0.782578959340284</v>
      </c>
      <c r="BZ14" s="160" t="n">
        <f aca="false">Simulator!J17*Simulator!$D$5+Simulator!K17*Simulator!$D$6+Simulator!L17*Simulator!$D$7+Simulator!M17*Simulator!$D$8+Simulator!N17*Simulator!$D$9+Simulator!O17*Simulator!$D$10</f>
        <v>0.700521834151718</v>
      </c>
      <c r="CA14" s="160" t="n">
        <f aca="false">IF($BZ14=0,0.1667,(Simulator!J17*Simulator!$D$5)/$BZ14)</f>
        <v>0.389910250004466</v>
      </c>
      <c r="CB14" s="160" t="n">
        <f aca="false">IF($BZ14=0,0.3333,(Simulator!J17*Simulator!$D$5+Simulator!K17*Simulator!$D$6)/$BZ14)</f>
        <v>0.901351452056346</v>
      </c>
      <c r="CC14" s="160" t="n">
        <f aca="false">IF($BZ14=0,0.5,(Simulator!J17*Simulator!$D$5+Simulator!K17*Simulator!$D$6+Simulator!L17*Simulator!$D$7)/$BZ14)</f>
        <v>0.948263011735861</v>
      </c>
      <c r="CD14" s="160" t="n">
        <f aca="false">IF($BZ14=0,0.6667,(Simulator!J17*Simulator!$D$5+Simulator!K17*Simulator!$D$6+Simulator!L17*Simulator!$D$7+Simulator!M17*Simulator!$D$8)/$BZ14)</f>
        <v>0.995266718122691</v>
      </c>
      <c r="CE14" s="160" t="n">
        <f aca="false">IF($BZ14=0,0.8333,(Simulator!J17*Simulator!$D$5+Simulator!K17*Simulator!$D$6+Simulator!L17*Simulator!$D$7+Simulator!M17*Simulator!$D$8+Simulator!N17*Simulator!$D$9)/$BZ14)</f>
        <v>0.999721244433854</v>
      </c>
    </row>
    <row r="15" customFormat="false" ht="15" hidden="false" customHeight="false" outlineLevel="0" collapsed="false">
      <c r="A15" s="158" t="s">
        <v>56</v>
      </c>
      <c r="B15" s="159" t="n">
        <f aca="true">RAND()</f>
        <v>0.249349682636889</v>
      </c>
      <c r="C15" s="159" t="n">
        <f aca="true">RAND()</f>
        <v>0.746819685934725</v>
      </c>
      <c r="D15" s="159" t="n">
        <f aca="true">RAND()</f>
        <v>0.385951499741521</v>
      </c>
      <c r="E15" s="159" t="n">
        <f aca="true">RAND()</f>
        <v>0.553050019153222</v>
      </c>
      <c r="F15" s="159" t="n">
        <f aca="true">RAND()</f>
        <v>0.055104670519599</v>
      </c>
      <c r="G15" s="159" t="n">
        <f aca="true">RAND()</f>
        <v>0.679483743244583</v>
      </c>
      <c r="H15" s="159" t="n">
        <f aca="true">RAND()</f>
        <v>0.124413850610122</v>
      </c>
      <c r="I15" s="159" t="n">
        <f aca="true">RAND()</f>
        <v>0.301724098206746</v>
      </c>
      <c r="J15" s="159" t="n">
        <f aca="true">RAND()</f>
        <v>0.41441938036991</v>
      </c>
      <c r="K15" s="159" t="n">
        <f aca="true">RAND()</f>
        <v>0.817080319252151</v>
      </c>
      <c r="L15" s="159" t="n">
        <f aca="true">RAND()</f>
        <v>0.822683822814554</v>
      </c>
      <c r="M15" s="159" t="n">
        <f aca="true">RAND()</f>
        <v>0.246704712356249</v>
      </c>
      <c r="N15" s="159" t="n">
        <f aca="true">RAND()</f>
        <v>0.142869557431629</v>
      </c>
      <c r="O15" s="159" t="n">
        <f aca="true">RAND()</f>
        <v>0.49113194249436</v>
      </c>
      <c r="P15" s="159" t="n">
        <f aca="true">RAND()</f>
        <v>0.115077970374262</v>
      </c>
      <c r="Q15" s="159" t="n">
        <f aca="true">RAND()</f>
        <v>0.8658038151856</v>
      </c>
      <c r="R15" s="159" t="n">
        <f aca="true">RAND()</f>
        <v>0.654056277561165</v>
      </c>
      <c r="S15" s="159" t="n">
        <f aca="true">RAND()</f>
        <v>0.522034746185898</v>
      </c>
      <c r="T15" s="159" t="n">
        <f aca="true">RAND()</f>
        <v>0.0330664775844538</v>
      </c>
      <c r="U15" s="159" t="n">
        <f aca="true">RAND()</f>
        <v>0.613315019178784</v>
      </c>
      <c r="V15" s="159" t="n">
        <f aca="true">RAND()</f>
        <v>0.796914322176631</v>
      </c>
      <c r="W15" s="159" t="n">
        <f aca="true">RAND()</f>
        <v>0.835603774749127</v>
      </c>
      <c r="X15" s="159" t="n">
        <f aca="true">RAND()</f>
        <v>0.384306011128006</v>
      </c>
      <c r="Y15" s="159" t="n">
        <f aca="true">RAND()</f>
        <v>0.253092622537099</v>
      </c>
      <c r="Z15" s="159" t="n">
        <f aca="true">RAND()</f>
        <v>0.696096947921848</v>
      </c>
      <c r="AA15" s="159" t="n">
        <f aca="true">RAND()</f>
        <v>0.495859697081511</v>
      </c>
      <c r="AB15" s="159" t="n">
        <f aca="true">RAND()</f>
        <v>0.441735273487382</v>
      </c>
      <c r="AC15" s="159" t="n">
        <f aca="true">RAND()</f>
        <v>0.596432330936916</v>
      </c>
      <c r="AD15" s="159" t="n">
        <f aca="true">RAND()</f>
        <v>0.792125867048729</v>
      </c>
      <c r="AE15" s="159" t="n">
        <f aca="true">RAND()</f>
        <v>0.576052012551927</v>
      </c>
      <c r="AF15" s="159" t="n">
        <f aca="true">RAND()</f>
        <v>0.635364392279315</v>
      </c>
      <c r="AG15" s="159" t="n">
        <f aca="true">RAND()</f>
        <v>0.504786484681175</v>
      </c>
      <c r="AH15" s="159" t="n">
        <f aca="true">RAND()</f>
        <v>0.787711108144324</v>
      </c>
      <c r="AI15" s="159" t="n">
        <f aca="true">RAND()</f>
        <v>0.277292313450473</v>
      </c>
      <c r="AJ15" s="159" t="n">
        <f aca="true">RAND()</f>
        <v>0.245957210707032</v>
      </c>
      <c r="AK15" s="159" t="n">
        <f aca="true">RAND()</f>
        <v>0.824319902828466</v>
      </c>
      <c r="AL15" s="159" t="n">
        <f aca="true">RAND()</f>
        <v>0.800336690512546</v>
      </c>
      <c r="AM15" s="159" t="n">
        <f aca="true">RAND()</f>
        <v>0.594259059293728</v>
      </c>
      <c r="AN15" s="159" t="n">
        <f aca="true">RAND()</f>
        <v>0.55571863181192</v>
      </c>
      <c r="AO15" s="159" t="n">
        <f aca="true">RAND()</f>
        <v>0.539126025094839</v>
      </c>
      <c r="AP15" s="159" t="n">
        <f aca="true">RAND()</f>
        <v>0.694335589712845</v>
      </c>
      <c r="AQ15" s="159" t="n">
        <f aca="true">RAND()</f>
        <v>0.817737795207346</v>
      </c>
      <c r="AR15" s="159" t="n">
        <f aca="true">RAND()</f>
        <v>0.406558594878088</v>
      </c>
      <c r="AS15" s="159" t="n">
        <f aca="true">RAND()</f>
        <v>0.890689781229974</v>
      </c>
      <c r="AT15" s="159" t="n">
        <f aca="true">RAND()</f>
        <v>0.502871763380246</v>
      </c>
      <c r="AU15" s="159" t="n">
        <f aca="true">RAND()</f>
        <v>0.990605997220453</v>
      </c>
      <c r="AV15" s="159" t="n">
        <f aca="true">RAND()</f>
        <v>0.391899748372943</v>
      </c>
      <c r="AW15" s="159" t="n">
        <f aca="true">RAND()</f>
        <v>0.161185686976544</v>
      </c>
      <c r="AX15" s="159" t="n">
        <f aca="true">RAND()</f>
        <v>0.777980008109595</v>
      </c>
      <c r="AY15" s="159" t="n">
        <f aca="true">RAND()</f>
        <v>0.57743531941121</v>
      </c>
      <c r="AZ15" s="159" t="n">
        <f aca="true">RAND()</f>
        <v>0.396923879534933</v>
      </c>
      <c r="BA15" s="159" t="n">
        <f aca="true">RAND()</f>
        <v>0.718990046916973</v>
      </c>
      <c r="BB15" s="159" t="n">
        <f aca="true">RAND()</f>
        <v>0.172260806041122</v>
      </c>
      <c r="BC15" s="159" t="n">
        <f aca="true">RAND()</f>
        <v>0.0997717179849224</v>
      </c>
      <c r="BD15" s="159" t="n">
        <f aca="true">RAND()</f>
        <v>0.524070071706083</v>
      </c>
      <c r="BE15" s="159" t="n">
        <f aca="true">RAND()</f>
        <v>0.963352294218832</v>
      </c>
      <c r="BF15" s="159" t="n">
        <f aca="true">RAND()</f>
        <v>0.320421110106845</v>
      </c>
      <c r="BG15" s="159" t="n">
        <f aca="true">RAND()</f>
        <v>0.347141683161884</v>
      </c>
      <c r="BH15" s="159" t="n">
        <f aca="true">RAND()</f>
        <v>0.557332492976935</v>
      </c>
      <c r="BI15" s="159" t="n">
        <f aca="true">RAND()</f>
        <v>0.461803690208792</v>
      </c>
      <c r="BJ15" s="159" t="n">
        <f aca="true">RAND()</f>
        <v>0.935193276855076</v>
      </c>
      <c r="BK15" s="159" t="n">
        <f aca="true">RAND()</f>
        <v>0.104044134035252</v>
      </c>
      <c r="BL15" s="159" t="n">
        <f aca="true">RAND()</f>
        <v>0.607985404218441</v>
      </c>
      <c r="BM15" s="159" t="n">
        <f aca="true">RAND()</f>
        <v>0.616788850197437</v>
      </c>
      <c r="BN15" s="159" t="n">
        <f aca="true">RAND()</f>
        <v>0.186631388390166</v>
      </c>
      <c r="BO15" s="159" t="n">
        <f aca="true">RAND()</f>
        <v>0.0928825462294061</v>
      </c>
      <c r="BP15" s="159" t="n">
        <f aca="true">RAND()</f>
        <v>0.208334393227199</v>
      </c>
      <c r="BQ15" s="159" t="n">
        <f aca="true">RAND()</f>
        <v>0.92369032864216</v>
      </c>
      <c r="BR15" s="159" t="n">
        <f aca="true">RAND()</f>
        <v>0.075881117005323</v>
      </c>
      <c r="BS15" s="159" t="n">
        <f aca="true">RAND()</f>
        <v>0.811844877675828</v>
      </c>
      <c r="BT15" s="159" t="n">
        <f aca="true">RAND()</f>
        <v>0.898505740817768</v>
      </c>
      <c r="BU15" s="159" t="n">
        <f aca="true">RAND()</f>
        <v>0.439133284840562</v>
      </c>
      <c r="BV15" s="159" t="n">
        <f aca="true">RAND()</f>
        <v>0.975838064064779</v>
      </c>
      <c r="BW15" s="159" t="n">
        <f aca="true">RAND()</f>
        <v>0.806038476641481</v>
      </c>
      <c r="BX15" s="159" t="n">
        <f aca="true">RAND()</f>
        <v>0.444822864528962</v>
      </c>
      <c r="BY15" s="159" t="n">
        <f aca="true">RAND()</f>
        <v>0.601363942359684</v>
      </c>
      <c r="BZ15" s="160" t="n">
        <f aca="false">Simulator!J18*Simulator!$D$5+Simulator!K18*Simulator!$D$6+Simulator!L18*Simulator!$D$7+Simulator!M18*Simulator!$D$8+Simulator!N18*Simulator!$D$9+Simulator!O18*Simulator!$D$10</f>
        <v>0.664483664175342</v>
      </c>
      <c r="CA15" s="160" t="n">
        <f aca="false">IF($BZ15=0,0.1667,(Simulator!J18*Simulator!$D$5)/$BZ15)</f>
        <v>0.336966131943571</v>
      </c>
      <c r="CB15" s="160" t="n">
        <f aca="false">IF($BZ15=0,0.3333,(Simulator!J18*Simulator!$D$5+Simulator!K18*Simulator!$D$6)/$BZ15)</f>
        <v>0.881553276508108</v>
      </c>
      <c r="CC15" s="160" t="n">
        <f aca="false">IF($BZ15=0,0.5,(Simulator!J18*Simulator!$D$5+Simulator!K18*Simulator!$D$6+Simulator!L18*Simulator!$D$7)/$BZ15)</f>
        <v>0.93366004021144</v>
      </c>
      <c r="CD15" s="160" t="n">
        <f aca="false">IF($BZ15=0,0.6667,(Simulator!J18*Simulator!$D$5+Simulator!K18*Simulator!$D$6+Simulator!L18*Simulator!$D$7+Simulator!M18*Simulator!$D$8)/$BZ15)</f>
        <v>0.994839719838106</v>
      </c>
      <c r="CE15" s="160" t="n">
        <f aca="false">IF($BZ15=0,0.8333,(Simulator!J18*Simulator!$D$5+Simulator!K18*Simulator!$D$6+Simulator!L18*Simulator!$D$7+Simulator!M18*Simulator!$D$8+Simulator!N18*Simulator!$D$9)/$BZ15)</f>
        <v>0.999706126168325</v>
      </c>
    </row>
    <row r="16" customFormat="false" ht="15" hidden="false" customHeight="false" outlineLevel="0" collapsed="false">
      <c r="A16" s="158" t="s">
        <v>57</v>
      </c>
      <c r="B16" s="159" t="n">
        <f aca="true">RAND()</f>
        <v>0.984036761796784</v>
      </c>
      <c r="C16" s="159" t="n">
        <f aca="true">RAND()</f>
        <v>0.145073934305776</v>
      </c>
      <c r="D16" s="159" t="n">
        <f aca="true">RAND()</f>
        <v>0.480764199798661</v>
      </c>
      <c r="E16" s="159" t="n">
        <f aca="true">RAND()</f>
        <v>0.0219175316432463</v>
      </c>
      <c r="F16" s="159" t="n">
        <f aca="true">RAND()</f>
        <v>0.634584422758745</v>
      </c>
      <c r="G16" s="159" t="n">
        <f aca="true">RAND()</f>
        <v>0.610949889370908</v>
      </c>
      <c r="H16" s="159" t="n">
        <f aca="true">RAND()</f>
        <v>0.354382105007023</v>
      </c>
      <c r="I16" s="159" t="n">
        <f aca="true">RAND()</f>
        <v>0.111130200401333</v>
      </c>
      <c r="J16" s="159" t="n">
        <f aca="true">RAND()</f>
        <v>0.196200399967996</v>
      </c>
      <c r="K16" s="159" t="n">
        <f aca="true">RAND()</f>
        <v>0.501585912113454</v>
      </c>
      <c r="L16" s="159" t="n">
        <f aca="true">RAND()</f>
        <v>0.738358478622662</v>
      </c>
      <c r="M16" s="159" t="n">
        <f aca="true">RAND()</f>
        <v>0.743175229421849</v>
      </c>
      <c r="N16" s="159" t="n">
        <f aca="true">RAND()</f>
        <v>0.95228239172699</v>
      </c>
      <c r="O16" s="159" t="n">
        <f aca="true">RAND()</f>
        <v>0.44322420437541</v>
      </c>
      <c r="P16" s="159" t="n">
        <f aca="true">RAND()</f>
        <v>0.097855379988792</v>
      </c>
      <c r="Q16" s="159" t="n">
        <f aca="true">RAND()</f>
        <v>0.845463828588494</v>
      </c>
      <c r="R16" s="159" t="n">
        <f aca="true">RAND()</f>
        <v>0.687682349249172</v>
      </c>
      <c r="S16" s="159" t="n">
        <f aca="true">RAND()</f>
        <v>0.689702720251412</v>
      </c>
      <c r="T16" s="159" t="n">
        <f aca="true">RAND()</f>
        <v>0.00228093367014855</v>
      </c>
      <c r="U16" s="159" t="n">
        <f aca="true">RAND()</f>
        <v>0.15569541987051</v>
      </c>
      <c r="V16" s="159" t="n">
        <f aca="true">RAND()</f>
        <v>0.991593896439873</v>
      </c>
      <c r="W16" s="159" t="n">
        <f aca="true">RAND()</f>
        <v>0.710360547585222</v>
      </c>
      <c r="X16" s="159" t="n">
        <f aca="true">RAND()</f>
        <v>0.225369000190041</v>
      </c>
      <c r="Y16" s="159" t="n">
        <f aca="true">RAND()</f>
        <v>0.947794941551579</v>
      </c>
      <c r="Z16" s="159" t="n">
        <f aca="true">RAND()</f>
        <v>0.111745278982157</v>
      </c>
      <c r="AA16" s="159" t="n">
        <f aca="true">RAND()</f>
        <v>0.402647805864223</v>
      </c>
      <c r="AB16" s="159" t="n">
        <f aca="true">RAND()</f>
        <v>0.64933087128958</v>
      </c>
      <c r="AC16" s="159" t="n">
        <f aca="true">RAND()</f>
        <v>0.178867858283209</v>
      </c>
      <c r="AD16" s="159" t="n">
        <f aca="true">RAND()</f>
        <v>0.0356560694485744</v>
      </c>
      <c r="AE16" s="159" t="n">
        <f aca="true">RAND()</f>
        <v>0.456513297294932</v>
      </c>
      <c r="AF16" s="159" t="n">
        <f aca="true">RAND()</f>
        <v>0.182630564764263</v>
      </c>
      <c r="AG16" s="159" t="n">
        <f aca="true">RAND()</f>
        <v>0.761567134625059</v>
      </c>
      <c r="AH16" s="159" t="n">
        <f aca="true">RAND()</f>
        <v>0.667918144176873</v>
      </c>
      <c r="AI16" s="159" t="n">
        <f aca="true">RAND()</f>
        <v>0.498282442445211</v>
      </c>
      <c r="AJ16" s="159" t="n">
        <f aca="true">RAND()</f>
        <v>0.780586242598105</v>
      </c>
      <c r="AK16" s="159" t="n">
        <f aca="true">RAND()</f>
        <v>0.315220378611032</v>
      </c>
      <c r="AL16" s="159" t="n">
        <f aca="true">RAND()</f>
        <v>0.731709975378152</v>
      </c>
      <c r="AM16" s="159" t="n">
        <f aca="true">RAND()</f>
        <v>0.949501843807837</v>
      </c>
      <c r="AN16" s="159" t="n">
        <f aca="true">RAND()</f>
        <v>0.581291156905555</v>
      </c>
      <c r="AO16" s="159" t="n">
        <f aca="true">RAND()</f>
        <v>0.174764412500868</v>
      </c>
      <c r="AP16" s="159" t="n">
        <f aca="true">RAND()</f>
        <v>0.485226780198756</v>
      </c>
      <c r="AQ16" s="159" t="n">
        <f aca="true">RAND()</f>
        <v>0.185782444029659</v>
      </c>
      <c r="AR16" s="159" t="n">
        <f aca="true">RAND()</f>
        <v>0.606053980604984</v>
      </c>
      <c r="AS16" s="159" t="n">
        <f aca="true">RAND()</f>
        <v>0.725827303615367</v>
      </c>
      <c r="AT16" s="159" t="n">
        <f aca="true">RAND()</f>
        <v>0.355492110662362</v>
      </c>
      <c r="AU16" s="159" t="n">
        <f aca="true">RAND()</f>
        <v>0.963757162950345</v>
      </c>
      <c r="AV16" s="159" t="n">
        <f aca="true">RAND()</f>
        <v>0.227331469969811</v>
      </c>
      <c r="AW16" s="159" t="n">
        <f aca="true">RAND()</f>
        <v>0.148507069756685</v>
      </c>
      <c r="AX16" s="159" t="n">
        <f aca="true">RAND()</f>
        <v>0.81442329236381</v>
      </c>
      <c r="AY16" s="159" t="n">
        <f aca="true">RAND()</f>
        <v>0.414138395113636</v>
      </c>
      <c r="AZ16" s="159" t="n">
        <f aca="true">RAND()</f>
        <v>0.281461500068928</v>
      </c>
      <c r="BA16" s="159" t="n">
        <f aca="true">RAND()</f>
        <v>0.71866423898924</v>
      </c>
      <c r="BB16" s="159" t="n">
        <f aca="true">RAND()</f>
        <v>0.790144315141505</v>
      </c>
      <c r="BC16" s="159" t="n">
        <f aca="true">RAND()</f>
        <v>0.564656867221794</v>
      </c>
      <c r="BD16" s="159" t="n">
        <f aca="true">RAND()</f>
        <v>0.525711769426465</v>
      </c>
      <c r="BE16" s="159" t="n">
        <f aca="true">RAND()</f>
        <v>0.864406751089364</v>
      </c>
      <c r="BF16" s="159" t="n">
        <f aca="true">RAND()</f>
        <v>0.598218770041162</v>
      </c>
      <c r="BG16" s="159" t="n">
        <f aca="true">RAND()</f>
        <v>0.14221009256312</v>
      </c>
      <c r="BH16" s="159" t="n">
        <f aca="true">RAND()</f>
        <v>0.573161982547563</v>
      </c>
      <c r="BI16" s="159" t="n">
        <f aca="true">RAND()</f>
        <v>0.483787930273389</v>
      </c>
      <c r="BJ16" s="159" t="n">
        <f aca="true">RAND()</f>
        <v>0.416185319947506</v>
      </c>
      <c r="BK16" s="159" t="n">
        <f aca="true">RAND()</f>
        <v>0.420110270903443</v>
      </c>
      <c r="BL16" s="159" t="n">
        <f aca="true">RAND()</f>
        <v>0.0455436344493738</v>
      </c>
      <c r="BM16" s="159" t="n">
        <f aca="true">RAND()</f>
        <v>0.430408837435167</v>
      </c>
      <c r="BN16" s="159" t="n">
        <f aca="true">RAND()</f>
        <v>0.289472485564574</v>
      </c>
      <c r="BO16" s="159" t="n">
        <f aca="true">RAND()</f>
        <v>0.721573748696587</v>
      </c>
      <c r="BP16" s="159" t="n">
        <f aca="true">RAND()</f>
        <v>0.692446448690046</v>
      </c>
      <c r="BQ16" s="159" t="n">
        <f aca="true">RAND()</f>
        <v>0.0354863676089187</v>
      </c>
      <c r="BR16" s="159" t="n">
        <f aca="true">RAND()</f>
        <v>0.418959346141983</v>
      </c>
      <c r="BS16" s="159" t="n">
        <f aca="true">RAND()</f>
        <v>0.0320889015930035</v>
      </c>
      <c r="BT16" s="159" t="n">
        <f aca="true">RAND()</f>
        <v>0.144022763097864</v>
      </c>
      <c r="BU16" s="159" t="n">
        <f aca="true">RAND()</f>
        <v>0.919007347205355</v>
      </c>
      <c r="BV16" s="159" t="n">
        <f aca="true">RAND()</f>
        <v>0.584313560455803</v>
      </c>
      <c r="BW16" s="159" t="n">
        <f aca="true">RAND()</f>
        <v>0.185900119008483</v>
      </c>
      <c r="BX16" s="159" t="n">
        <f aca="true">RAND()</f>
        <v>0.309395822170329</v>
      </c>
      <c r="BY16" s="159" t="n">
        <f aca="true">RAND()</f>
        <v>0.856020616007997</v>
      </c>
      <c r="BZ16" s="160" t="n">
        <f aca="false">Simulator!J19*Simulator!$D$5+Simulator!K19*Simulator!$D$6+Simulator!L19*Simulator!$D$7+Simulator!M19*Simulator!$D$8+Simulator!N19*Simulator!$D$9+Simulator!O19*Simulator!$D$10</f>
        <v>0.691880869648965</v>
      </c>
      <c r="CA16" s="160" t="n">
        <f aca="false">IF($BZ16=0,0.1667,(Simulator!J19*Simulator!$D$5)/$BZ16)</f>
        <v>0.312076588803766</v>
      </c>
      <c r="CB16" s="160" t="n">
        <f aca="false">IF($BZ16=0,0.3333,(Simulator!J19*Simulator!$D$5+Simulator!K19*Simulator!$D$6)/$BZ16)</f>
        <v>0.897352433900355</v>
      </c>
      <c r="CC16" s="160" t="n">
        <f aca="false">IF($BZ16=0,0.5,(Simulator!J19*Simulator!$D$5+Simulator!K19*Simulator!$D$6+Simulator!L19*Simulator!$D$7)/$BZ16)</f>
        <v>0.950751783705553</v>
      </c>
      <c r="CD16" s="160" t="n">
        <f aca="false">IF($BZ16=0,0.6667,(Simulator!J19*Simulator!$D$5+Simulator!K19*Simulator!$D$6+Simulator!L19*Simulator!$D$7+Simulator!M19*Simulator!$D$8)/$BZ16)</f>
        <v>0.995056056484142</v>
      </c>
      <c r="CE16" s="160" t="n">
        <f aca="false">IF($BZ16=0,0.8333,(Simulator!J19*Simulator!$D$5+Simulator!K19*Simulator!$D$6+Simulator!L19*Simulator!$D$7+Simulator!M19*Simulator!$D$8+Simulator!N19*Simulator!$D$9)/$BZ16)</f>
        <v>0.999717763029674</v>
      </c>
    </row>
    <row r="17" customFormat="false" ht="15" hidden="false" customHeight="false" outlineLevel="0" collapsed="false">
      <c r="A17" s="158" t="s">
        <v>58</v>
      </c>
      <c r="B17" s="159" t="n">
        <f aca="true">RAND()</f>
        <v>0.231476936413342</v>
      </c>
      <c r="C17" s="159" t="n">
        <f aca="true">RAND()</f>
        <v>0.473932439740298</v>
      </c>
      <c r="D17" s="159" t="n">
        <f aca="true">RAND()</f>
        <v>0.401235011969054</v>
      </c>
      <c r="E17" s="159" t="n">
        <f aca="true">RAND()</f>
        <v>0.433898499207994</v>
      </c>
      <c r="F17" s="159" t="n">
        <f aca="true">RAND()</f>
        <v>0.242381734564504</v>
      </c>
      <c r="G17" s="159" t="n">
        <f aca="true">RAND()</f>
        <v>0.749016713841674</v>
      </c>
      <c r="H17" s="159" t="n">
        <f aca="true">RAND()</f>
        <v>0.410823772651236</v>
      </c>
      <c r="I17" s="159" t="n">
        <f aca="true">RAND()</f>
        <v>0.0494607342679633</v>
      </c>
      <c r="J17" s="159" t="n">
        <f aca="true">RAND()</f>
        <v>0.722744434932739</v>
      </c>
      <c r="K17" s="159" t="n">
        <f aca="true">RAND()</f>
        <v>0.364347534931862</v>
      </c>
      <c r="L17" s="159" t="n">
        <f aca="true">RAND()</f>
        <v>0.914660604358753</v>
      </c>
      <c r="M17" s="159" t="n">
        <f aca="true">RAND()</f>
        <v>0.239179517660373</v>
      </c>
      <c r="N17" s="159" t="n">
        <f aca="true">RAND()</f>
        <v>0.781415825077324</v>
      </c>
      <c r="O17" s="159" t="n">
        <f aca="true">RAND()</f>
        <v>0.670558614278014</v>
      </c>
      <c r="P17" s="159" t="n">
        <f aca="true">RAND()</f>
        <v>0.754815892085917</v>
      </c>
      <c r="Q17" s="159" t="n">
        <f aca="true">RAND()</f>
        <v>0.825095908271526</v>
      </c>
      <c r="R17" s="159" t="n">
        <f aca="true">RAND()</f>
        <v>0.159207705441733</v>
      </c>
      <c r="S17" s="159" t="n">
        <f aca="true">RAND()</f>
        <v>0.643078393690774</v>
      </c>
      <c r="T17" s="159" t="n">
        <f aca="true">RAND()</f>
        <v>0.084320359945889</v>
      </c>
      <c r="U17" s="159" t="n">
        <f aca="true">RAND()</f>
        <v>0.163340397656291</v>
      </c>
      <c r="V17" s="159" t="n">
        <f aca="true">RAND()</f>
        <v>0.297521157800673</v>
      </c>
      <c r="W17" s="159" t="n">
        <f aca="true">RAND()</f>
        <v>0.296710812439391</v>
      </c>
      <c r="X17" s="159" t="n">
        <f aca="true">RAND()</f>
        <v>0.973436684601577</v>
      </c>
      <c r="Y17" s="159" t="n">
        <f aca="true">RAND()</f>
        <v>0.98363206363901</v>
      </c>
      <c r="Z17" s="159" t="n">
        <f aca="true">RAND()</f>
        <v>0.26484285912019</v>
      </c>
      <c r="AA17" s="159" t="n">
        <f aca="true">RAND()</f>
        <v>0.24409202382198</v>
      </c>
      <c r="AB17" s="159" t="n">
        <f aca="true">RAND()</f>
        <v>0.970520666447303</v>
      </c>
      <c r="AC17" s="159" t="n">
        <f aca="true">RAND()</f>
        <v>0.893474603625358</v>
      </c>
      <c r="AD17" s="159" t="n">
        <f aca="true">RAND()</f>
        <v>0.749708485009915</v>
      </c>
      <c r="AE17" s="159" t="n">
        <f aca="true">RAND()</f>
        <v>0.114541975302798</v>
      </c>
      <c r="AF17" s="159" t="n">
        <f aca="true">RAND()</f>
        <v>0.584243183566834</v>
      </c>
      <c r="AG17" s="159" t="n">
        <f aca="true">RAND()</f>
        <v>0.129157298244536</v>
      </c>
      <c r="AH17" s="159" t="n">
        <f aca="true">RAND()</f>
        <v>0.943689437944933</v>
      </c>
      <c r="AI17" s="159" t="n">
        <f aca="true">RAND()</f>
        <v>0.151189824506776</v>
      </c>
      <c r="AJ17" s="159" t="n">
        <f aca="true">RAND()</f>
        <v>0.809537180410888</v>
      </c>
      <c r="AK17" s="159" t="n">
        <f aca="true">RAND()</f>
        <v>0.135931733242077</v>
      </c>
      <c r="AL17" s="159" t="n">
        <f aca="true">RAND()</f>
        <v>0.221626829945175</v>
      </c>
      <c r="AM17" s="159" t="n">
        <f aca="true">RAND()</f>
        <v>0.00136753117637872</v>
      </c>
      <c r="AN17" s="159" t="n">
        <f aca="true">RAND()</f>
        <v>0.525322742652289</v>
      </c>
      <c r="AO17" s="159" t="n">
        <f aca="true">RAND()</f>
        <v>0.970368294035654</v>
      </c>
      <c r="AP17" s="159" t="n">
        <f aca="true">RAND()</f>
        <v>0.729444867715314</v>
      </c>
      <c r="AQ17" s="159" t="n">
        <f aca="true">RAND()</f>
        <v>0.517243822799405</v>
      </c>
      <c r="AR17" s="159" t="n">
        <f aca="true">RAND()</f>
        <v>0.666600726037425</v>
      </c>
      <c r="AS17" s="159" t="n">
        <f aca="true">RAND()</f>
        <v>0.0131534791497175</v>
      </c>
      <c r="AT17" s="159" t="n">
        <f aca="true">RAND()</f>
        <v>0.675658635158099</v>
      </c>
      <c r="AU17" s="159" t="n">
        <f aca="true">RAND()</f>
        <v>0.181063936882862</v>
      </c>
      <c r="AV17" s="159" t="n">
        <f aca="true">RAND()</f>
        <v>0.539998025817439</v>
      </c>
      <c r="AW17" s="159" t="n">
        <f aca="true">RAND()</f>
        <v>0.598443927651701</v>
      </c>
      <c r="AX17" s="159" t="n">
        <f aca="true">RAND()</f>
        <v>0.691086426381432</v>
      </c>
      <c r="AY17" s="159" t="n">
        <f aca="true">RAND()</f>
        <v>0.784071810506436</v>
      </c>
      <c r="AZ17" s="159" t="n">
        <f aca="true">RAND()</f>
        <v>0.504346203225979</v>
      </c>
      <c r="BA17" s="159" t="n">
        <f aca="true">RAND()</f>
        <v>0.944234867910669</v>
      </c>
      <c r="BB17" s="159" t="n">
        <f aca="true">RAND()</f>
        <v>0.736607553418356</v>
      </c>
      <c r="BC17" s="159" t="n">
        <f aca="true">RAND()</f>
        <v>0.435899451190194</v>
      </c>
      <c r="BD17" s="159" t="n">
        <f aca="true">RAND()</f>
        <v>0.818448591747996</v>
      </c>
      <c r="BE17" s="159" t="n">
        <f aca="true">RAND()</f>
        <v>0.884050535601891</v>
      </c>
      <c r="BF17" s="159" t="n">
        <f aca="true">RAND()</f>
        <v>0.508500133660394</v>
      </c>
      <c r="BG17" s="159" t="n">
        <f aca="true">RAND()</f>
        <v>0.591462312990548</v>
      </c>
      <c r="BH17" s="159" t="n">
        <f aca="true">RAND()</f>
        <v>0.489413218289948</v>
      </c>
      <c r="BI17" s="159" t="n">
        <f aca="true">RAND()</f>
        <v>0.721498978720064</v>
      </c>
      <c r="BJ17" s="159" t="n">
        <f aca="true">RAND()</f>
        <v>0.428096981171761</v>
      </c>
      <c r="BK17" s="159" t="n">
        <f aca="true">RAND()</f>
        <v>0.118996033417999</v>
      </c>
      <c r="BL17" s="159" t="n">
        <f aca="true">RAND()</f>
        <v>0.697124259132999</v>
      </c>
      <c r="BM17" s="159" t="n">
        <f aca="true">RAND()</f>
        <v>0.821979913203281</v>
      </c>
      <c r="BN17" s="159" t="n">
        <f aca="true">RAND()</f>
        <v>0.42635143546559</v>
      </c>
      <c r="BO17" s="159" t="n">
        <f aca="true">RAND()</f>
        <v>0.200785778597659</v>
      </c>
      <c r="BP17" s="159" t="n">
        <f aca="true">RAND()</f>
        <v>0.828653327615986</v>
      </c>
      <c r="BQ17" s="159" t="n">
        <f aca="true">RAND()</f>
        <v>0.468658206596637</v>
      </c>
      <c r="BR17" s="159" t="n">
        <f aca="true">RAND()</f>
        <v>0.924979785321913</v>
      </c>
      <c r="BS17" s="159" t="n">
        <f aca="true">RAND()</f>
        <v>0.293972490115441</v>
      </c>
      <c r="BT17" s="159" t="n">
        <f aca="true">RAND()</f>
        <v>0.204685047091237</v>
      </c>
      <c r="BU17" s="159" t="n">
        <f aca="true">RAND()</f>
        <v>0.196912980525282</v>
      </c>
      <c r="BV17" s="159" t="n">
        <f aca="true">RAND()</f>
        <v>0.319836589275244</v>
      </c>
      <c r="BW17" s="159" t="n">
        <f aca="true">RAND()</f>
        <v>0.61312390869735</v>
      </c>
      <c r="BX17" s="159" t="n">
        <f aca="true">RAND()</f>
        <v>0.674031185950711</v>
      </c>
      <c r="BY17" s="159" t="n">
        <f aca="true">RAND()</f>
        <v>0.272424817105521</v>
      </c>
      <c r="BZ17" s="160" t="n">
        <f aca="false">Simulator!J20*Simulator!$D$5+Simulator!K20*Simulator!$D$6+Simulator!L20*Simulator!$D$7+Simulator!M20*Simulator!$D$8+Simulator!N20*Simulator!$D$9+Simulator!O20*Simulator!$D$10</f>
        <v>0.66800709054833</v>
      </c>
      <c r="CA17" s="160" t="n">
        <f aca="false">IF($BZ17=0,0.1667,(Simulator!J20*Simulator!$D$5)/$BZ17)</f>
        <v>0.379672506575934</v>
      </c>
      <c r="CB17" s="160" t="n">
        <f aca="false">IF($BZ17=0,0.3333,(Simulator!J20*Simulator!$D$5+Simulator!K20*Simulator!$D$6)/$BZ17)</f>
        <v>0.883506289419274</v>
      </c>
      <c r="CC17" s="160" t="n">
        <f aca="false">IF($BZ17=0,0.5,(Simulator!J20*Simulator!$D$5+Simulator!K20*Simulator!$D$6+Simulator!L20*Simulator!$D$7)/$BZ17)</f>
        <v>0.919906474661819</v>
      </c>
      <c r="CD17" s="160" t="n">
        <f aca="false">IF($BZ17=0,0.6667,(Simulator!J20*Simulator!$D$5+Simulator!K20*Simulator!$D$6+Simulator!L20*Simulator!$D$7+Simulator!M20*Simulator!$D$8)/$BZ17)</f>
        <v>0.994898914533347</v>
      </c>
      <c r="CE17" s="160" t="n">
        <f aca="false">IF($BZ17=0,0.8333,(Simulator!J20*Simulator!$D$5+Simulator!K20*Simulator!$D$6+Simulator!L20*Simulator!$D$7+Simulator!M20*Simulator!$D$8+Simulator!N20*Simulator!$D$9)/$BZ17)</f>
        <v>0.999707676215957</v>
      </c>
    </row>
    <row r="18" customFormat="false" ht="15" hidden="false" customHeight="false" outlineLevel="0" collapsed="false">
      <c r="A18" s="158" t="s">
        <v>59</v>
      </c>
      <c r="B18" s="159" t="n">
        <f aca="true">RAND()</f>
        <v>0.653165499511286</v>
      </c>
      <c r="C18" s="159" t="n">
        <f aca="true">RAND()</f>
        <v>0.98553537170809</v>
      </c>
      <c r="D18" s="159" t="n">
        <f aca="true">RAND()</f>
        <v>0.864687125264442</v>
      </c>
      <c r="E18" s="159" t="n">
        <f aca="true">RAND()</f>
        <v>0.447243629617444</v>
      </c>
      <c r="F18" s="159" t="n">
        <f aca="true">RAND()</f>
        <v>0.151906422954352</v>
      </c>
      <c r="G18" s="159" t="n">
        <f aca="true">RAND()</f>
        <v>0.129823394416657</v>
      </c>
      <c r="H18" s="159" t="n">
        <f aca="true">RAND()</f>
        <v>0.309592997395441</v>
      </c>
      <c r="I18" s="159" t="n">
        <f aca="true">RAND()</f>
        <v>0.804263862765987</v>
      </c>
      <c r="J18" s="159" t="n">
        <f aca="true">RAND()</f>
        <v>0.251814683881606</v>
      </c>
      <c r="K18" s="159" t="n">
        <f aca="true">RAND()</f>
        <v>0.915513807592817</v>
      </c>
      <c r="L18" s="159" t="n">
        <f aca="true">RAND()</f>
        <v>0.877612075170413</v>
      </c>
      <c r="M18" s="159" t="n">
        <f aca="true">RAND()</f>
        <v>0.582183684407136</v>
      </c>
      <c r="N18" s="159" t="n">
        <f aca="true">RAND()</f>
        <v>0.554563990085131</v>
      </c>
      <c r="O18" s="159" t="n">
        <f aca="true">RAND()</f>
        <v>0.185444066449253</v>
      </c>
      <c r="P18" s="159" t="n">
        <f aca="true">RAND()</f>
        <v>0.942706659091197</v>
      </c>
      <c r="Q18" s="159" t="n">
        <f aca="true">RAND()</f>
        <v>0.0645274601104777</v>
      </c>
      <c r="R18" s="159" t="n">
        <f aca="true">RAND()</f>
        <v>0.351613420006241</v>
      </c>
      <c r="S18" s="159" t="n">
        <f aca="true">RAND()</f>
        <v>0.759803042039098</v>
      </c>
      <c r="T18" s="159" t="n">
        <f aca="true">RAND()</f>
        <v>0.68061077096246</v>
      </c>
      <c r="U18" s="159" t="n">
        <f aca="true">RAND()</f>
        <v>0.246891199940647</v>
      </c>
      <c r="V18" s="159" t="n">
        <f aca="true">RAND()</f>
        <v>0.550674916868589</v>
      </c>
      <c r="W18" s="159" t="n">
        <f aca="true">RAND()</f>
        <v>0.727252153075025</v>
      </c>
      <c r="X18" s="159" t="n">
        <f aca="true">RAND()</f>
        <v>0.54938729888674</v>
      </c>
      <c r="Y18" s="159" t="n">
        <f aca="true">RAND()</f>
        <v>0.284145519688998</v>
      </c>
      <c r="Z18" s="159" t="n">
        <f aca="true">RAND()</f>
        <v>0.0194870291184981</v>
      </c>
      <c r="AA18" s="159" t="n">
        <f aca="true">RAND()</f>
        <v>0.17810832577954</v>
      </c>
      <c r="AB18" s="159" t="n">
        <f aca="true">RAND()</f>
        <v>0.633532964756958</v>
      </c>
      <c r="AC18" s="159" t="n">
        <f aca="true">RAND()</f>
        <v>0.610391368311069</v>
      </c>
      <c r="AD18" s="159" t="n">
        <f aca="true">RAND()</f>
        <v>0.964772253292509</v>
      </c>
      <c r="AE18" s="159" t="n">
        <f aca="true">RAND()</f>
        <v>0.156647170911577</v>
      </c>
      <c r="AF18" s="159" t="n">
        <f aca="true">RAND()</f>
        <v>0.538591791322142</v>
      </c>
      <c r="AG18" s="159" t="n">
        <f aca="true">RAND()</f>
        <v>0.350447595695382</v>
      </c>
      <c r="AH18" s="159" t="n">
        <f aca="true">RAND()</f>
        <v>0.348898039242612</v>
      </c>
      <c r="AI18" s="159" t="n">
        <f aca="true">RAND()</f>
        <v>0.987401601001487</v>
      </c>
      <c r="AJ18" s="159" t="n">
        <f aca="true">RAND()</f>
        <v>0.349139146039414</v>
      </c>
      <c r="AK18" s="159" t="n">
        <f aca="true">RAND()</f>
        <v>0.598561909746856</v>
      </c>
      <c r="AL18" s="159" t="n">
        <f aca="true">RAND()</f>
        <v>0.287522215038761</v>
      </c>
      <c r="AM18" s="159" t="n">
        <f aca="true">RAND()</f>
        <v>0.882344035890355</v>
      </c>
      <c r="AN18" s="159" t="n">
        <f aca="true">RAND()</f>
        <v>0.469171894050545</v>
      </c>
      <c r="AO18" s="159" t="n">
        <f aca="true">RAND()</f>
        <v>0.182129741872571</v>
      </c>
      <c r="AP18" s="159" t="n">
        <f aca="true">RAND()</f>
        <v>0.199491069596744</v>
      </c>
      <c r="AQ18" s="159" t="n">
        <f aca="true">RAND()</f>
        <v>0.989830268671123</v>
      </c>
      <c r="AR18" s="159" t="n">
        <f aca="true">RAND()</f>
        <v>0.475377782568506</v>
      </c>
      <c r="AS18" s="159" t="n">
        <f aca="true">RAND()</f>
        <v>0.0368859457373868</v>
      </c>
      <c r="AT18" s="159" t="n">
        <f aca="true">RAND()</f>
        <v>0.304917564632135</v>
      </c>
      <c r="AU18" s="159" t="n">
        <f aca="true">RAND()</f>
        <v>0.159386635037177</v>
      </c>
      <c r="AV18" s="159" t="n">
        <f aca="true">RAND()</f>
        <v>0.927730749582591</v>
      </c>
      <c r="AW18" s="159" t="n">
        <f aca="true">RAND()</f>
        <v>0.370343239407371</v>
      </c>
      <c r="AX18" s="159" t="n">
        <f aca="true">RAND()</f>
        <v>0.544663763212615</v>
      </c>
      <c r="AY18" s="159" t="n">
        <f aca="true">RAND()</f>
        <v>0.851576269941536</v>
      </c>
      <c r="AZ18" s="159" t="n">
        <f aca="true">RAND()</f>
        <v>0.721941627648954</v>
      </c>
      <c r="BA18" s="159" t="n">
        <f aca="true">RAND()</f>
        <v>0.812702636731321</v>
      </c>
      <c r="BB18" s="159" t="n">
        <f aca="true">RAND()</f>
        <v>0.463406547963536</v>
      </c>
      <c r="BC18" s="159" t="n">
        <f aca="true">RAND()</f>
        <v>0.643436617026774</v>
      </c>
      <c r="BD18" s="159" t="n">
        <f aca="true">RAND()</f>
        <v>0.0845877919360427</v>
      </c>
      <c r="BE18" s="159" t="n">
        <f aca="true">RAND()</f>
        <v>0.115584656082884</v>
      </c>
      <c r="BF18" s="159" t="n">
        <f aca="true">RAND()</f>
        <v>0.415180291504586</v>
      </c>
      <c r="BG18" s="159" t="n">
        <f aca="true">RAND()</f>
        <v>0.0618979655096177</v>
      </c>
      <c r="BH18" s="159" t="n">
        <f aca="true">RAND()</f>
        <v>0.773573362387763</v>
      </c>
      <c r="BI18" s="159" t="n">
        <f aca="true">RAND()</f>
        <v>0.279811012644632</v>
      </c>
      <c r="BJ18" s="159" t="n">
        <f aca="true">RAND()</f>
        <v>0.929454156371415</v>
      </c>
      <c r="BK18" s="159" t="n">
        <f aca="true">RAND()</f>
        <v>0.871614870898678</v>
      </c>
      <c r="BL18" s="159" t="n">
        <f aca="true">RAND()</f>
        <v>0.508094114803307</v>
      </c>
      <c r="BM18" s="159" t="n">
        <f aca="true">RAND()</f>
        <v>0.0115426246478289</v>
      </c>
      <c r="BN18" s="159" t="n">
        <f aca="true">RAND()</f>
        <v>0.181644660910392</v>
      </c>
      <c r="BO18" s="159" t="n">
        <f aca="true">RAND()</f>
        <v>0.0785381931700955</v>
      </c>
      <c r="BP18" s="159" t="n">
        <f aca="true">RAND()</f>
        <v>0.881395552024536</v>
      </c>
      <c r="BQ18" s="159" t="n">
        <f aca="true">RAND()</f>
        <v>0.879866851983874</v>
      </c>
      <c r="BR18" s="159" t="n">
        <f aca="true">RAND()</f>
        <v>0.387317262476066</v>
      </c>
      <c r="BS18" s="159" t="n">
        <f aca="true">RAND()</f>
        <v>0.10338249320077</v>
      </c>
      <c r="BT18" s="159" t="n">
        <f aca="true">RAND()</f>
        <v>0.0242164416073652</v>
      </c>
      <c r="BU18" s="159" t="n">
        <f aca="true">RAND()</f>
        <v>0.536360094579668</v>
      </c>
      <c r="BV18" s="159" t="n">
        <f aca="true">RAND()</f>
        <v>0.418048533682266</v>
      </c>
      <c r="BW18" s="159" t="n">
        <f aca="true">RAND()</f>
        <v>0.111975527510314</v>
      </c>
      <c r="BX18" s="159" t="n">
        <f aca="true">RAND()</f>
        <v>0.198745136268789</v>
      </c>
      <c r="BY18" s="159" t="n">
        <f aca="true">RAND()</f>
        <v>0.608583442460716</v>
      </c>
      <c r="BZ18" s="160" t="n">
        <f aca="false">Simulator!J21*Simulator!$D$5+Simulator!K21*Simulator!$D$6+Simulator!L21*Simulator!$D$7+Simulator!M21*Simulator!$D$8+Simulator!N21*Simulator!$D$9+Simulator!O21*Simulator!$D$10</f>
        <v>0.661303602116278</v>
      </c>
      <c r="CA18" s="160" t="n">
        <f aca="false">IF($BZ18=0,0.1667,(Simulator!J21*Simulator!$D$5)/$BZ18)</f>
        <v>0.342030934812356</v>
      </c>
      <c r="CB18" s="160" t="n">
        <f aca="false">IF($BZ18=0,0.3333,(Simulator!J21*Simulator!$D$5+Simulator!K21*Simulator!$D$6)/$BZ18)</f>
        <v>0.879034652475436</v>
      </c>
      <c r="CC18" s="160" t="n">
        <f aca="false">IF($BZ18=0,0.5,(Simulator!J21*Simulator!$D$5+Simulator!K21*Simulator!$D$6+Simulator!L21*Simulator!$D$7)/$BZ18)</f>
        <v>0.937143900084495</v>
      </c>
      <c r="CD18" s="160" t="n">
        <f aca="false">IF($BZ18=0,0.6667,(Simulator!J21*Simulator!$D$5+Simulator!K21*Simulator!$D$6+Simulator!L21*Simulator!$D$7+Simulator!M21*Simulator!$D$8)/$BZ18)</f>
        <v>0.994933787519246</v>
      </c>
      <c r="CE18" s="160" t="n">
        <f aca="false">IF($BZ18=0,0.8333,(Simulator!J21*Simulator!$D$5+Simulator!K21*Simulator!$D$6+Simulator!L21*Simulator!$D$7+Simulator!M21*Simulator!$D$8+Simulator!N21*Simulator!$D$9)/$BZ18)</f>
        <v>0.999704712994377</v>
      </c>
    </row>
    <row r="19" customFormat="false" ht="15" hidden="false" customHeight="false" outlineLevel="0" collapsed="false">
      <c r="A19" s="158" t="s">
        <v>60</v>
      </c>
      <c r="B19" s="159" t="n">
        <f aca="true">RAND()</f>
        <v>0.98784606115916</v>
      </c>
      <c r="C19" s="159" t="n">
        <f aca="true">RAND()</f>
        <v>0.506688258197449</v>
      </c>
      <c r="D19" s="159" t="n">
        <f aca="true">RAND()</f>
        <v>0.689659501856934</v>
      </c>
      <c r="E19" s="159" t="n">
        <f aca="true">RAND()</f>
        <v>0.533895733333121</v>
      </c>
      <c r="F19" s="159" t="n">
        <f aca="true">RAND()</f>
        <v>0.97347879176745</v>
      </c>
      <c r="G19" s="159" t="n">
        <f aca="true">RAND()</f>
        <v>0.965686123583052</v>
      </c>
      <c r="H19" s="159" t="n">
        <f aca="true">RAND()</f>
        <v>0.376213902049992</v>
      </c>
      <c r="I19" s="159" t="n">
        <f aca="true">RAND()</f>
        <v>0.106366073597024</v>
      </c>
      <c r="J19" s="159" t="n">
        <f aca="true">RAND()</f>
        <v>0.233083157145809</v>
      </c>
      <c r="K19" s="159" t="n">
        <f aca="true">RAND()</f>
        <v>0.0225933314725581</v>
      </c>
      <c r="L19" s="159" t="n">
        <f aca="true">RAND()</f>
        <v>0.481668300943386</v>
      </c>
      <c r="M19" s="159" t="n">
        <f aca="true">RAND()</f>
        <v>0.57783291403398</v>
      </c>
      <c r="N19" s="159" t="n">
        <f aca="true">RAND()</f>
        <v>0.0393315519775177</v>
      </c>
      <c r="O19" s="159" t="n">
        <f aca="true">RAND()</f>
        <v>0.00337172940413376</v>
      </c>
      <c r="P19" s="159" t="n">
        <f aca="true">RAND()</f>
        <v>0.664024905509086</v>
      </c>
      <c r="Q19" s="159" t="n">
        <f aca="true">RAND()</f>
        <v>0.19295455697914</v>
      </c>
      <c r="R19" s="159" t="n">
        <f aca="true">RAND()</f>
        <v>0.616053327532312</v>
      </c>
      <c r="S19" s="159" t="n">
        <f aca="true">RAND()</f>
        <v>0.549855421796118</v>
      </c>
      <c r="T19" s="159" t="n">
        <f aca="true">RAND()</f>
        <v>0.412524016273601</v>
      </c>
      <c r="U19" s="159" t="n">
        <f aca="true">RAND()</f>
        <v>0.956744643865936</v>
      </c>
      <c r="V19" s="159" t="n">
        <f aca="true">RAND()</f>
        <v>0.0878883563599755</v>
      </c>
      <c r="W19" s="159" t="n">
        <f aca="true">RAND()</f>
        <v>0.499340374387855</v>
      </c>
      <c r="X19" s="159" t="n">
        <f aca="true">RAND()</f>
        <v>0.182869834590432</v>
      </c>
      <c r="Y19" s="159" t="n">
        <f aca="true">RAND()</f>
        <v>0.568471894370519</v>
      </c>
      <c r="Z19" s="159" t="n">
        <f aca="true">RAND()</f>
        <v>0.0295792360466006</v>
      </c>
      <c r="AA19" s="159" t="n">
        <f aca="true">RAND()</f>
        <v>0.817904943179405</v>
      </c>
      <c r="AB19" s="159" t="n">
        <f aca="true">RAND()</f>
        <v>0.156174867904029</v>
      </c>
      <c r="AC19" s="159" t="n">
        <f aca="true">RAND()</f>
        <v>0.31565917005908</v>
      </c>
      <c r="AD19" s="159" t="n">
        <f aca="true">RAND()</f>
        <v>0.77472697828697</v>
      </c>
      <c r="AE19" s="159" t="n">
        <f aca="true">RAND()</f>
        <v>0.0334021207246364</v>
      </c>
      <c r="AF19" s="159" t="n">
        <f aca="true">RAND()</f>
        <v>0.59101678116235</v>
      </c>
      <c r="AG19" s="159" t="n">
        <f aca="true">RAND()</f>
        <v>0.0784150852799506</v>
      </c>
      <c r="AH19" s="159" t="n">
        <f aca="true">RAND()</f>
        <v>0.14443408473888</v>
      </c>
      <c r="AI19" s="159" t="n">
        <f aca="true">RAND()</f>
        <v>0.150994427811089</v>
      </c>
      <c r="AJ19" s="159" t="n">
        <f aca="true">RAND()</f>
        <v>0.0248518323532931</v>
      </c>
      <c r="AK19" s="159" t="n">
        <f aca="true">RAND()</f>
        <v>0.722990543573099</v>
      </c>
      <c r="AL19" s="159" t="n">
        <f aca="true">RAND()</f>
        <v>0.316161126727775</v>
      </c>
      <c r="AM19" s="159" t="n">
        <f aca="true">RAND()</f>
        <v>0.693050716728973</v>
      </c>
      <c r="AN19" s="159" t="n">
        <f aca="true">RAND()</f>
        <v>0.693243205355094</v>
      </c>
      <c r="AO19" s="159" t="n">
        <f aca="true">RAND()</f>
        <v>0.824246331805222</v>
      </c>
      <c r="AP19" s="159" t="n">
        <f aca="true">RAND()</f>
        <v>0.523723871122243</v>
      </c>
      <c r="AQ19" s="159" t="n">
        <f aca="true">RAND()</f>
        <v>0.651407644939367</v>
      </c>
      <c r="AR19" s="159" t="n">
        <f aca="true">RAND()</f>
        <v>0.34217718534989</v>
      </c>
      <c r="AS19" s="159" t="n">
        <f aca="true">RAND()</f>
        <v>0.302033630213421</v>
      </c>
      <c r="AT19" s="159" t="n">
        <f aca="true">RAND()</f>
        <v>0.477025793010171</v>
      </c>
      <c r="AU19" s="159" t="n">
        <f aca="true">RAND()</f>
        <v>0.860650317628391</v>
      </c>
      <c r="AV19" s="159" t="n">
        <f aca="true">RAND()</f>
        <v>0.135937018794501</v>
      </c>
      <c r="AW19" s="159" t="n">
        <f aca="true">RAND()</f>
        <v>0.765349790308373</v>
      </c>
      <c r="AX19" s="159" t="n">
        <f aca="true">RAND()</f>
        <v>0.294369545534043</v>
      </c>
      <c r="AY19" s="159" t="n">
        <f aca="true">RAND()</f>
        <v>0.6392025792068</v>
      </c>
      <c r="AZ19" s="159" t="n">
        <f aca="true">RAND()</f>
        <v>0.145410857922507</v>
      </c>
      <c r="BA19" s="159" t="n">
        <f aca="true">RAND()</f>
        <v>0.833787900439895</v>
      </c>
      <c r="BB19" s="159" t="n">
        <f aca="true">RAND()</f>
        <v>0.84107865668201</v>
      </c>
      <c r="BC19" s="159" t="n">
        <f aca="true">RAND()</f>
        <v>0.551038002676885</v>
      </c>
      <c r="BD19" s="159" t="n">
        <f aca="true">RAND()</f>
        <v>0.285398885575816</v>
      </c>
      <c r="BE19" s="159" t="n">
        <f aca="true">RAND()</f>
        <v>0.849434929307865</v>
      </c>
      <c r="BF19" s="159" t="n">
        <f aca="true">RAND()</f>
        <v>0.936164992181283</v>
      </c>
      <c r="BG19" s="159" t="n">
        <f aca="true">RAND()</f>
        <v>0.778720754726746</v>
      </c>
      <c r="BH19" s="159" t="n">
        <f aca="true">RAND()</f>
        <v>0.855834093409532</v>
      </c>
      <c r="BI19" s="159" t="n">
        <f aca="true">RAND()</f>
        <v>0.627485857655754</v>
      </c>
      <c r="BJ19" s="159" t="n">
        <f aca="true">RAND()</f>
        <v>0.50702340305275</v>
      </c>
      <c r="BK19" s="159" t="n">
        <f aca="true">RAND()</f>
        <v>0.989940915794272</v>
      </c>
      <c r="BL19" s="159" t="n">
        <f aca="true">RAND()</f>
        <v>0.35649535848481</v>
      </c>
      <c r="BM19" s="159" t="n">
        <f aca="true">RAND()</f>
        <v>0.877220425777845</v>
      </c>
      <c r="BN19" s="159" t="n">
        <f aca="true">RAND()</f>
        <v>0.485370278510372</v>
      </c>
      <c r="BO19" s="159" t="n">
        <f aca="true">RAND()</f>
        <v>0.967688399142364</v>
      </c>
      <c r="BP19" s="159" t="n">
        <f aca="true">RAND()</f>
        <v>0.201671257947031</v>
      </c>
      <c r="BQ19" s="159" t="n">
        <f aca="true">RAND()</f>
        <v>0.722657314768812</v>
      </c>
      <c r="BR19" s="159" t="n">
        <f aca="true">RAND()</f>
        <v>0.528598709764724</v>
      </c>
      <c r="BS19" s="159" t="n">
        <f aca="true">RAND()</f>
        <v>0.331012781306667</v>
      </c>
      <c r="BT19" s="159" t="n">
        <f aca="true">RAND()</f>
        <v>0.681166707857999</v>
      </c>
      <c r="BU19" s="159" t="n">
        <f aca="true">RAND()</f>
        <v>0.476975711225074</v>
      </c>
      <c r="BV19" s="159" t="n">
        <f aca="true">RAND()</f>
        <v>0.275474648703233</v>
      </c>
      <c r="BW19" s="159" t="n">
        <f aca="true">RAND()</f>
        <v>0.204860798308979</v>
      </c>
      <c r="BX19" s="159" t="n">
        <f aca="true">RAND()</f>
        <v>0.437333997590324</v>
      </c>
      <c r="BY19" s="159" t="n">
        <f aca="true">RAND()</f>
        <v>0.592844971733902</v>
      </c>
      <c r="BZ19" s="160" t="n">
        <f aca="false">Simulator!J22*Simulator!$D$5+Simulator!K22*Simulator!$D$6+Simulator!L22*Simulator!$D$7+Simulator!M22*Simulator!$D$8+Simulator!N22*Simulator!$D$9+Simulator!O22*Simulator!$D$10</f>
        <v>0.60468440404907</v>
      </c>
      <c r="CA19" s="160" t="n">
        <f aca="false">IF($BZ19=0,0.1667,(Simulator!J22*Simulator!$D$5)/$BZ19)</f>
        <v>0.473387149136444</v>
      </c>
      <c r="CB19" s="160" t="n">
        <f aca="false">IF($BZ19=0,0.3333,(Simulator!J22*Simulator!$D$5+Simulator!K22*Simulator!$D$6)/$BZ19)</f>
        <v>0.845730680341597</v>
      </c>
      <c r="CC19" s="160" t="n">
        <f aca="false">IF($BZ19=0,0.5,(Simulator!J22*Simulator!$D$5+Simulator!K22*Simulator!$D$6+Simulator!L22*Simulator!$D$7)/$BZ19)</f>
        <v>0.887534738626798</v>
      </c>
      <c r="CD19" s="160" t="n">
        <f aca="false">IF($BZ19=0,0.6667,(Simulator!J22*Simulator!$D$5+Simulator!K22*Simulator!$D$6+Simulator!L22*Simulator!$D$7+Simulator!M22*Simulator!$D$8)/$BZ19)</f>
        <v>0.993570442398354</v>
      </c>
      <c r="CE19" s="160" t="n">
        <f aca="false">IF($BZ19=0,0.8333,(Simulator!J22*Simulator!$D$5+Simulator!K22*Simulator!$D$6+Simulator!L22*Simulator!$D$7+Simulator!M22*Simulator!$D$8+Simulator!N22*Simulator!$D$9)/$BZ19)</f>
        <v>0.999677064003687</v>
      </c>
    </row>
    <row r="20" customFormat="false" ht="15" hidden="false" customHeight="false" outlineLevel="0" collapsed="false">
      <c r="A20" s="158" t="s">
        <v>62</v>
      </c>
      <c r="B20" s="159" t="n">
        <f aca="true">RAND()</f>
        <v>0.413168583951999</v>
      </c>
      <c r="C20" s="159" t="n">
        <f aca="true">RAND()</f>
        <v>0.22354081289266</v>
      </c>
      <c r="D20" s="159" t="n">
        <f aca="true">RAND()</f>
        <v>0.340785804405411</v>
      </c>
      <c r="E20" s="159" t="n">
        <f aca="true">RAND()</f>
        <v>0.658287701855195</v>
      </c>
      <c r="F20" s="159" t="n">
        <f aca="true">RAND()</f>
        <v>0.472008328444365</v>
      </c>
      <c r="G20" s="159" t="n">
        <f aca="true">RAND()</f>
        <v>0.863051999337794</v>
      </c>
      <c r="H20" s="159" t="n">
        <f aca="true">RAND()</f>
        <v>0.593242124096777</v>
      </c>
      <c r="I20" s="159" t="n">
        <f aca="true">RAND()</f>
        <v>0.217394975451678</v>
      </c>
      <c r="J20" s="159" t="n">
        <f aca="true">RAND()</f>
        <v>0.68315355534234</v>
      </c>
      <c r="K20" s="159" t="n">
        <f aca="true">RAND()</f>
        <v>0.994095990583576</v>
      </c>
      <c r="L20" s="159" t="n">
        <f aca="true">RAND()</f>
        <v>0.119017980651658</v>
      </c>
      <c r="M20" s="159" t="n">
        <f aca="true">RAND()</f>
        <v>0.357686738383654</v>
      </c>
      <c r="N20" s="159" t="n">
        <f aca="true">RAND()</f>
        <v>0.118871263760276</v>
      </c>
      <c r="O20" s="159" t="n">
        <f aca="true">RAND()</f>
        <v>0.418408294981099</v>
      </c>
      <c r="P20" s="159" t="n">
        <f aca="true">RAND()</f>
        <v>0.713666471655674</v>
      </c>
      <c r="Q20" s="159" t="n">
        <f aca="true">RAND()</f>
        <v>0.36747309331826</v>
      </c>
      <c r="R20" s="159" t="n">
        <f aca="true">RAND()</f>
        <v>0.480669927329371</v>
      </c>
      <c r="S20" s="159" t="n">
        <f aca="true">RAND()</f>
        <v>0.716546284212051</v>
      </c>
      <c r="T20" s="159" t="n">
        <f aca="true">RAND()</f>
        <v>0.136156073553564</v>
      </c>
      <c r="U20" s="159" t="n">
        <f aca="true">RAND()</f>
        <v>0.939347644801732</v>
      </c>
      <c r="V20" s="159" t="n">
        <f aca="true">RAND()</f>
        <v>0.439986862506597</v>
      </c>
      <c r="W20" s="159" t="n">
        <f aca="true">RAND()</f>
        <v>0.601851261817542</v>
      </c>
      <c r="X20" s="159" t="n">
        <f aca="true">RAND()</f>
        <v>0.716361460561651</v>
      </c>
      <c r="Y20" s="159" t="n">
        <f aca="true">RAND()</f>
        <v>0.587337244064078</v>
      </c>
      <c r="Z20" s="159" t="n">
        <f aca="true">RAND()</f>
        <v>0.00600104995313368</v>
      </c>
      <c r="AA20" s="159" t="n">
        <f aca="true">RAND()</f>
        <v>0.157914759055143</v>
      </c>
      <c r="AB20" s="159" t="n">
        <f aca="true">RAND()</f>
        <v>0.56786911130454</v>
      </c>
      <c r="AC20" s="159" t="n">
        <f aca="true">RAND()</f>
        <v>0.51516646572454</v>
      </c>
      <c r="AD20" s="159" t="n">
        <f aca="true">RAND()</f>
        <v>0.401343462879134</v>
      </c>
      <c r="AE20" s="159" t="n">
        <f aca="true">RAND()</f>
        <v>0.806852640569758</v>
      </c>
      <c r="AF20" s="159" t="n">
        <f aca="true">RAND()</f>
        <v>0.89830822862644</v>
      </c>
      <c r="AG20" s="159" t="n">
        <f aca="true">RAND()</f>
        <v>0.638488195932322</v>
      </c>
      <c r="AH20" s="159" t="n">
        <f aca="true">RAND()</f>
        <v>0.522471711746661</v>
      </c>
      <c r="AI20" s="159" t="n">
        <f aca="true">RAND()</f>
        <v>0.102568771929983</v>
      </c>
      <c r="AJ20" s="159" t="n">
        <f aca="true">RAND()</f>
        <v>0.0869984154022226</v>
      </c>
      <c r="AK20" s="159" t="n">
        <f aca="true">RAND()</f>
        <v>0.457011671726019</v>
      </c>
      <c r="AL20" s="159" t="n">
        <f aca="true">RAND()</f>
        <v>0.365714448093097</v>
      </c>
      <c r="AM20" s="159" t="n">
        <f aca="true">RAND()</f>
        <v>0.611800702007403</v>
      </c>
      <c r="AN20" s="159" t="n">
        <f aca="true">RAND()</f>
        <v>0.520304435204766</v>
      </c>
      <c r="AO20" s="159" t="n">
        <f aca="true">RAND()</f>
        <v>0.739597609370296</v>
      </c>
      <c r="AP20" s="159" t="n">
        <f aca="true">RAND()</f>
        <v>0.326569672356905</v>
      </c>
      <c r="AQ20" s="159" t="n">
        <f aca="true">RAND()</f>
        <v>0.370321083514808</v>
      </c>
      <c r="AR20" s="159" t="n">
        <f aca="true">RAND()</f>
        <v>0.709958559761481</v>
      </c>
      <c r="AS20" s="159" t="n">
        <f aca="true">RAND()</f>
        <v>0.0521234005444383</v>
      </c>
      <c r="AT20" s="159" t="n">
        <f aca="true">RAND()</f>
        <v>0.421960427403774</v>
      </c>
      <c r="AU20" s="159" t="n">
        <f aca="true">RAND()</f>
        <v>0.64416799659823</v>
      </c>
      <c r="AV20" s="159" t="n">
        <f aca="true">RAND()</f>
        <v>0.674397696402187</v>
      </c>
      <c r="AW20" s="159" t="n">
        <f aca="true">RAND()</f>
        <v>0.147479296283967</v>
      </c>
      <c r="AX20" s="159" t="n">
        <f aca="true">RAND()</f>
        <v>0.138951974202555</v>
      </c>
      <c r="AY20" s="159" t="n">
        <f aca="true">RAND()</f>
        <v>0.58869168352247</v>
      </c>
      <c r="AZ20" s="159" t="n">
        <f aca="true">RAND()</f>
        <v>0.327733217339975</v>
      </c>
      <c r="BA20" s="159" t="n">
        <f aca="true">RAND()</f>
        <v>0.565756067944555</v>
      </c>
      <c r="BB20" s="159" t="n">
        <f aca="true">RAND()</f>
        <v>0.412374602716568</v>
      </c>
      <c r="BC20" s="159" t="n">
        <f aca="true">RAND()</f>
        <v>0.27016187389556</v>
      </c>
      <c r="BD20" s="159" t="n">
        <f aca="true">RAND()</f>
        <v>0.938516811001515</v>
      </c>
      <c r="BE20" s="159" t="n">
        <f aca="true">RAND()</f>
        <v>0.694253200100057</v>
      </c>
      <c r="BF20" s="159" t="n">
        <f aca="true">RAND()</f>
        <v>0.588755437349249</v>
      </c>
      <c r="BG20" s="159" t="n">
        <f aca="true">RAND()</f>
        <v>0.537631314158812</v>
      </c>
      <c r="BH20" s="159" t="n">
        <f aca="true">RAND()</f>
        <v>0.936584581555338</v>
      </c>
      <c r="BI20" s="159" t="n">
        <f aca="true">RAND()</f>
        <v>0.675002875368783</v>
      </c>
      <c r="BJ20" s="159" t="n">
        <f aca="true">RAND()</f>
        <v>0.253434434146885</v>
      </c>
      <c r="BK20" s="159" t="n">
        <f aca="true">RAND()</f>
        <v>0.0317376663587554</v>
      </c>
      <c r="BL20" s="159" t="n">
        <f aca="true">RAND()</f>
        <v>0.937072588425055</v>
      </c>
      <c r="BM20" s="159" t="n">
        <f aca="true">RAND()</f>
        <v>0.740580749733014</v>
      </c>
      <c r="BN20" s="159" t="n">
        <f aca="true">RAND()</f>
        <v>0.736983265196264</v>
      </c>
      <c r="BO20" s="159" t="n">
        <f aca="true">RAND()</f>
        <v>0.410346701015733</v>
      </c>
      <c r="BP20" s="159" t="n">
        <f aca="true">RAND()</f>
        <v>0.746980189447827</v>
      </c>
      <c r="BQ20" s="159" t="n">
        <f aca="true">RAND()</f>
        <v>0.414118467511119</v>
      </c>
      <c r="BR20" s="159" t="n">
        <f aca="true">RAND()</f>
        <v>0.773825195921936</v>
      </c>
      <c r="BS20" s="159" t="n">
        <f aca="true">RAND()</f>
        <v>0.567980217533524</v>
      </c>
      <c r="BT20" s="159" t="n">
        <f aca="true">RAND()</f>
        <v>0.987918367523464</v>
      </c>
      <c r="BU20" s="159" t="n">
        <f aca="true">RAND()</f>
        <v>0.251082062473249</v>
      </c>
      <c r="BV20" s="159" t="n">
        <f aca="true">RAND()</f>
        <v>0.242832964189254</v>
      </c>
      <c r="BW20" s="159" t="n">
        <f aca="true">RAND()</f>
        <v>0.253074584478239</v>
      </c>
      <c r="BX20" s="159" t="n">
        <f aca="true">RAND()</f>
        <v>0.524747595967559</v>
      </c>
      <c r="BY20" s="159" t="n">
        <f aca="true">RAND()</f>
        <v>0.854669655979535</v>
      </c>
      <c r="BZ20" s="160" t="n">
        <f aca="false">Simulator!J23*Simulator!$D$5+Simulator!K23*Simulator!$D$6+Simulator!L23*Simulator!$D$7+Simulator!M23*Simulator!$D$8+Simulator!N23*Simulator!$D$9+Simulator!O23*Simulator!$D$10</f>
        <v>0.653858632444776</v>
      </c>
      <c r="CA20" s="160" t="n">
        <f aca="false">IF($BZ20=0,0.1667,(Simulator!J23*Simulator!$D$5)/$BZ20)</f>
        <v>0.313157259199522</v>
      </c>
      <c r="CB20" s="160" t="n">
        <f aca="false">IF($BZ20=0,0.3333,(Simulator!J23*Simulator!$D$5+Simulator!K23*Simulator!$D$6)/$BZ20)</f>
        <v>0.879540654830734</v>
      </c>
      <c r="CC20" s="160" t="n">
        <f aca="false">IF($BZ20=0,0.5,(Simulator!J23*Simulator!$D$5+Simulator!K23*Simulator!$D$6+Simulator!L23*Simulator!$D$7)/$BZ20)</f>
        <v>0.925767849361249</v>
      </c>
      <c r="CD20" s="160" t="n">
        <f aca="false">IF($BZ20=0,0.6667,(Simulator!J23*Simulator!$D$5+Simulator!K23*Simulator!$D$6+Simulator!L23*Simulator!$D$7+Simulator!M23*Simulator!$D$8)/$BZ20)</f>
        <v>0.993854224625906</v>
      </c>
      <c r="CE20" s="160" t="n">
        <f aca="false">IF($BZ20=0,0.8333,(Simulator!J23*Simulator!$D$5+Simulator!K23*Simulator!$D$6+Simulator!L23*Simulator!$D$7+Simulator!M23*Simulator!$D$8+Simulator!N23*Simulator!$D$9)/$BZ20)</f>
        <v>0.999701350795437</v>
      </c>
    </row>
    <row r="21" customFormat="false" ht="15" hidden="false" customHeight="false" outlineLevel="0" collapsed="false">
      <c r="A21" s="158" t="s">
        <v>64</v>
      </c>
      <c r="B21" s="159" t="n">
        <f aca="true">RAND()</f>
        <v>0.0404189207194932</v>
      </c>
      <c r="C21" s="159" t="n">
        <f aca="true">RAND()</f>
        <v>0.570336137668163</v>
      </c>
      <c r="D21" s="159" t="n">
        <f aca="true">RAND()</f>
        <v>0.810802480671115</v>
      </c>
      <c r="E21" s="159" t="n">
        <f aca="true">RAND()</f>
        <v>0.631912890533442</v>
      </c>
      <c r="F21" s="159" t="n">
        <f aca="true">RAND()</f>
        <v>0.0730840946960431</v>
      </c>
      <c r="G21" s="159" t="n">
        <f aca="true">RAND()</f>
        <v>0.15758844145701</v>
      </c>
      <c r="H21" s="159" t="n">
        <f aca="true">RAND()</f>
        <v>0.943595782643219</v>
      </c>
      <c r="I21" s="159" t="n">
        <f aca="true">RAND()</f>
        <v>0.722096993920707</v>
      </c>
      <c r="J21" s="159" t="n">
        <f aca="true">RAND()</f>
        <v>0.480478661689767</v>
      </c>
      <c r="K21" s="159" t="n">
        <f aca="true">RAND()</f>
        <v>0.903644544394586</v>
      </c>
      <c r="L21" s="159" t="n">
        <f aca="true">RAND()</f>
        <v>0.0613248636414138</v>
      </c>
      <c r="M21" s="159" t="n">
        <f aca="true">RAND()</f>
        <v>0.753413833325981</v>
      </c>
      <c r="N21" s="159" t="n">
        <f aca="true">RAND()</f>
        <v>0.845156707099542</v>
      </c>
      <c r="O21" s="159" t="n">
        <f aca="true">RAND()</f>
        <v>0.0779299078407548</v>
      </c>
      <c r="P21" s="159" t="n">
        <f aca="true">RAND()</f>
        <v>0.794777577779767</v>
      </c>
      <c r="Q21" s="159" t="n">
        <f aca="true">RAND()</f>
        <v>0.589471820168768</v>
      </c>
      <c r="R21" s="159" t="n">
        <f aca="true">RAND()</f>
        <v>0.447641758252747</v>
      </c>
      <c r="S21" s="159" t="n">
        <f aca="true">RAND()</f>
        <v>0.865183113246069</v>
      </c>
      <c r="T21" s="159" t="n">
        <f aca="true">RAND()</f>
        <v>0.426905379003375</v>
      </c>
      <c r="U21" s="159" t="n">
        <f aca="true">RAND()</f>
        <v>0.0551268595828297</v>
      </c>
      <c r="V21" s="159" t="n">
        <f aca="true">RAND()</f>
        <v>0.379005121942039</v>
      </c>
      <c r="W21" s="159" t="n">
        <f aca="true">RAND()</f>
        <v>0.117017639518821</v>
      </c>
      <c r="X21" s="159" t="n">
        <f aca="true">RAND()</f>
        <v>0.683275610065491</v>
      </c>
      <c r="Y21" s="159" t="n">
        <f aca="true">RAND()</f>
        <v>0.248723669089613</v>
      </c>
      <c r="Z21" s="159" t="n">
        <f aca="true">RAND()</f>
        <v>0.646493341349031</v>
      </c>
      <c r="AA21" s="159" t="n">
        <f aca="true">RAND()</f>
        <v>0.393185796930038</v>
      </c>
      <c r="AB21" s="159" t="n">
        <f aca="true">RAND()</f>
        <v>0.974654296766409</v>
      </c>
      <c r="AC21" s="159" t="n">
        <f aca="true">RAND()</f>
        <v>0.640903564013645</v>
      </c>
      <c r="AD21" s="159" t="n">
        <f aca="true">RAND()</f>
        <v>0.303988931465287</v>
      </c>
      <c r="AE21" s="159" t="n">
        <f aca="true">RAND()</f>
        <v>0.369887860924701</v>
      </c>
      <c r="AF21" s="159" t="n">
        <f aca="true">RAND()</f>
        <v>0.698243000387517</v>
      </c>
      <c r="AG21" s="159" t="n">
        <f aca="true">RAND()</f>
        <v>0.555534850883974</v>
      </c>
      <c r="AH21" s="159" t="n">
        <f aca="true">RAND()</f>
        <v>0.374619442690142</v>
      </c>
      <c r="AI21" s="159" t="n">
        <f aca="true">RAND()</f>
        <v>0.783131633057903</v>
      </c>
      <c r="AJ21" s="159" t="n">
        <f aca="true">RAND()</f>
        <v>0.0362977671276383</v>
      </c>
      <c r="AK21" s="159" t="n">
        <f aca="true">RAND()</f>
        <v>0.237125174656862</v>
      </c>
      <c r="AL21" s="159" t="n">
        <f aca="true">RAND()</f>
        <v>0.749977739477203</v>
      </c>
      <c r="AM21" s="159" t="n">
        <f aca="true">RAND()</f>
        <v>0.219749370685397</v>
      </c>
      <c r="AN21" s="159" t="n">
        <f aca="true">RAND()</f>
        <v>0.629973455774796</v>
      </c>
      <c r="AO21" s="159" t="n">
        <f aca="true">RAND()</f>
        <v>0.0268767886446676</v>
      </c>
      <c r="AP21" s="159" t="n">
        <f aca="true">RAND()</f>
        <v>0.532336107172875</v>
      </c>
      <c r="AQ21" s="159" t="n">
        <f aca="true">RAND()</f>
        <v>0.64639622696246</v>
      </c>
      <c r="AR21" s="159" t="n">
        <f aca="true">RAND()</f>
        <v>0.19866163725276</v>
      </c>
      <c r="AS21" s="159" t="n">
        <f aca="true">RAND()</f>
        <v>0.795548748714119</v>
      </c>
      <c r="AT21" s="159" t="n">
        <f aca="true">RAND()</f>
        <v>0.351872635954211</v>
      </c>
      <c r="AU21" s="159" t="n">
        <f aca="true">RAND()</f>
        <v>0.579320821689001</v>
      </c>
      <c r="AV21" s="159" t="n">
        <f aca="true">RAND()</f>
        <v>0.178119284715836</v>
      </c>
      <c r="AW21" s="159" t="n">
        <f aca="true">RAND()</f>
        <v>0.79644869443886</v>
      </c>
      <c r="AX21" s="159" t="n">
        <f aca="true">RAND()</f>
        <v>0.70254311348607</v>
      </c>
      <c r="AY21" s="159" t="n">
        <f aca="true">RAND()</f>
        <v>0.881554428998374</v>
      </c>
      <c r="AZ21" s="159" t="n">
        <f aca="true">RAND()</f>
        <v>0.342427000586508</v>
      </c>
      <c r="BA21" s="159" t="n">
        <f aca="true">RAND()</f>
        <v>0.775280371844486</v>
      </c>
      <c r="BB21" s="159" t="n">
        <f aca="true">RAND()</f>
        <v>0.20799985358612</v>
      </c>
      <c r="BC21" s="159" t="n">
        <f aca="true">RAND()</f>
        <v>0.545808048323939</v>
      </c>
      <c r="BD21" s="159" t="n">
        <f aca="true">RAND()</f>
        <v>0.0916530591545011</v>
      </c>
      <c r="BE21" s="159" t="n">
        <f aca="true">RAND()</f>
        <v>0.629974757499904</v>
      </c>
      <c r="BF21" s="159" t="n">
        <f aca="true">RAND()</f>
        <v>0.0206637010984406</v>
      </c>
      <c r="BG21" s="159" t="n">
        <f aca="true">RAND()</f>
        <v>0.368843928098784</v>
      </c>
      <c r="BH21" s="159" t="n">
        <f aca="true">RAND()</f>
        <v>0.935695095802404</v>
      </c>
      <c r="BI21" s="159" t="n">
        <f aca="true">RAND()</f>
        <v>0.569404861044387</v>
      </c>
      <c r="BJ21" s="159" t="n">
        <f aca="true">RAND()</f>
        <v>0.753075062846315</v>
      </c>
      <c r="BK21" s="159" t="n">
        <f aca="true">RAND()</f>
        <v>0.554057464189136</v>
      </c>
      <c r="BL21" s="159" t="n">
        <f aca="true">RAND()</f>
        <v>0.929436266987956</v>
      </c>
      <c r="BM21" s="159" t="n">
        <f aca="true">RAND()</f>
        <v>0.67772160747147</v>
      </c>
      <c r="BN21" s="159" t="n">
        <f aca="true">RAND()</f>
        <v>0.654451090507033</v>
      </c>
      <c r="BO21" s="159" t="n">
        <f aca="true">RAND()</f>
        <v>0.343701629292138</v>
      </c>
      <c r="BP21" s="159" t="n">
        <f aca="true">RAND()</f>
        <v>0.592058176997074</v>
      </c>
      <c r="BQ21" s="159" t="n">
        <f aca="true">RAND()</f>
        <v>0.72951638658815</v>
      </c>
      <c r="BR21" s="159" t="n">
        <f aca="true">RAND()</f>
        <v>0.828024250818235</v>
      </c>
      <c r="BS21" s="159" t="n">
        <f aca="true">RAND()</f>
        <v>0.0219069199478299</v>
      </c>
      <c r="BT21" s="159" t="n">
        <f aca="true">RAND()</f>
        <v>0.633233082096216</v>
      </c>
      <c r="BU21" s="159" t="n">
        <f aca="true">RAND()</f>
        <v>0.381213524987141</v>
      </c>
      <c r="BV21" s="159" t="n">
        <f aca="true">RAND()</f>
        <v>0.539341010381109</v>
      </c>
      <c r="BW21" s="159" t="n">
        <f aca="true">RAND()</f>
        <v>0.112521315357817</v>
      </c>
      <c r="BX21" s="159" t="n">
        <f aca="true">RAND()</f>
        <v>0.638985466588371</v>
      </c>
      <c r="BY21" s="159" t="n">
        <f aca="true">RAND()</f>
        <v>0.934226401456137</v>
      </c>
      <c r="BZ21" s="160" t="n">
        <f aca="false">Simulator!J24*Simulator!$D$5+Simulator!K24*Simulator!$D$6+Simulator!L24*Simulator!$D$7+Simulator!M24*Simulator!$D$8+Simulator!N24*Simulator!$D$9+Simulator!O24*Simulator!$D$10</f>
        <v>0.681465934190221</v>
      </c>
      <c r="CA21" s="160" t="n">
        <f aca="false">IF($BZ21=0,0.1667,(Simulator!J24*Simulator!$D$5)/$BZ21)</f>
        <v>0.342283085940424</v>
      </c>
      <c r="CB21" s="160" t="n">
        <f aca="false">IF($BZ21=0,0.3333,(Simulator!J24*Simulator!$D$5+Simulator!K24*Simulator!$D$6)/$BZ21)</f>
        <v>0.890001109275456</v>
      </c>
      <c r="CC21" s="160" t="n">
        <f aca="false">IF($BZ21=0,0.5,(Simulator!J24*Simulator!$D$5+Simulator!K24*Simulator!$D$6+Simulator!L24*Simulator!$D$7)/$BZ21)</f>
        <v>0.94651173831174</v>
      </c>
      <c r="CD21" s="160" t="n">
        <f aca="false">IF($BZ21=0,0.6667,(Simulator!J24*Simulator!$D$5+Simulator!K24*Simulator!$D$6+Simulator!L24*Simulator!$D$7+Simulator!M24*Simulator!$D$8)/$BZ21)</f>
        <v>0.995275722713627</v>
      </c>
      <c r="CE21" s="160" t="n">
        <f aca="false">IF($BZ21=0,0.8333,(Simulator!J24*Simulator!$D$5+Simulator!K24*Simulator!$D$6+Simulator!L24*Simulator!$D$7+Simulator!M24*Simulator!$D$8+Simulator!N24*Simulator!$D$9)/$BZ21)</f>
        <v>0.999713449564125</v>
      </c>
    </row>
    <row r="22" customFormat="false" ht="15" hidden="false" customHeight="false" outlineLevel="0" collapsed="false">
      <c r="A22" s="158" t="s">
        <v>65</v>
      </c>
      <c r="B22" s="159" t="n">
        <f aca="true">RAND()</f>
        <v>0.660522422104388</v>
      </c>
      <c r="C22" s="159" t="n">
        <f aca="true">RAND()</f>
        <v>0.578687998701267</v>
      </c>
      <c r="D22" s="159" t="n">
        <f aca="true">RAND()</f>
        <v>0.801087538644194</v>
      </c>
      <c r="E22" s="159" t="n">
        <f aca="true">RAND()</f>
        <v>0.0332737723767599</v>
      </c>
      <c r="F22" s="159" t="n">
        <f aca="true">RAND()</f>
        <v>0.481341825583216</v>
      </c>
      <c r="G22" s="159" t="n">
        <f aca="true">RAND()</f>
        <v>0.403419717294844</v>
      </c>
      <c r="H22" s="159" t="n">
        <f aca="true">RAND()</f>
        <v>0.08038111674156</v>
      </c>
      <c r="I22" s="159" t="n">
        <f aca="true">RAND()</f>
        <v>0.288074648371133</v>
      </c>
      <c r="J22" s="159" t="n">
        <f aca="true">RAND()</f>
        <v>0.29485629895685</v>
      </c>
      <c r="K22" s="159" t="n">
        <f aca="true">RAND()</f>
        <v>0.323308493454527</v>
      </c>
      <c r="L22" s="159" t="n">
        <f aca="true">RAND()</f>
        <v>0.896996668429954</v>
      </c>
      <c r="M22" s="159" t="n">
        <f aca="true">RAND()</f>
        <v>0.746226650159827</v>
      </c>
      <c r="N22" s="159" t="n">
        <f aca="true">RAND()</f>
        <v>0.724779716168636</v>
      </c>
      <c r="O22" s="159" t="n">
        <f aca="true">RAND()</f>
        <v>0.706655098432396</v>
      </c>
      <c r="P22" s="159" t="n">
        <f aca="true">RAND()</f>
        <v>0.147375930218774</v>
      </c>
      <c r="Q22" s="159" t="n">
        <f aca="true">RAND()</f>
        <v>0.541388421891253</v>
      </c>
      <c r="R22" s="159" t="n">
        <f aca="true">RAND()</f>
        <v>0.201277772676085</v>
      </c>
      <c r="S22" s="159" t="n">
        <f aca="true">RAND()</f>
        <v>0.17024078280217</v>
      </c>
      <c r="T22" s="159" t="n">
        <f aca="true">RAND()</f>
        <v>0.00601911592352969</v>
      </c>
      <c r="U22" s="159" t="n">
        <f aca="true">RAND()</f>
        <v>0.382227869678348</v>
      </c>
      <c r="V22" s="159" t="n">
        <f aca="true">RAND()</f>
        <v>0.621419557769395</v>
      </c>
      <c r="W22" s="159" t="n">
        <f aca="true">RAND()</f>
        <v>0.853215551726694</v>
      </c>
      <c r="X22" s="159" t="n">
        <f aca="true">RAND()</f>
        <v>0.987115313471809</v>
      </c>
      <c r="Y22" s="159" t="n">
        <f aca="true">RAND()</f>
        <v>0.769947892012657</v>
      </c>
      <c r="Z22" s="159" t="n">
        <f aca="true">RAND()</f>
        <v>0.63893623035495</v>
      </c>
      <c r="AA22" s="159" t="n">
        <f aca="true">RAND()</f>
        <v>0.56978537884843</v>
      </c>
      <c r="AB22" s="159" t="n">
        <f aca="true">RAND()</f>
        <v>0.44857234844054</v>
      </c>
      <c r="AC22" s="159" t="n">
        <f aca="true">RAND()</f>
        <v>0.303650915315708</v>
      </c>
      <c r="AD22" s="159" t="n">
        <f aca="true">RAND()</f>
        <v>0.613233041253629</v>
      </c>
      <c r="AE22" s="159" t="n">
        <f aca="true">RAND()</f>
        <v>0.557717599242092</v>
      </c>
      <c r="AF22" s="159" t="n">
        <f aca="true">RAND()</f>
        <v>0.318156386643508</v>
      </c>
      <c r="AG22" s="159" t="n">
        <f aca="true">RAND()</f>
        <v>0.113378702012604</v>
      </c>
      <c r="AH22" s="159" t="n">
        <f aca="true">RAND()</f>
        <v>0.300926996043019</v>
      </c>
      <c r="AI22" s="159" t="n">
        <f aca="true">RAND()</f>
        <v>0.413841790203321</v>
      </c>
      <c r="AJ22" s="159" t="n">
        <f aca="true">RAND()</f>
        <v>0.422762133366086</v>
      </c>
      <c r="AK22" s="159" t="n">
        <f aca="true">RAND()</f>
        <v>0.713725972822819</v>
      </c>
      <c r="AL22" s="159" t="n">
        <f aca="true">RAND()</f>
        <v>0.907098608620745</v>
      </c>
      <c r="AM22" s="159" t="n">
        <f aca="true">RAND()</f>
        <v>0.882744134847291</v>
      </c>
      <c r="AN22" s="159" t="n">
        <f aca="true">RAND()</f>
        <v>0.925289023370873</v>
      </c>
      <c r="AO22" s="159" t="n">
        <f aca="true">RAND()</f>
        <v>0.937949394139442</v>
      </c>
      <c r="AP22" s="159" t="n">
        <f aca="true">RAND()</f>
        <v>0.576275960456509</v>
      </c>
      <c r="AQ22" s="159" t="n">
        <f aca="true">RAND()</f>
        <v>0.240487444799145</v>
      </c>
      <c r="AR22" s="159" t="n">
        <f aca="true">RAND()</f>
        <v>3.87599759478797E-005</v>
      </c>
      <c r="AS22" s="159" t="n">
        <f aca="true">RAND()</f>
        <v>0.914336424551916</v>
      </c>
      <c r="AT22" s="159" t="n">
        <f aca="true">RAND()</f>
        <v>0.182899124575011</v>
      </c>
      <c r="AU22" s="159" t="n">
        <f aca="true">RAND()</f>
        <v>0.219781113257313</v>
      </c>
      <c r="AV22" s="159" t="n">
        <f aca="true">RAND()</f>
        <v>0.382493453274486</v>
      </c>
      <c r="AW22" s="159" t="n">
        <f aca="true">RAND()</f>
        <v>0.201198671351961</v>
      </c>
      <c r="AX22" s="159" t="n">
        <f aca="true">RAND()</f>
        <v>0.683860094796602</v>
      </c>
      <c r="AY22" s="159" t="n">
        <f aca="true">RAND()</f>
        <v>0.769608308982089</v>
      </c>
      <c r="AZ22" s="159" t="n">
        <f aca="true">RAND()</f>
        <v>0.0920005987591413</v>
      </c>
      <c r="BA22" s="159" t="n">
        <f aca="true">RAND()</f>
        <v>0.345979574756253</v>
      </c>
      <c r="BB22" s="159" t="n">
        <f aca="true">RAND()</f>
        <v>0.0907605811351646</v>
      </c>
      <c r="BC22" s="159" t="n">
        <f aca="true">RAND()</f>
        <v>0.558647146409852</v>
      </c>
      <c r="BD22" s="159" t="n">
        <f aca="true">RAND()</f>
        <v>0.203919572706667</v>
      </c>
      <c r="BE22" s="159" t="n">
        <f aca="true">RAND()</f>
        <v>0.462009283453036</v>
      </c>
      <c r="BF22" s="159" t="n">
        <f aca="true">RAND()</f>
        <v>0.608650974005123</v>
      </c>
      <c r="BG22" s="159" t="n">
        <f aca="true">RAND()</f>
        <v>0.40143081600923</v>
      </c>
      <c r="BH22" s="159" t="n">
        <f aca="true">RAND()</f>
        <v>0.844102586829509</v>
      </c>
      <c r="BI22" s="159" t="n">
        <f aca="true">RAND()</f>
        <v>0.611617075251851</v>
      </c>
      <c r="BJ22" s="159" t="n">
        <f aca="true">RAND()</f>
        <v>0.307426290246209</v>
      </c>
      <c r="BK22" s="159" t="n">
        <f aca="true">RAND()</f>
        <v>0.437738540208444</v>
      </c>
      <c r="BL22" s="159" t="n">
        <f aca="true">RAND()</f>
        <v>0.424641932164364</v>
      </c>
      <c r="BM22" s="159" t="n">
        <f aca="true">RAND()</f>
        <v>0.355797044346054</v>
      </c>
      <c r="BN22" s="159" t="n">
        <f aca="true">RAND()</f>
        <v>0.550474398138854</v>
      </c>
      <c r="BO22" s="159" t="n">
        <f aca="true">RAND()</f>
        <v>0.0558809099947765</v>
      </c>
      <c r="BP22" s="159" t="n">
        <f aca="true">RAND()</f>
        <v>0.719391412102921</v>
      </c>
      <c r="BQ22" s="159" t="n">
        <f aca="true">RAND()</f>
        <v>0.0829498644773824</v>
      </c>
      <c r="BR22" s="159" t="n">
        <f aca="true">RAND()</f>
        <v>0.873554328470651</v>
      </c>
      <c r="BS22" s="159" t="n">
        <f aca="true">RAND()</f>
        <v>0.454640537273591</v>
      </c>
      <c r="BT22" s="159" t="n">
        <f aca="true">RAND()</f>
        <v>0.777127159100143</v>
      </c>
      <c r="BU22" s="159" t="n">
        <f aca="true">RAND()</f>
        <v>0.587802114909774</v>
      </c>
      <c r="BV22" s="159" t="n">
        <f aca="true">RAND()</f>
        <v>0.835172483186379</v>
      </c>
      <c r="BW22" s="159" t="n">
        <f aca="true">RAND()</f>
        <v>0.228781814066339</v>
      </c>
      <c r="BX22" s="159" t="n">
        <f aca="true">RAND()</f>
        <v>0.360257792392508</v>
      </c>
      <c r="BY22" s="159" t="n">
        <f aca="true">RAND()</f>
        <v>0.553960793569951</v>
      </c>
      <c r="BZ22" s="160" t="n">
        <f aca="false">Simulator!J25*Simulator!$D$5+Simulator!K25*Simulator!$D$6+Simulator!L25*Simulator!$D$7+Simulator!M25*Simulator!$D$8+Simulator!N25*Simulator!$D$9+Simulator!O25*Simulator!$D$10</f>
        <v>0.657696894304446</v>
      </c>
      <c r="CA22" s="160" t="n">
        <f aca="false">IF($BZ22=0,0.1667,(Simulator!J25*Simulator!$D$5)/$BZ22)</f>
        <v>0.350634579314083</v>
      </c>
      <c r="CB22" s="160" t="n">
        <f aca="false">IF($BZ22=0,0.3333,(Simulator!J25*Simulator!$D$5+Simulator!K25*Simulator!$D$6)/$BZ22)</f>
        <v>0.879239525397174</v>
      </c>
      <c r="CC22" s="160" t="n">
        <f aca="false">IF($BZ22=0,0.5,(Simulator!J25*Simulator!$D$5+Simulator!K25*Simulator!$D$6+Simulator!L25*Simulator!$D$7)/$BZ22)</f>
        <v>0.927652578654415</v>
      </c>
      <c r="CD22" s="160" t="n">
        <f aca="false">IF($BZ22=0,0.6667,(Simulator!J25*Simulator!$D$5+Simulator!K25*Simulator!$D$6+Simulator!L25*Simulator!$D$7+Simulator!M25*Simulator!$D$8)/$BZ22)</f>
        <v>0.994421634493364</v>
      </c>
      <c r="CE22" s="160" t="n">
        <f aca="false">IF($BZ22=0,0.8333,(Simulator!J25*Simulator!$D$5+Simulator!K25*Simulator!$D$6+Simulator!L25*Simulator!$D$7+Simulator!M25*Simulator!$D$8+Simulator!N25*Simulator!$D$9)/$BZ22)</f>
        <v>0.999703093686214</v>
      </c>
    </row>
    <row r="23" customFormat="false" ht="15" hidden="false" customHeight="false" outlineLevel="0" collapsed="false">
      <c r="A23" s="158" t="s">
        <v>67</v>
      </c>
      <c r="B23" s="159" t="n">
        <f aca="true">RAND()</f>
        <v>0.741696479677258</v>
      </c>
      <c r="C23" s="159" t="n">
        <f aca="true">RAND()</f>
        <v>0.0921829528000803</v>
      </c>
      <c r="D23" s="159" t="n">
        <f aca="true">RAND()</f>
        <v>0.0746345059593576</v>
      </c>
      <c r="E23" s="159" t="n">
        <f aca="true">RAND()</f>
        <v>0.55748255012387</v>
      </c>
      <c r="F23" s="159" t="n">
        <f aca="true">RAND()</f>
        <v>0.487549767123128</v>
      </c>
      <c r="G23" s="159" t="n">
        <f aca="true">RAND()</f>
        <v>0.412706132826193</v>
      </c>
      <c r="H23" s="159" t="n">
        <f aca="true">RAND()</f>
        <v>0.0799337893039043</v>
      </c>
      <c r="I23" s="159" t="n">
        <f aca="true">RAND()</f>
        <v>0.539605784883119</v>
      </c>
      <c r="J23" s="159" t="n">
        <f aca="true">RAND()</f>
        <v>0.238986271429325</v>
      </c>
      <c r="K23" s="159" t="n">
        <f aca="true">RAND()</f>
        <v>0.500783310443624</v>
      </c>
      <c r="L23" s="159" t="n">
        <f aca="true">RAND()</f>
        <v>0.0724375494237975</v>
      </c>
      <c r="M23" s="159" t="n">
        <f aca="true">RAND()</f>
        <v>0.125381865152826</v>
      </c>
      <c r="N23" s="159" t="n">
        <f aca="true">RAND()</f>
        <v>0.929197221259718</v>
      </c>
      <c r="O23" s="159" t="n">
        <f aca="true">RAND()</f>
        <v>0.493894298711243</v>
      </c>
      <c r="P23" s="159" t="n">
        <f aca="true">RAND()</f>
        <v>0.504325824037739</v>
      </c>
      <c r="Q23" s="159" t="n">
        <f aca="true">RAND()</f>
        <v>0.457371378421143</v>
      </c>
      <c r="R23" s="159" t="n">
        <f aca="true">RAND()</f>
        <v>0.978733853154441</v>
      </c>
      <c r="S23" s="159" t="n">
        <f aca="true">RAND()</f>
        <v>0.834769868090964</v>
      </c>
      <c r="T23" s="159" t="n">
        <f aca="true">RAND()</f>
        <v>0.618999733084141</v>
      </c>
      <c r="U23" s="159" t="n">
        <f aca="true">RAND()</f>
        <v>0.0241955624786292</v>
      </c>
      <c r="V23" s="159" t="n">
        <f aca="true">RAND()</f>
        <v>0.336818655800633</v>
      </c>
      <c r="W23" s="159" t="n">
        <f aca="true">RAND()</f>
        <v>0.451045335324796</v>
      </c>
      <c r="X23" s="159" t="n">
        <f aca="true">RAND()</f>
        <v>0.403687350424563</v>
      </c>
      <c r="Y23" s="159" t="n">
        <f aca="true">RAND()</f>
        <v>0.0581562481601371</v>
      </c>
      <c r="Z23" s="159" t="n">
        <f aca="true">RAND()</f>
        <v>0.240801607749002</v>
      </c>
      <c r="AA23" s="159" t="n">
        <f aca="true">RAND()</f>
        <v>0.513693187455873</v>
      </c>
      <c r="AB23" s="159" t="n">
        <f aca="true">RAND()</f>
        <v>0.0095892342744431</v>
      </c>
      <c r="AC23" s="159" t="n">
        <f aca="true">RAND()</f>
        <v>0.462001697857258</v>
      </c>
      <c r="AD23" s="159" t="n">
        <f aca="true">RAND()</f>
        <v>0.342720609308845</v>
      </c>
      <c r="AE23" s="159" t="n">
        <f aca="true">RAND()</f>
        <v>0.269896987111623</v>
      </c>
      <c r="AF23" s="159" t="n">
        <f aca="true">RAND()</f>
        <v>0.62045231263924</v>
      </c>
      <c r="AG23" s="159" t="n">
        <f aca="true">RAND()</f>
        <v>0.476248551815027</v>
      </c>
      <c r="AH23" s="159" t="n">
        <f aca="true">RAND()</f>
        <v>0.661940693914854</v>
      </c>
      <c r="AI23" s="159" t="n">
        <f aca="true">RAND()</f>
        <v>0.474024054696846</v>
      </c>
      <c r="AJ23" s="159" t="n">
        <f aca="true">RAND()</f>
        <v>0.529272146756462</v>
      </c>
      <c r="AK23" s="159" t="n">
        <f aca="true">RAND()</f>
        <v>0.0334456452183625</v>
      </c>
      <c r="AL23" s="159" t="n">
        <f aca="true">RAND()</f>
        <v>0.930001049371141</v>
      </c>
      <c r="AM23" s="159" t="n">
        <f aca="true">RAND()</f>
        <v>0.669851954201535</v>
      </c>
      <c r="AN23" s="159" t="n">
        <f aca="true">RAND()</f>
        <v>0.103188459141781</v>
      </c>
      <c r="AO23" s="159" t="n">
        <f aca="true">RAND()</f>
        <v>0.0256507464237771</v>
      </c>
      <c r="AP23" s="159" t="n">
        <f aca="true">RAND()</f>
        <v>0.32857200189158</v>
      </c>
      <c r="AQ23" s="159" t="n">
        <f aca="true">RAND()</f>
        <v>0.00851552054384223</v>
      </c>
      <c r="AR23" s="159" t="n">
        <f aca="true">RAND()</f>
        <v>0.0521340077174509</v>
      </c>
      <c r="AS23" s="159" t="n">
        <f aca="true">RAND()</f>
        <v>0.475547148835946</v>
      </c>
      <c r="AT23" s="159" t="n">
        <f aca="true">RAND()</f>
        <v>0.758830118837276</v>
      </c>
      <c r="AU23" s="159" t="n">
        <f aca="true">RAND()</f>
        <v>0.0102251200560215</v>
      </c>
      <c r="AV23" s="159" t="n">
        <f aca="true">RAND()</f>
        <v>0.962640515123339</v>
      </c>
      <c r="AW23" s="159" t="n">
        <f aca="true">RAND()</f>
        <v>0.245042935945789</v>
      </c>
      <c r="AX23" s="159" t="n">
        <f aca="true">RAND()</f>
        <v>0.850437988167321</v>
      </c>
      <c r="AY23" s="159" t="n">
        <f aca="true">RAND()</f>
        <v>0.498785818017613</v>
      </c>
      <c r="AZ23" s="159" t="n">
        <f aca="true">RAND()</f>
        <v>0.910642929826971</v>
      </c>
      <c r="BA23" s="159" t="n">
        <f aca="true">RAND()</f>
        <v>0.365365319761199</v>
      </c>
      <c r="BB23" s="159" t="n">
        <f aca="true">RAND()</f>
        <v>0.642082425562546</v>
      </c>
      <c r="BC23" s="159" t="n">
        <f aca="true">RAND()</f>
        <v>0.99106332429606</v>
      </c>
      <c r="BD23" s="159" t="n">
        <f aca="true">RAND()</f>
        <v>0.727566126669042</v>
      </c>
      <c r="BE23" s="159" t="n">
        <f aca="true">RAND()</f>
        <v>0.454514305607613</v>
      </c>
      <c r="BF23" s="159" t="n">
        <f aca="true">RAND()</f>
        <v>0.949058529998891</v>
      </c>
      <c r="BG23" s="159" t="n">
        <f aca="true">RAND()</f>
        <v>0.0786687288440019</v>
      </c>
      <c r="BH23" s="159" t="n">
        <f aca="true">RAND()</f>
        <v>0.575460114519478</v>
      </c>
      <c r="BI23" s="159" t="n">
        <f aca="true">RAND()</f>
        <v>0.941127378418776</v>
      </c>
      <c r="BJ23" s="159" t="n">
        <f aca="true">RAND()</f>
        <v>0.871650869852702</v>
      </c>
      <c r="BK23" s="159" t="n">
        <f aca="true">RAND()</f>
        <v>0.15486628736603</v>
      </c>
      <c r="BL23" s="159" t="n">
        <f aca="true">RAND()</f>
        <v>0.239702089840205</v>
      </c>
      <c r="BM23" s="159" t="n">
        <f aca="true">RAND()</f>
        <v>0.369560194597779</v>
      </c>
      <c r="BN23" s="159" t="n">
        <f aca="true">RAND()</f>
        <v>0.529259449909855</v>
      </c>
      <c r="BO23" s="159" t="n">
        <f aca="true">RAND()</f>
        <v>0.455770139273188</v>
      </c>
      <c r="BP23" s="159" t="n">
        <f aca="true">RAND()</f>
        <v>0.0326642498235295</v>
      </c>
      <c r="BQ23" s="159" t="n">
        <f aca="true">RAND()</f>
        <v>0.316091047052052</v>
      </c>
      <c r="BR23" s="159" t="n">
        <f aca="true">RAND()</f>
        <v>0.621991336841283</v>
      </c>
      <c r="BS23" s="159" t="n">
        <f aca="true">RAND()</f>
        <v>0.262368735687221</v>
      </c>
      <c r="BT23" s="159" t="n">
        <f aca="true">RAND()</f>
        <v>0.678876699112634</v>
      </c>
      <c r="BU23" s="159" t="n">
        <f aca="true">RAND()</f>
        <v>0.666999439151628</v>
      </c>
      <c r="BV23" s="159" t="n">
        <f aca="true">RAND()</f>
        <v>0.0219577743609769</v>
      </c>
      <c r="BW23" s="159" t="n">
        <f aca="true">RAND()</f>
        <v>0.497135010082629</v>
      </c>
      <c r="BX23" s="159" t="n">
        <f aca="true">RAND()</f>
        <v>0.522177113897594</v>
      </c>
      <c r="BY23" s="159" t="n">
        <f aca="true">RAND()</f>
        <v>0.000675775715312586</v>
      </c>
      <c r="BZ23" s="160" t="n">
        <f aca="false">Simulator!J26*Simulator!$D$5+Simulator!K26*Simulator!$D$6+Simulator!L26*Simulator!$D$7+Simulator!M26*Simulator!$D$8+Simulator!N26*Simulator!$D$9+Simulator!O26*Simulator!$D$10</f>
        <v>0.661256557661611</v>
      </c>
      <c r="CA23" s="160" t="n">
        <f aca="false">IF($BZ23=0,0.1667,(Simulator!J26*Simulator!$D$5)/$BZ23)</f>
        <v>0.412246727118776</v>
      </c>
      <c r="CB23" s="160" t="n">
        <f aca="false">IF($BZ23=0,0.3333,(Simulator!J26*Simulator!$D$5+Simulator!K26*Simulator!$D$6)/$BZ23)</f>
        <v>0.88117089323544</v>
      </c>
      <c r="CC23" s="160" t="n">
        <f aca="false">IF($BZ23=0,0.5,(Simulator!J26*Simulator!$D$5+Simulator!K26*Simulator!$D$6+Simulator!L26*Simulator!$D$7)/$BZ23)</f>
        <v>0.918912616979455</v>
      </c>
      <c r="CD23" s="160" t="n">
        <f aca="false">IF($BZ23=0,0.6667,(Simulator!J26*Simulator!$D$5+Simulator!K26*Simulator!$D$6+Simulator!L26*Simulator!$D$7+Simulator!M26*Simulator!$D$8)/$BZ23)</f>
        <v>0.994499207398122</v>
      </c>
      <c r="CE23" s="160" t="n">
        <f aca="false">IF($BZ23=0,0.8333,(Simulator!J26*Simulator!$D$5+Simulator!K26*Simulator!$D$6+Simulator!L26*Simulator!$D$7+Simulator!M26*Simulator!$D$8+Simulator!N26*Simulator!$D$9)/$BZ23)</f>
        <v>0.99970469198647</v>
      </c>
    </row>
    <row r="24" customFormat="false" ht="15" hidden="false" customHeight="false" outlineLevel="0" collapsed="false">
      <c r="A24" s="158" t="s">
        <v>68</v>
      </c>
      <c r="B24" s="159" t="n">
        <f aca="true">RAND()</f>
        <v>0.781711341724436</v>
      </c>
      <c r="C24" s="159" t="n">
        <f aca="true">RAND()</f>
        <v>0.865631433484354</v>
      </c>
      <c r="D24" s="159" t="n">
        <f aca="true">RAND()</f>
        <v>0.571632528612254</v>
      </c>
      <c r="E24" s="159" t="n">
        <f aca="true">RAND()</f>
        <v>0.486202698475857</v>
      </c>
      <c r="F24" s="159" t="n">
        <f aca="true">RAND()</f>
        <v>0.48070447318334</v>
      </c>
      <c r="G24" s="159" t="n">
        <f aca="true">RAND()</f>
        <v>0.350877220775829</v>
      </c>
      <c r="H24" s="159" t="n">
        <f aca="true">RAND()</f>
        <v>0.188670069621836</v>
      </c>
      <c r="I24" s="159" t="n">
        <f aca="true">RAND()</f>
        <v>0.0417457882443429</v>
      </c>
      <c r="J24" s="159" t="n">
        <f aca="true">RAND()</f>
        <v>0.46860281141834</v>
      </c>
      <c r="K24" s="159" t="n">
        <f aca="true">RAND()</f>
        <v>0.940421917109616</v>
      </c>
      <c r="L24" s="159" t="n">
        <f aca="true">RAND()</f>
        <v>0.582050896498701</v>
      </c>
      <c r="M24" s="159" t="n">
        <f aca="true">RAND()</f>
        <v>0.973004313125177</v>
      </c>
      <c r="N24" s="159" t="n">
        <f aca="true">RAND()</f>
        <v>0.321451591117533</v>
      </c>
      <c r="O24" s="159" t="n">
        <f aca="true">RAND()</f>
        <v>0.826860365599858</v>
      </c>
      <c r="P24" s="159" t="n">
        <f aca="true">RAND()</f>
        <v>0.0186264520266436</v>
      </c>
      <c r="Q24" s="159" t="n">
        <f aca="true">RAND()</f>
        <v>0.810667996053755</v>
      </c>
      <c r="R24" s="159" t="n">
        <f aca="true">RAND()</f>
        <v>0.17912358892984</v>
      </c>
      <c r="S24" s="159" t="n">
        <f aca="true">RAND()</f>
        <v>0.427593174620659</v>
      </c>
      <c r="T24" s="159" t="n">
        <f aca="true">RAND()</f>
        <v>0.0622904333828393</v>
      </c>
      <c r="U24" s="159" t="n">
        <f aca="true">RAND()</f>
        <v>0.644042928774773</v>
      </c>
      <c r="V24" s="159" t="n">
        <f aca="true">RAND()</f>
        <v>0.712321507441095</v>
      </c>
      <c r="W24" s="159" t="n">
        <f aca="true">RAND()</f>
        <v>0.734804848480812</v>
      </c>
      <c r="X24" s="159" t="n">
        <f aca="true">RAND()</f>
        <v>0.988341822129863</v>
      </c>
      <c r="Y24" s="159" t="n">
        <f aca="true">RAND()</f>
        <v>0.0536947898955505</v>
      </c>
      <c r="Z24" s="159" t="n">
        <f aca="true">RAND()</f>
        <v>0.87600277597782</v>
      </c>
      <c r="AA24" s="159" t="n">
        <f aca="true">RAND()</f>
        <v>0.030571077386878</v>
      </c>
      <c r="AB24" s="159" t="n">
        <f aca="true">RAND()</f>
        <v>0.125270908053774</v>
      </c>
      <c r="AC24" s="159" t="n">
        <f aca="true">RAND()</f>
        <v>0.156938370908617</v>
      </c>
      <c r="AD24" s="159" t="n">
        <f aca="true">RAND()</f>
        <v>0.651614930561627</v>
      </c>
      <c r="AE24" s="159" t="n">
        <f aca="true">RAND()</f>
        <v>0.956402604094274</v>
      </c>
      <c r="AF24" s="159" t="n">
        <f aca="true">RAND()</f>
        <v>0.481102792502112</v>
      </c>
      <c r="AG24" s="159" t="n">
        <f aca="true">RAND()</f>
        <v>0.523935891713421</v>
      </c>
      <c r="AH24" s="159" t="n">
        <f aca="true">RAND()</f>
        <v>0.221495772443102</v>
      </c>
      <c r="AI24" s="159" t="n">
        <f aca="true">RAND()</f>
        <v>0.546330692744019</v>
      </c>
      <c r="AJ24" s="159" t="n">
        <f aca="true">RAND()</f>
        <v>0.412490391695178</v>
      </c>
      <c r="AK24" s="159" t="n">
        <f aca="true">RAND()</f>
        <v>0.828516523671656</v>
      </c>
      <c r="AL24" s="159" t="n">
        <f aca="true">RAND()</f>
        <v>0.316718118320563</v>
      </c>
      <c r="AM24" s="159" t="n">
        <f aca="true">RAND()</f>
        <v>0.531474676283415</v>
      </c>
      <c r="AN24" s="159" t="n">
        <f aca="true">RAND()</f>
        <v>0.0295086344540088</v>
      </c>
      <c r="AO24" s="159" t="n">
        <f aca="true">RAND()</f>
        <v>0.507313177363705</v>
      </c>
      <c r="AP24" s="159" t="n">
        <f aca="true">RAND()</f>
        <v>0.189135764261519</v>
      </c>
      <c r="AQ24" s="159" t="n">
        <f aca="true">RAND()</f>
        <v>0.0145720658609158</v>
      </c>
      <c r="AR24" s="159" t="n">
        <f aca="true">RAND()</f>
        <v>0.0751250510949093</v>
      </c>
      <c r="AS24" s="159" t="n">
        <f aca="true">RAND()</f>
        <v>0.803674370582364</v>
      </c>
      <c r="AT24" s="159" t="n">
        <f aca="true">RAND()</f>
        <v>0.465103422816917</v>
      </c>
      <c r="AU24" s="159" t="n">
        <f aca="true">RAND()</f>
        <v>0.261490301774957</v>
      </c>
      <c r="AV24" s="159" t="n">
        <f aca="true">RAND()</f>
        <v>0.817963905916832</v>
      </c>
      <c r="AW24" s="159" t="n">
        <f aca="true">RAND()</f>
        <v>0.600770326776023</v>
      </c>
      <c r="AX24" s="159" t="n">
        <f aca="true">RAND()</f>
        <v>0.875498113999165</v>
      </c>
      <c r="AY24" s="159" t="n">
        <f aca="true">RAND()</f>
        <v>0.532922207178815</v>
      </c>
      <c r="AZ24" s="159" t="n">
        <f aca="true">RAND()</f>
        <v>0.447996906907288</v>
      </c>
      <c r="BA24" s="159" t="n">
        <f aca="true">RAND()</f>
        <v>0.795447575366852</v>
      </c>
      <c r="BB24" s="159" t="n">
        <f aca="true">RAND()</f>
        <v>0.854078633053588</v>
      </c>
      <c r="BC24" s="159" t="n">
        <f aca="true">RAND()</f>
        <v>0.436567756835138</v>
      </c>
      <c r="BD24" s="159" t="n">
        <f aca="true">RAND()</f>
        <v>0.310943249696908</v>
      </c>
      <c r="BE24" s="159" t="n">
        <f aca="true">RAND()</f>
        <v>0.0376995206394425</v>
      </c>
      <c r="BF24" s="159" t="n">
        <f aca="true">RAND()</f>
        <v>0.625257533231874</v>
      </c>
      <c r="BG24" s="159" t="n">
        <f aca="true">RAND()</f>
        <v>0.208265493902422</v>
      </c>
      <c r="BH24" s="159" t="n">
        <f aca="true">RAND()</f>
        <v>0.601870960094905</v>
      </c>
      <c r="BI24" s="159" t="n">
        <f aca="true">RAND()</f>
        <v>0.211981931539518</v>
      </c>
      <c r="BJ24" s="159" t="n">
        <f aca="true">RAND()</f>
        <v>0.383706922548043</v>
      </c>
      <c r="BK24" s="159" t="n">
        <f aca="true">RAND()</f>
        <v>0.239414908896359</v>
      </c>
      <c r="BL24" s="159" t="n">
        <f aca="true">RAND()</f>
        <v>0.576146431640668</v>
      </c>
      <c r="BM24" s="159" t="n">
        <f aca="true">RAND()</f>
        <v>0.0562311263880592</v>
      </c>
      <c r="BN24" s="159" t="n">
        <f aca="true">RAND()</f>
        <v>0.864199617088966</v>
      </c>
      <c r="BO24" s="159" t="n">
        <f aca="true">RAND()</f>
        <v>0.676029378066097</v>
      </c>
      <c r="BP24" s="159" t="n">
        <f aca="true">RAND()</f>
        <v>0.760353691768303</v>
      </c>
      <c r="BQ24" s="159" t="n">
        <f aca="true">RAND()</f>
        <v>0.142420710661201</v>
      </c>
      <c r="BR24" s="159" t="n">
        <f aca="true">RAND()</f>
        <v>0.0330127325056292</v>
      </c>
      <c r="BS24" s="159" t="n">
        <f aca="true">RAND()</f>
        <v>0.315349279940219</v>
      </c>
      <c r="BT24" s="159" t="n">
        <f aca="true">RAND()</f>
        <v>0.660786527725528</v>
      </c>
      <c r="BU24" s="159" t="n">
        <f aca="true">RAND()</f>
        <v>0.173054321989805</v>
      </c>
      <c r="BV24" s="159" t="n">
        <f aca="true">RAND()</f>
        <v>0.486043941525819</v>
      </c>
      <c r="BW24" s="159" t="n">
        <f aca="true">RAND()</f>
        <v>0.504446436058499</v>
      </c>
      <c r="BX24" s="159" t="n">
        <f aca="true">RAND()</f>
        <v>0.577099732853158</v>
      </c>
      <c r="BY24" s="159" t="n">
        <f aca="true">RAND()</f>
        <v>0.278141497193135</v>
      </c>
      <c r="BZ24" s="160" t="n">
        <f aca="false">Simulator!J27*Simulator!$D$5+Simulator!K27*Simulator!$D$6+Simulator!L27*Simulator!$D$7+Simulator!M27*Simulator!$D$8+Simulator!N27*Simulator!$D$9+Simulator!O27*Simulator!$D$10</f>
        <v>0.681832046284576</v>
      </c>
      <c r="CA24" s="160" t="n">
        <f aca="false">IF($BZ24=0,0.1667,(Simulator!J27*Simulator!$D$5)/$BZ24)</f>
        <v>0.390597330691448</v>
      </c>
      <c r="CB24" s="160" t="n">
        <f aca="false">IF($BZ24=0,0.3333,(Simulator!J27*Simulator!$D$5+Simulator!K27*Simulator!$D$6)/$BZ24)</f>
        <v>0.890754645557791</v>
      </c>
      <c r="CC24" s="160" t="n">
        <f aca="false">IF($BZ24=0,0.5,(Simulator!J27*Simulator!$D$5+Simulator!K27*Simulator!$D$6+Simulator!L27*Simulator!$D$7)/$BZ24)</f>
        <v>0.927746104509615</v>
      </c>
      <c r="CD24" s="160" t="n">
        <f aca="false">IF($BZ24=0,0.6667,(Simulator!J27*Simulator!$D$5+Simulator!K27*Simulator!$D$6+Simulator!L27*Simulator!$D$7+Simulator!M27*Simulator!$D$8)/$BZ24)</f>
        <v>0.995169344416553</v>
      </c>
      <c r="CE24" s="160" t="n">
        <f aca="false">IF($BZ24=0,0.8333,(Simulator!J27*Simulator!$D$5+Simulator!K27*Simulator!$D$6+Simulator!L27*Simulator!$D$7+Simulator!M27*Simulator!$D$8+Simulator!N27*Simulator!$D$9)/$BZ24)</f>
        <v>0.99971360342838</v>
      </c>
    </row>
    <row r="25" customFormat="false" ht="15" hidden="false" customHeight="false" outlineLevel="0" collapsed="false">
      <c r="A25" s="158" t="s">
        <v>69</v>
      </c>
      <c r="B25" s="159" t="n">
        <f aca="true">RAND()</f>
        <v>0.895304240494211</v>
      </c>
      <c r="C25" s="159" t="n">
        <f aca="true">RAND()</f>
        <v>0.236677287598356</v>
      </c>
      <c r="D25" s="159" t="n">
        <f aca="true">RAND()</f>
        <v>0.6111942014101</v>
      </c>
      <c r="E25" s="159" t="n">
        <f aca="true">RAND()</f>
        <v>0.941677141568682</v>
      </c>
      <c r="F25" s="159" t="n">
        <f aca="true">RAND()</f>
        <v>0.95083932522423</v>
      </c>
      <c r="G25" s="159" t="n">
        <f aca="true">RAND()</f>
        <v>0.808291690905604</v>
      </c>
      <c r="H25" s="159" t="n">
        <f aca="true">RAND()</f>
        <v>0.854223124835749</v>
      </c>
      <c r="I25" s="159" t="n">
        <f aca="true">RAND()</f>
        <v>0.169001348905229</v>
      </c>
      <c r="J25" s="159" t="n">
        <f aca="true">RAND()</f>
        <v>0.675131853024806</v>
      </c>
      <c r="K25" s="159" t="n">
        <f aca="true">RAND()</f>
        <v>0.916272221187909</v>
      </c>
      <c r="L25" s="159" t="n">
        <f aca="true">RAND()</f>
        <v>0.803578285228268</v>
      </c>
      <c r="M25" s="159" t="n">
        <f aca="true">RAND()</f>
        <v>0.825105001466513</v>
      </c>
      <c r="N25" s="159" t="n">
        <f aca="true">RAND()</f>
        <v>0.889030082715036</v>
      </c>
      <c r="O25" s="159" t="n">
        <f aca="true">RAND()</f>
        <v>0.0383913003420803</v>
      </c>
      <c r="P25" s="159" t="n">
        <f aca="true">RAND()</f>
        <v>0.312819271912637</v>
      </c>
      <c r="Q25" s="159" t="n">
        <f aca="true">RAND()</f>
        <v>0.507801475063262</v>
      </c>
      <c r="R25" s="159" t="n">
        <f aca="true">RAND()</f>
        <v>0.408661477219199</v>
      </c>
      <c r="S25" s="159" t="n">
        <f aca="true">RAND()</f>
        <v>0.8468046448976</v>
      </c>
      <c r="T25" s="159" t="n">
        <f aca="true">RAND()</f>
        <v>0.657017715227454</v>
      </c>
      <c r="U25" s="159" t="n">
        <f aca="true">RAND()</f>
        <v>0.935841063336005</v>
      </c>
      <c r="V25" s="159" t="n">
        <f aca="true">RAND()</f>
        <v>0.922804922209151</v>
      </c>
      <c r="W25" s="159" t="n">
        <f aca="true">RAND()</f>
        <v>0.249633578141788</v>
      </c>
      <c r="X25" s="159" t="n">
        <f aca="true">RAND()</f>
        <v>0.329956722846585</v>
      </c>
      <c r="Y25" s="159" t="n">
        <f aca="true">RAND()</f>
        <v>0.691398828035727</v>
      </c>
      <c r="Z25" s="159" t="n">
        <f aca="true">RAND()</f>
        <v>0.436191685790636</v>
      </c>
      <c r="AA25" s="159" t="n">
        <f aca="true">RAND()</f>
        <v>0.0542621361882426</v>
      </c>
      <c r="AB25" s="159" t="n">
        <f aca="true">RAND()</f>
        <v>0.145257946390549</v>
      </c>
      <c r="AC25" s="159" t="n">
        <f aca="true">RAND()</f>
        <v>0.357114947062259</v>
      </c>
      <c r="AD25" s="159" t="n">
        <f aca="true">RAND()</f>
        <v>0.704670642618768</v>
      </c>
      <c r="AE25" s="159" t="n">
        <f aca="true">RAND()</f>
        <v>0.141594327518427</v>
      </c>
      <c r="AF25" s="159" t="n">
        <f aca="true">RAND()</f>
        <v>0.154469618196524</v>
      </c>
      <c r="AG25" s="159" t="n">
        <f aca="true">RAND()</f>
        <v>0.135011130770265</v>
      </c>
      <c r="AH25" s="159" t="n">
        <f aca="true">RAND()</f>
        <v>0.795604491473479</v>
      </c>
      <c r="AI25" s="159" t="n">
        <f aca="true">RAND()</f>
        <v>0.439676816654099</v>
      </c>
      <c r="AJ25" s="159" t="n">
        <f aca="true">RAND()</f>
        <v>0.523958812962383</v>
      </c>
      <c r="AK25" s="159" t="n">
        <f aca="true">RAND()</f>
        <v>0.467290315759837</v>
      </c>
      <c r="AL25" s="159" t="n">
        <f aca="true">RAND()</f>
        <v>0.892953773030846</v>
      </c>
      <c r="AM25" s="159" t="n">
        <f aca="true">RAND()</f>
        <v>0.32849463433549</v>
      </c>
      <c r="AN25" s="159" t="n">
        <f aca="true">RAND()</f>
        <v>0.288316704725395</v>
      </c>
      <c r="AO25" s="159" t="n">
        <f aca="true">RAND()</f>
        <v>0.785197191088397</v>
      </c>
      <c r="AP25" s="159" t="n">
        <f aca="true">RAND()</f>
        <v>0.225132033756826</v>
      </c>
      <c r="AQ25" s="159" t="n">
        <f aca="true">RAND()</f>
        <v>0.0516254757638368</v>
      </c>
      <c r="AR25" s="159" t="n">
        <f aca="true">RAND()</f>
        <v>0.393393239571746</v>
      </c>
      <c r="AS25" s="159" t="n">
        <f aca="true">RAND()</f>
        <v>0.744948565505835</v>
      </c>
      <c r="AT25" s="159" t="n">
        <f aca="true">RAND()</f>
        <v>0.0314705901549697</v>
      </c>
      <c r="AU25" s="159" t="n">
        <f aca="true">RAND()</f>
        <v>0.584350981501884</v>
      </c>
      <c r="AV25" s="159" t="n">
        <f aca="true">RAND()</f>
        <v>0.0680654430423817</v>
      </c>
      <c r="AW25" s="159" t="n">
        <f aca="true">RAND()</f>
        <v>0.431472414580914</v>
      </c>
      <c r="AX25" s="159" t="n">
        <f aca="true">RAND()</f>
        <v>0.723463747171588</v>
      </c>
      <c r="AY25" s="159" t="n">
        <f aca="true">RAND()</f>
        <v>0.64457830064897</v>
      </c>
      <c r="AZ25" s="159" t="n">
        <f aca="true">RAND()</f>
        <v>0.215150667891431</v>
      </c>
      <c r="BA25" s="159" t="n">
        <f aca="true">RAND()</f>
        <v>0.0618891203252186</v>
      </c>
      <c r="BB25" s="159" t="n">
        <f aca="true">RAND()</f>
        <v>0.0836471763128598</v>
      </c>
      <c r="BC25" s="159" t="n">
        <f aca="true">RAND()</f>
        <v>0.628055162732865</v>
      </c>
      <c r="BD25" s="159" t="n">
        <f aca="true">RAND()</f>
        <v>0.328959293245763</v>
      </c>
      <c r="BE25" s="159" t="n">
        <f aca="true">RAND()</f>
        <v>0.256967049992007</v>
      </c>
      <c r="BF25" s="159" t="n">
        <f aca="true">RAND()</f>
        <v>0.656268299708987</v>
      </c>
      <c r="BG25" s="159" t="n">
        <f aca="true">RAND()</f>
        <v>0.494377959428045</v>
      </c>
      <c r="BH25" s="159" t="n">
        <f aca="true">RAND()</f>
        <v>0.392540164455157</v>
      </c>
      <c r="BI25" s="159" t="n">
        <f aca="true">RAND()</f>
        <v>0.258888744530892</v>
      </c>
      <c r="BJ25" s="159" t="n">
        <f aca="true">RAND()</f>
        <v>0.980122212087623</v>
      </c>
      <c r="BK25" s="159" t="n">
        <f aca="true">RAND()</f>
        <v>0.187082226388513</v>
      </c>
      <c r="BL25" s="159" t="n">
        <f aca="true">RAND()</f>
        <v>0.788852832825331</v>
      </c>
      <c r="BM25" s="159" t="n">
        <f aca="true">RAND()</f>
        <v>0.719278480475288</v>
      </c>
      <c r="BN25" s="159" t="n">
        <f aca="true">RAND()</f>
        <v>0.150549894006171</v>
      </c>
      <c r="BO25" s="159" t="n">
        <f aca="true">RAND()</f>
        <v>0.439904461056085</v>
      </c>
      <c r="BP25" s="159" t="n">
        <f aca="true">RAND()</f>
        <v>0.205158128430003</v>
      </c>
      <c r="BQ25" s="159" t="n">
        <f aca="true">RAND()</f>
        <v>0.988221305268043</v>
      </c>
      <c r="BR25" s="159" t="n">
        <f aca="true">RAND()</f>
        <v>0.758094318956092</v>
      </c>
      <c r="BS25" s="159" t="n">
        <f aca="true">RAND()</f>
        <v>0.948166963332501</v>
      </c>
      <c r="BT25" s="159" t="n">
        <f aca="true">RAND()</f>
        <v>0.728000121019128</v>
      </c>
      <c r="BU25" s="159" t="n">
        <f aca="true">RAND()</f>
        <v>0.227086382530577</v>
      </c>
      <c r="BV25" s="159" t="n">
        <f aca="true">RAND()</f>
        <v>0.887189640965657</v>
      </c>
      <c r="BW25" s="159" t="n">
        <f aca="true">RAND()</f>
        <v>0.809066868914072</v>
      </c>
      <c r="BX25" s="159" t="n">
        <f aca="true">RAND()</f>
        <v>0.866655469047802</v>
      </c>
      <c r="BY25" s="159" t="n">
        <f aca="true">RAND()</f>
        <v>0.973443150981568</v>
      </c>
      <c r="BZ25" s="160" t="n">
        <f aca="false">Simulator!J28*Simulator!$D$5+Simulator!K28*Simulator!$D$6+Simulator!L28*Simulator!$D$7+Simulator!M28*Simulator!$D$8+Simulator!N28*Simulator!$D$9+Simulator!O28*Simulator!$D$10</f>
        <v>0.695465985479653</v>
      </c>
      <c r="CA25" s="160" t="n">
        <f aca="false">IF($BZ25=0,0.1667,(Simulator!J28*Simulator!$D$5)/$BZ25)</f>
        <v>0.42418125034645</v>
      </c>
      <c r="CB25" s="160" t="n">
        <f aca="false">IF($BZ25=0,0.3333,(Simulator!J28*Simulator!$D$5+Simulator!K28*Simulator!$D$6)/$BZ25)</f>
        <v>0.89749757323088</v>
      </c>
      <c r="CC25" s="160" t="n">
        <f aca="false">IF($BZ25=0,0.5,(Simulator!J28*Simulator!$D$5+Simulator!K28*Simulator!$D$6+Simulator!L28*Simulator!$D$7)/$BZ25)</f>
        <v>0.945727740845578</v>
      </c>
      <c r="CD25" s="160" t="n">
        <f aca="false">IF($BZ25=0,0.6667,(Simulator!J28*Simulator!$D$5+Simulator!K28*Simulator!$D$6+Simulator!L28*Simulator!$D$7+Simulator!M28*Simulator!$D$8)/$BZ25)</f>
        <v>0.995450188098523</v>
      </c>
      <c r="CE25" s="160" t="n">
        <f aca="false">IF($BZ25=0,0.8333,(Simulator!J28*Simulator!$D$5+Simulator!K28*Simulator!$D$6+Simulator!L28*Simulator!$D$7+Simulator!M28*Simulator!$D$8+Simulator!N28*Simulator!$D$9)/$BZ25)</f>
        <v>0.99971921795666</v>
      </c>
    </row>
    <row r="26" customFormat="false" ht="15" hidden="false" customHeight="false" outlineLevel="0" collapsed="false">
      <c r="A26" s="158" t="s">
        <v>70</v>
      </c>
      <c r="B26" s="159" t="n">
        <f aca="true">RAND()</f>
        <v>0.803827743685464</v>
      </c>
      <c r="C26" s="159" t="n">
        <f aca="true">RAND()</f>
        <v>0.0666614733664123</v>
      </c>
      <c r="D26" s="159" t="n">
        <f aca="true">RAND()</f>
        <v>0.749047463986184</v>
      </c>
      <c r="E26" s="159" t="n">
        <f aca="true">RAND()</f>
        <v>0.684427209405349</v>
      </c>
      <c r="F26" s="159" t="n">
        <f aca="true">RAND()</f>
        <v>0.123606198235235</v>
      </c>
      <c r="G26" s="159" t="n">
        <f aca="true">RAND()</f>
        <v>0.600346014668632</v>
      </c>
      <c r="H26" s="159" t="n">
        <f aca="true">RAND()</f>
        <v>0.0684280152735295</v>
      </c>
      <c r="I26" s="159" t="n">
        <f aca="true">RAND()</f>
        <v>0.811402860840458</v>
      </c>
      <c r="J26" s="159" t="n">
        <f aca="true">RAND()</f>
        <v>0.660225469396413</v>
      </c>
      <c r="K26" s="159" t="n">
        <f aca="true">RAND()</f>
        <v>0.530259109625691</v>
      </c>
      <c r="L26" s="159" t="n">
        <f aca="true">RAND()</f>
        <v>0.0274494210550989</v>
      </c>
      <c r="M26" s="159" t="n">
        <f aca="true">RAND()</f>
        <v>0.901938455722956</v>
      </c>
      <c r="N26" s="159" t="n">
        <f aca="true">RAND()</f>
        <v>0.4939559585779</v>
      </c>
      <c r="O26" s="159" t="n">
        <f aca="true">RAND()</f>
        <v>0.23832664594399</v>
      </c>
      <c r="P26" s="159" t="n">
        <f aca="true">RAND()</f>
        <v>0.10894149685268</v>
      </c>
      <c r="Q26" s="159" t="n">
        <f aca="true">RAND()</f>
        <v>0.252878887877894</v>
      </c>
      <c r="R26" s="159" t="n">
        <f aca="true">RAND()</f>
        <v>0.131875160092042</v>
      </c>
      <c r="S26" s="159" t="n">
        <f aca="true">RAND()</f>
        <v>0.47263836897095</v>
      </c>
      <c r="T26" s="159" t="n">
        <f aca="true">RAND()</f>
        <v>0.950760105828495</v>
      </c>
      <c r="U26" s="159" t="n">
        <f aca="true">RAND()</f>
        <v>0.274793735223122</v>
      </c>
      <c r="V26" s="159" t="n">
        <f aca="true">RAND()</f>
        <v>0.667337680174218</v>
      </c>
      <c r="W26" s="159" t="n">
        <f aca="true">RAND()</f>
        <v>0.695645489713878</v>
      </c>
      <c r="X26" s="159" t="n">
        <f aca="true">RAND()</f>
        <v>0.833054671562805</v>
      </c>
      <c r="Y26" s="159" t="n">
        <f aca="true">RAND()</f>
        <v>0.0428749675365983</v>
      </c>
      <c r="Z26" s="159" t="n">
        <f aca="true">RAND()</f>
        <v>0.0946881234018717</v>
      </c>
      <c r="AA26" s="159" t="n">
        <f aca="true">RAND()</f>
        <v>0.884019876647993</v>
      </c>
      <c r="AB26" s="159" t="n">
        <f aca="true">RAND()</f>
        <v>0.300784007167156</v>
      </c>
      <c r="AC26" s="159" t="n">
        <f aca="true">RAND()</f>
        <v>0.232827512802611</v>
      </c>
      <c r="AD26" s="159" t="n">
        <f aca="true">RAND()</f>
        <v>0.706467987728233</v>
      </c>
      <c r="AE26" s="159" t="n">
        <f aca="true">RAND()</f>
        <v>0.730672268921812</v>
      </c>
      <c r="AF26" s="159" t="n">
        <f aca="true">RAND()</f>
        <v>0.782601042916143</v>
      </c>
      <c r="AG26" s="159" t="n">
        <f aca="true">RAND()</f>
        <v>0.0585671038535487</v>
      </c>
      <c r="AH26" s="159" t="n">
        <f aca="true">RAND()</f>
        <v>0.396966691989709</v>
      </c>
      <c r="AI26" s="159" t="n">
        <f aca="true">RAND()</f>
        <v>0.925081085893564</v>
      </c>
      <c r="AJ26" s="159" t="n">
        <f aca="true">RAND()</f>
        <v>0.158739090100382</v>
      </c>
      <c r="AK26" s="159" t="n">
        <f aca="true">RAND()</f>
        <v>0.0809184267187244</v>
      </c>
      <c r="AL26" s="159" t="n">
        <f aca="true">RAND()</f>
        <v>0.474003674910707</v>
      </c>
      <c r="AM26" s="159" t="n">
        <f aca="true">RAND()</f>
        <v>0.559231186982089</v>
      </c>
      <c r="AN26" s="159" t="n">
        <f aca="true">RAND()</f>
        <v>0.477207793291799</v>
      </c>
      <c r="AO26" s="159" t="n">
        <f aca="true">RAND()</f>
        <v>0.617010555641975</v>
      </c>
      <c r="AP26" s="159" t="n">
        <f aca="true">RAND()</f>
        <v>0.733674557759807</v>
      </c>
      <c r="AQ26" s="159" t="n">
        <f aca="true">RAND()</f>
        <v>0.133779228234308</v>
      </c>
      <c r="AR26" s="159" t="n">
        <f aca="true">RAND()</f>
        <v>0.0463154690031014</v>
      </c>
      <c r="AS26" s="159" t="n">
        <f aca="true">RAND()</f>
        <v>0.550700550431958</v>
      </c>
      <c r="AT26" s="159" t="n">
        <f aca="true">RAND()</f>
        <v>0.326096560532595</v>
      </c>
      <c r="AU26" s="159" t="n">
        <f aca="true">RAND()</f>
        <v>0.195266307786633</v>
      </c>
      <c r="AV26" s="159" t="n">
        <f aca="true">RAND()</f>
        <v>0.986465356185955</v>
      </c>
      <c r="AW26" s="159" t="n">
        <f aca="true">RAND()</f>
        <v>0.89017666706828</v>
      </c>
      <c r="AX26" s="159" t="n">
        <f aca="true">RAND()</f>
        <v>0.742136076154312</v>
      </c>
      <c r="AY26" s="159" t="n">
        <f aca="true">RAND()</f>
        <v>0.174576691691654</v>
      </c>
      <c r="AZ26" s="159" t="n">
        <f aca="true">RAND()</f>
        <v>0.462248304440439</v>
      </c>
      <c r="BA26" s="159" t="n">
        <f aca="true">RAND()</f>
        <v>0.995671638288654</v>
      </c>
      <c r="BB26" s="159" t="n">
        <f aca="true">RAND()</f>
        <v>0.491915434993196</v>
      </c>
      <c r="BC26" s="159" t="n">
        <f aca="true">RAND()</f>
        <v>0.255806021313653</v>
      </c>
      <c r="BD26" s="159" t="n">
        <f aca="true">RAND()</f>
        <v>0.67955293986621</v>
      </c>
      <c r="BE26" s="159" t="n">
        <f aca="true">RAND()</f>
        <v>0.0937056214766306</v>
      </c>
      <c r="BF26" s="159" t="n">
        <f aca="true">RAND()</f>
        <v>0.716682188461109</v>
      </c>
      <c r="BG26" s="159" t="n">
        <f aca="true">RAND()</f>
        <v>0.426738024171716</v>
      </c>
      <c r="BH26" s="159" t="n">
        <f aca="true">RAND()</f>
        <v>0.453187435132298</v>
      </c>
      <c r="BI26" s="159" t="n">
        <f aca="true">RAND()</f>
        <v>0.835132698485122</v>
      </c>
      <c r="BJ26" s="159" t="n">
        <f aca="true">RAND()</f>
        <v>0.904185566216141</v>
      </c>
      <c r="BK26" s="159" t="n">
        <f aca="true">RAND()</f>
        <v>0.358939742661863</v>
      </c>
      <c r="BL26" s="159" t="n">
        <f aca="true">RAND()</f>
        <v>0.0139590506452527</v>
      </c>
      <c r="BM26" s="159" t="n">
        <f aca="true">RAND()</f>
        <v>0.0286133906200533</v>
      </c>
      <c r="BN26" s="159" t="n">
        <f aca="true">RAND()</f>
        <v>0.900108797138392</v>
      </c>
      <c r="BO26" s="159" t="n">
        <f aca="true">RAND()</f>
        <v>0.468836403204702</v>
      </c>
      <c r="BP26" s="159" t="n">
        <f aca="true">RAND()</f>
        <v>0.859573356571825</v>
      </c>
      <c r="BQ26" s="159" t="n">
        <f aca="true">RAND()</f>
        <v>0.300687411847016</v>
      </c>
      <c r="BR26" s="159" t="n">
        <f aca="true">RAND()</f>
        <v>0.931530064362752</v>
      </c>
      <c r="BS26" s="159" t="n">
        <f aca="true">RAND()</f>
        <v>0.827199165033191</v>
      </c>
      <c r="BT26" s="159" t="n">
        <f aca="true">RAND()</f>
        <v>0.811757446484735</v>
      </c>
      <c r="BU26" s="159" t="n">
        <f aca="true">RAND()</f>
        <v>0.649648649681914</v>
      </c>
      <c r="BV26" s="159" t="n">
        <f aca="true">RAND()</f>
        <v>0.00055123124416789</v>
      </c>
      <c r="BW26" s="159" t="n">
        <f aca="true">RAND()</f>
        <v>0.568881881338498</v>
      </c>
      <c r="BX26" s="159" t="n">
        <f aca="true">RAND()</f>
        <v>0.581578441991608</v>
      </c>
      <c r="BY26" s="159" t="n">
        <f aca="true">RAND()</f>
        <v>0.84758096118789</v>
      </c>
      <c r="BZ26" s="160" t="n">
        <f aca="false">Simulator!J29*Simulator!$D$5+Simulator!K29*Simulator!$D$6+Simulator!L29*Simulator!$D$7+Simulator!M29*Simulator!$D$8+Simulator!N29*Simulator!$D$9+Simulator!O29*Simulator!$D$10</f>
        <v>0.659564818863096</v>
      </c>
      <c r="CA26" s="160" t="n">
        <f aca="false">IF($BZ26=0,0.1667,(Simulator!J29*Simulator!$D$5)/$BZ26)</f>
        <v>0.349237016316012</v>
      </c>
      <c r="CB26" s="160" t="n">
        <f aca="false">IF($BZ26=0,0.3333,(Simulator!J29*Simulator!$D$5+Simulator!K29*Simulator!$D$6)/$BZ26)</f>
        <v>0.878118816600871</v>
      </c>
      <c r="CC26" s="160" t="n">
        <f aca="false">IF($BZ26=0,0.5,(Simulator!J29*Simulator!$D$5+Simulator!K29*Simulator!$D$6+Simulator!L29*Simulator!$D$7)/$BZ26)</f>
        <v>0.92607879470044</v>
      </c>
      <c r="CD26" s="160" t="n">
        <f aca="false">IF($BZ26=0,0.6667,(Simulator!J29*Simulator!$D$5+Simulator!K29*Simulator!$D$6+Simulator!L29*Simulator!$D$7+Simulator!M29*Simulator!$D$8)/$BZ26)</f>
        <v>0.99489102387635</v>
      </c>
      <c r="CE26" s="160" t="n">
        <f aca="false">IF($BZ26=0,0.8333,(Simulator!J29*Simulator!$D$5+Simulator!K29*Simulator!$D$6+Simulator!L29*Simulator!$D$7+Simulator!M29*Simulator!$D$8+Simulator!N29*Simulator!$D$9)/$BZ26)</f>
        <v>0.999703934541547</v>
      </c>
    </row>
    <row r="27" customFormat="false" ht="15" hidden="false" customHeight="false" outlineLevel="0" collapsed="false">
      <c r="A27" s="158" t="s">
        <v>71</v>
      </c>
      <c r="B27" s="159" t="n">
        <f aca="true">RAND()</f>
        <v>0.877085163168133</v>
      </c>
      <c r="C27" s="159" t="n">
        <f aca="true">RAND()</f>
        <v>0.677011134246538</v>
      </c>
      <c r="D27" s="159" t="n">
        <f aca="true">RAND()</f>
        <v>0.45491454250674</v>
      </c>
      <c r="E27" s="159" t="n">
        <f aca="true">RAND()</f>
        <v>0.776355664565299</v>
      </c>
      <c r="F27" s="159" t="n">
        <f aca="true">RAND()</f>
        <v>0.94024379063837</v>
      </c>
      <c r="G27" s="159" t="n">
        <f aca="true">RAND()</f>
        <v>0.651066708659397</v>
      </c>
      <c r="H27" s="159" t="n">
        <f aca="true">RAND()</f>
        <v>0.613815793862865</v>
      </c>
      <c r="I27" s="159" t="n">
        <f aca="true">RAND()</f>
        <v>0.666496107613657</v>
      </c>
      <c r="J27" s="159" t="n">
        <f aca="true">RAND()</f>
        <v>0.450314648926783</v>
      </c>
      <c r="K27" s="159" t="n">
        <f aca="true">RAND()</f>
        <v>0.736686494722059</v>
      </c>
      <c r="L27" s="159" t="n">
        <f aca="true">RAND()</f>
        <v>0.408445103353671</v>
      </c>
      <c r="M27" s="159" t="n">
        <f aca="true">RAND()</f>
        <v>0.0889145427522642</v>
      </c>
      <c r="N27" s="159" t="n">
        <f aca="true">RAND()</f>
        <v>0.749511862007128</v>
      </c>
      <c r="O27" s="159" t="n">
        <f aca="true">RAND()</f>
        <v>0.642134824443361</v>
      </c>
      <c r="P27" s="159" t="n">
        <f aca="true">RAND()</f>
        <v>0.484504112132151</v>
      </c>
      <c r="Q27" s="159" t="n">
        <f aca="true">RAND()</f>
        <v>0.709508160134296</v>
      </c>
      <c r="R27" s="159" t="n">
        <f aca="true">RAND()</f>
        <v>0.0862073637233043</v>
      </c>
      <c r="S27" s="159" t="n">
        <f aca="true">RAND()</f>
        <v>0.69487383885165</v>
      </c>
      <c r="T27" s="159" t="n">
        <f aca="true">RAND()</f>
        <v>0.283863203604161</v>
      </c>
      <c r="U27" s="159" t="n">
        <f aca="true">RAND()</f>
        <v>0.787090448112912</v>
      </c>
      <c r="V27" s="159" t="n">
        <f aca="true">RAND()</f>
        <v>0.432365932444334</v>
      </c>
      <c r="W27" s="159" t="n">
        <f aca="true">RAND()</f>
        <v>0.436755379385183</v>
      </c>
      <c r="X27" s="159" t="n">
        <f aca="true">RAND()</f>
        <v>0.329297571992834</v>
      </c>
      <c r="Y27" s="159" t="n">
        <f aca="true">RAND()</f>
        <v>0.00972445894200062</v>
      </c>
      <c r="Z27" s="159" t="n">
        <f aca="true">RAND()</f>
        <v>0.303893155360584</v>
      </c>
      <c r="AA27" s="159" t="n">
        <f aca="true">RAND()</f>
        <v>0.382471189839185</v>
      </c>
      <c r="AB27" s="159" t="n">
        <f aca="true">RAND()</f>
        <v>0.165875453542427</v>
      </c>
      <c r="AC27" s="159" t="n">
        <f aca="true">RAND()</f>
        <v>0.83759508629155</v>
      </c>
      <c r="AD27" s="159" t="n">
        <f aca="true">RAND()</f>
        <v>0.138144502581811</v>
      </c>
      <c r="AE27" s="159" t="n">
        <f aca="true">RAND()</f>
        <v>0.856960699373589</v>
      </c>
      <c r="AF27" s="159" t="n">
        <f aca="true">RAND()</f>
        <v>0.921039500477936</v>
      </c>
      <c r="AG27" s="159" t="n">
        <f aca="true">RAND()</f>
        <v>0.160238612946944</v>
      </c>
      <c r="AH27" s="159" t="n">
        <f aca="true">RAND()</f>
        <v>0.707489445487857</v>
      </c>
      <c r="AI27" s="159" t="n">
        <f aca="true">RAND()</f>
        <v>0.630527774226415</v>
      </c>
      <c r="AJ27" s="159" t="n">
        <f aca="true">RAND()</f>
        <v>0.710565933360409</v>
      </c>
      <c r="AK27" s="159" t="n">
        <f aca="true">RAND()</f>
        <v>0.359040803151743</v>
      </c>
      <c r="AL27" s="159" t="n">
        <f aca="true">RAND()</f>
        <v>0.03551495329917</v>
      </c>
      <c r="AM27" s="159" t="n">
        <f aca="true">RAND()</f>
        <v>0.881023713603707</v>
      </c>
      <c r="AN27" s="159" t="n">
        <f aca="true">RAND()</f>
        <v>0.592608610519691</v>
      </c>
      <c r="AO27" s="159" t="n">
        <f aca="true">RAND()</f>
        <v>0.197842189641799</v>
      </c>
      <c r="AP27" s="159" t="n">
        <f aca="true">RAND()</f>
        <v>0.839927746210941</v>
      </c>
      <c r="AQ27" s="159" t="n">
        <f aca="true">RAND()</f>
        <v>0.596316688131563</v>
      </c>
      <c r="AR27" s="159" t="n">
        <f aca="true">RAND()</f>
        <v>0.491815030518762</v>
      </c>
      <c r="AS27" s="159" t="n">
        <f aca="true">RAND()</f>
        <v>0.921274984314826</v>
      </c>
      <c r="AT27" s="159" t="n">
        <f aca="true">RAND()</f>
        <v>0.352142736984642</v>
      </c>
      <c r="AU27" s="159" t="n">
        <f aca="true">RAND()</f>
        <v>0.151877867076331</v>
      </c>
      <c r="AV27" s="159" t="n">
        <f aca="true">RAND()</f>
        <v>0.584735470171532</v>
      </c>
      <c r="AW27" s="159" t="n">
        <f aca="true">RAND()</f>
        <v>0.563209342351971</v>
      </c>
      <c r="AX27" s="159" t="n">
        <f aca="true">RAND()</f>
        <v>0.00965085149540814</v>
      </c>
      <c r="AY27" s="159" t="n">
        <f aca="true">RAND()</f>
        <v>0.633979391188069</v>
      </c>
      <c r="AZ27" s="159" t="n">
        <f aca="true">RAND()</f>
        <v>0.450353175511883</v>
      </c>
      <c r="BA27" s="159" t="n">
        <f aca="true">RAND()</f>
        <v>0.366358892562835</v>
      </c>
      <c r="BB27" s="159" t="n">
        <f aca="true">RAND()</f>
        <v>0.11175887029476</v>
      </c>
      <c r="BC27" s="159" t="n">
        <f aca="true">RAND()</f>
        <v>0.294579197297262</v>
      </c>
      <c r="BD27" s="159" t="n">
        <f aca="true">RAND()</f>
        <v>0.688589716864193</v>
      </c>
      <c r="BE27" s="159" t="n">
        <f aca="true">RAND()</f>
        <v>0.288664558417717</v>
      </c>
      <c r="BF27" s="159" t="n">
        <f aca="true">RAND()</f>
        <v>0.268757838157756</v>
      </c>
      <c r="BG27" s="159" t="n">
        <f aca="true">RAND()</f>
        <v>0.529491756388093</v>
      </c>
      <c r="BH27" s="159" t="n">
        <f aca="true">RAND()</f>
        <v>0.550543338487347</v>
      </c>
      <c r="BI27" s="159" t="n">
        <f aca="true">RAND()</f>
        <v>0.711117546023276</v>
      </c>
      <c r="BJ27" s="159" t="n">
        <f aca="true">RAND()</f>
        <v>0.539892332889615</v>
      </c>
      <c r="BK27" s="159" t="n">
        <f aca="true">RAND()</f>
        <v>0.916747134183123</v>
      </c>
      <c r="BL27" s="159" t="n">
        <f aca="true">RAND()</f>
        <v>0.226986900892355</v>
      </c>
      <c r="BM27" s="159" t="n">
        <f aca="true">RAND()</f>
        <v>0.564698615511586</v>
      </c>
      <c r="BN27" s="159" t="n">
        <f aca="true">RAND()</f>
        <v>0.720952745129348</v>
      </c>
      <c r="BO27" s="159" t="n">
        <f aca="true">RAND()</f>
        <v>0.459706000850057</v>
      </c>
      <c r="BP27" s="159" t="n">
        <f aca="true">RAND()</f>
        <v>0.138915724376779</v>
      </c>
      <c r="BQ27" s="159" t="n">
        <f aca="true">RAND()</f>
        <v>0.964233615081457</v>
      </c>
      <c r="BR27" s="159" t="n">
        <f aca="true">RAND()</f>
        <v>0.796173760327496</v>
      </c>
      <c r="BS27" s="159" t="n">
        <f aca="true">RAND()</f>
        <v>0.704551959111149</v>
      </c>
      <c r="BT27" s="159" t="n">
        <f aca="true">RAND()</f>
        <v>0.482876698826554</v>
      </c>
      <c r="BU27" s="159" t="n">
        <f aca="true">RAND()</f>
        <v>0.693101058530494</v>
      </c>
      <c r="BV27" s="159" t="n">
        <f aca="true">RAND()</f>
        <v>0.262796895159855</v>
      </c>
      <c r="BW27" s="159" t="n">
        <f aca="true">RAND()</f>
        <v>0.529819379318919</v>
      </c>
      <c r="BX27" s="159" t="n">
        <f aca="true">RAND()</f>
        <v>0.731761852688976</v>
      </c>
      <c r="BY27" s="159" t="n">
        <f aca="true">RAND()</f>
        <v>0.882917840337611</v>
      </c>
      <c r="BZ27" s="160" t="n">
        <f aca="false">Simulator!J30*Simulator!$D$5+Simulator!K30*Simulator!$D$6+Simulator!L30*Simulator!$D$7+Simulator!M30*Simulator!$D$8+Simulator!N30*Simulator!$D$9+Simulator!O30*Simulator!$D$10</f>
        <v>0.698820931214431</v>
      </c>
      <c r="CA27" s="160" t="n">
        <f aca="false">IF($BZ27=0,0.1667,(Simulator!J30*Simulator!$D$5)/$BZ27)</f>
        <v>0.35894231788858</v>
      </c>
      <c r="CB27" s="160" t="n">
        <f aca="false">IF($BZ27=0,0.3333,(Simulator!J30*Simulator!$D$5+Simulator!K30*Simulator!$D$6)/$BZ27)</f>
        <v>0.901246406041696</v>
      </c>
      <c r="CC27" s="160" t="n">
        <f aca="false">IF($BZ27=0,0.5,(Simulator!J30*Simulator!$D$5+Simulator!K30*Simulator!$D$6+Simulator!L30*Simulator!$D$7)/$BZ27)</f>
        <v>0.950859033039552</v>
      </c>
      <c r="CD27" s="160" t="n">
        <f aca="false">IF($BZ27=0,0.6667,(Simulator!J30*Simulator!$D$5+Simulator!K30*Simulator!$D$6+Simulator!L30*Simulator!$D$7+Simulator!M30*Simulator!$D$8)/$BZ27)</f>
        <v>0.995090415524857</v>
      </c>
      <c r="CE27" s="160" t="n">
        <f aca="false">IF($BZ27=0,0.8333,(Simulator!J30*Simulator!$D$5+Simulator!K30*Simulator!$D$6+Simulator!L30*Simulator!$D$7+Simulator!M30*Simulator!$D$8+Simulator!N30*Simulator!$D$9)/$BZ27)</f>
        <v>0.99972056595366</v>
      </c>
    </row>
    <row r="28" customFormat="false" ht="15" hidden="false" customHeight="false" outlineLevel="0" collapsed="false">
      <c r="A28" s="158" t="s">
        <v>72</v>
      </c>
      <c r="B28" s="159" t="n">
        <f aca="true">RAND()</f>
        <v>0.964021015506515</v>
      </c>
      <c r="C28" s="159" t="n">
        <f aca="true">RAND()</f>
        <v>0.739351851607805</v>
      </c>
      <c r="D28" s="159" t="n">
        <f aca="true">RAND()</f>
        <v>0.81621870515561</v>
      </c>
      <c r="E28" s="159" t="n">
        <f aca="true">RAND()</f>
        <v>0.838506024216472</v>
      </c>
      <c r="F28" s="159" t="n">
        <f aca="true">RAND()</f>
        <v>0.367075654291775</v>
      </c>
      <c r="G28" s="159" t="n">
        <f aca="true">RAND()</f>
        <v>0.870625640121507</v>
      </c>
      <c r="H28" s="159" t="n">
        <f aca="true">RAND()</f>
        <v>0.508224346058934</v>
      </c>
      <c r="I28" s="159" t="n">
        <f aca="true">RAND()</f>
        <v>0.782824818671577</v>
      </c>
      <c r="J28" s="159" t="n">
        <f aca="true">RAND()</f>
        <v>0.702324182894911</v>
      </c>
      <c r="K28" s="159" t="n">
        <f aca="true">RAND()</f>
        <v>0.468508323309713</v>
      </c>
      <c r="L28" s="159" t="n">
        <f aca="true">RAND()</f>
        <v>0.327964267966053</v>
      </c>
      <c r="M28" s="159" t="n">
        <f aca="true">RAND()</f>
        <v>0.160572668343014</v>
      </c>
      <c r="N28" s="159" t="n">
        <f aca="true">RAND()</f>
        <v>0.742410426880165</v>
      </c>
      <c r="O28" s="159" t="n">
        <f aca="true">RAND()</f>
        <v>0.285507513932324</v>
      </c>
      <c r="P28" s="159" t="n">
        <f aca="true">RAND()</f>
        <v>0.195573496917405</v>
      </c>
      <c r="Q28" s="159" t="n">
        <f aca="true">RAND()</f>
        <v>0.171407155271575</v>
      </c>
      <c r="R28" s="159" t="n">
        <f aca="true">RAND()</f>
        <v>0.775848394311931</v>
      </c>
      <c r="S28" s="159" t="n">
        <f aca="true">RAND()</f>
        <v>0.37919253073085</v>
      </c>
      <c r="T28" s="159" t="n">
        <f aca="true">RAND()</f>
        <v>0.0230217803528696</v>
      </c>
      <c r="U28" s="159" t="n">
        <f aca="true">RAND()</f>
        <v>0.985254608144681</v>
      </c>
      <c r="V28" s="159" t="n">
        <f aca="true">RAND()</f>
        <v>0.0108848191311449</v>
      </c>
      <c r="W28" s="159" t="n">
        <f aca="true">RAND()</f>
        <v>0.63780751026966</v>
      </c>
      <c r="X28" s="159" t="n">
        <f aca="true">RAND()</f>
        <v>0.836091517499429</v>
      </c>
      <c r="Y28" s="159" t="n">
        <f aca="true">RAND()</f>
        <v>0.507147227791955</v>
      </c>
      <c r="Z28" s="159" t="n">
        <f aca="true">RAND()</f>
        <v>0.344743686079767</v>
      </c>
      <c r="AA28" s="159" t="n">
        <f aca="true">RAND()</f>
        <v>0.405191247339306</v>
      </c>
      <c r="AB28" s="159" t="n">
        <f aca="true">RAND()</f>
        <v>0.276769913737988</v>
      </c>
      <c r="AC28" s="159" t="n">
        <f aca="true">RAND()</f>
        <v>0.919002720211494</v>
      </c>
      <c r="AD28" s="159" t="n">
        <f aca="true">RAND()</f>
        <v>0.181677902135742</v>
      </c>
      <c r="AE28" s="159" t="n">
        <f aca="true">RAND()</f>
        <v>0.8996870861142</v>
      </c>
      <c r="AF28" s="159" t="n">
        <f aca="true">RAND()</f>
        <v>0.534288886772964</v>
      </c>
      <c r="AG28" s="159" t="n">
        <f aca="true">RAND()</f>
        <v>0.695938863907029</v>
      </c>
      <c r="AH28" s="159" t="n">
        <f aca="true">RAND()</f>
        <v>0.632847750016202</v>
      </c>
      <c r="AI28" s="159" t="n">
        <f aca="true">RAND()</f>
        <v>0.360111954057231</v>
      </c>
      <c r="AJ28" s="159" t="n">
        <f aca="true">RAND()</f>
        <v>0.660039273457105</v>
      </c>
      <c r="AK28" s="159" t="n">
        <f aca="true">RAND()</f>
        <v>0.446335133459886</v>
      </c>
      <c r="AL28" s="159" t="n">
        <f aca="true">RAND()</f>
        <v>0.396148389474681</v>
      </c>
      <c r="AM28" s="159" t="n">
        <f aca="true">RAND()</f>
        <v>0.685112033787165</v>
      </c>
      <c r="AN28" s="159" t="n">
        <f aca="true">RAND()</f>
        <v>0.130154117008103</v>
      </c>
      <c r="AO28" s="159" t="n">
        <f aca="true">RAND()</f>
        <v>0.489726949954216</v>
      </c>
      <c r="AP28" s="159" t="n">
        <f aca="true">RAND()</f>
        <v>0.529553307905023</v>
      </c>
      <c r="AQ28" s="159" t="n">
        <f aca="true">RAND()</f>
        <v>0.544784004930156</v>
      </c>
      <c r="AR28" s="159" t="n">
        <f aca="true">RAND()</f>
        <v>0.223758611447473</v>
      </c>
      <c r="AS28" s="159" t="n">
        <f aca="true">RAND()</f>
        <v>0.2789008725845</v>
      </c>
      <c r="AT28" s="159" t="n">
        <f aca="true">RAND()</f>
        <v>0.783469799909064</v>
      </c>
      <c r="AU28" s="159" t="n">
        <f aca="true">RAND()</f>
        <v>0.964866533790249</v>
      </c>
      <c r="AV28" s="159" t="n">
        <f aca="true">RAND()</f>
        <v>0.347064437287431</v>
      </c>
      <c r="AW28" s="159" t="n">
        <f aca="true">RAND()</f>
        <v>0.533992288047491</v>
      </c>
      <c r="AX28" s="159" t="n">
        <f aca="true">RAND()</f>
        <v>0.890252793518135</v>
      </c>
      <c r="AY28" s="159" t="n">
        <f aca="true">RAND()</f>
        <v>0.398128096947946</v>
      </c>
      <c r="AZ28" s="159" t="n">
        <f aca="true">RAND()</f>
        <v>0.933151194577362</v>
      </c>
      <c r="BA28" s="159" t="n">
        <f aca="true">RAND()</f>
        <v>0.950301847401917</v>
      </c>
      <c r="BB28" s="159" t="n">
        <f aca="true">RAND()</f>
        <v>0.448000985327287</v>
      </c>
      <c r="BC28" s="159" t="n">
        <f aca="true">RAND()</f>
        <v>0.248098131117708</v>
      </c>
      <c r="BD28" s="159" t="n">
        <f aca="true">RAND()</f>
        <v>0.857798370294555</v>
      </c>
      <c r="BE28" s="159" t="n">
        <f aca="true">RAND()</f>
        <v>0.622361236664205</v>
      </c>
      <c r="BF28" s="159" t="n">
        <f aca="true">RAND()</f>
        <v>0.966972689689319</v>
      </c>
      <c r="BG28" s="159" t="n">
        <f aca="true">RAND()</f>
        <v>0.438715936028513</v>
      </c>
      <c r="BH28" s="159" t="n">
        <f aca="true">RAND()</f>
        <v>0.206617619198406</v>
      </c>
      <c r="BI28" s="159" t="n">
        <f aca="true">RAND()</f>
        <v>0.100761588986356</v>
      </c>
      <c r="BJ28" s="159" t="n">
        <f aca="true">RAND()</f>
        <v>0.743602789039025</v>
      </c>
      <c r="BK28" s="159" t="n">
        <f aca="true">RAND()</f>
        <v>0.751061594723343</v>
      </c>
      <c r="BL28" s="159" t="n">
        <f aca="true">RAND()</f>
        <v>0.0532637347884407</v>
      </c>
      <c r="BM28" s="159" t="n">
        <f aca="true">RAND()</f>
        <v>0.4039528727754</v>
      </c>
      <c r="BN28" s="159" t="n">
        <f aca="true">RAND()</f>
        <v>0.863298961321285</v>
      </c>
      <c r="BO28" s="159" t="n">
        <f aca="true">RAND()</f>
        <v>0.92389185807832</v>
      </c>
      <c r="BP28" s="159" t="n">
        <f aca="true">RAND()</f>
        <v>0.13344097497856</v>
      </c>
      <c r="BQ28" s="159" t="n">
        <f aca="true">RAND()</f>
        <v>0.399035029961385</v>
      </c>
      <c r="BR28" s="159" t="n">
        <f aca="true">RAND()</f>
        <v>0.975448286387073</v>
      </c>
      <c r="BS28" s="159" t="n">
        <f aca="true">RAND()</f>
        <v>0.506642869538612</v>
      </c>
      <c r="BT28" s="159" t="n">
        <f aca="true">RAND()</f>
        <v>0.962096474866053</v>
      </c>
      <c r="BU28" s="159" t="n">
        <f aca="true">RAND()</f>
        <v>0.0835392780985403</v>
      </c>
      <c r="BV28" s="159" t="n">
        <f aca="true">RAND()</f>
        <v>0.888158296667847</v>
      </c>
      <c r="BW28" s="159" t="n">
        <f aca="true">RAND()</f>
        <v>0.0543082942458743</v>
      </c>
      <c r="BX28" s="159" t="n">
        <f aca="true">RAND()</f>
        <v>0.42148213412776</v>
      </c>
      <c r="BY28" s="159" t="n">
        <f aca="true">RAND()</f>
        <v>0.222413062047856</v>
      </c>
      <c r="BZ28" s="160" t="n">
        <f aca="false">Simulator!J31*Simulator!$D$5+Simulator!K31*Simulator!$D$6+Simulator!L31*Simulator!$D$7+Simulator!M31*Simulator!$D$8+Simulator!N31*Simulator!$D$9+Simulator!O31*Simulator!$D$10</f>
        <v>0.638803664258373</v>
      </c>
      <c r="CA28" s="160" t="n">
        <f aca="false">IF($BZ28=0,0.1667,(Simulator!J31*Simulator!$D$5)/$BZ28)</f>
        <v>0.42381570030339</v>
      </c>
      <c r="CB28" s="160" t="n">
        <f aca="false">IF($BZ28=0,0.3333,(Simulator!J31*Simulator!$D$5+Simulator!K31*Simulator!$D$6)/$BZ28)</f>
        <v>0.867369374631533</v>
      </c>
      <c r="CC28" s="160" t="n">
        <f aca="false">IF($BZ28=0,0.5,(Simulator!J31*Simulator!$D$5+Simulator!K31*Simulator!$D$6+Simulator!L31*Simulator!$D$7)/$BZ28)</f>
        <v>0.90951276259028</v>
      </c>
      <c r="CD28" s="160" t="n">
        <f aca="false">IF($BZ28=0,0.6667,(Simulator!J31*Simulator!$D$5+Simulator!K31*Simulator!$D$6+Simulator!L31*Simulator!$D$7+Simulator!M31*Simulator!$D$8)/$BZ28)</f>
        <v>0.994247945667644</v>
      </c>
      <c r="CE28" s="160" t="n">
        <f aca="false">IF($BZ28=0,0.8333,(Simulator!J31*Simulator!$D$5+Simulator!K31*Simulator!$D$6+Simulator!L31*Simulator!$D$7+Simulator!M31*Simulator!$D$8+Simulator!N31*Simulator!$D$9)/$BZ28)</f>
        <v>0.999694312397686</v>
      </c>
    </row>
    <row r="29" customFormat="false" ht="15" hidden="false" customHeight="false" outlineLevel="0" collapsed="false">
      <c r="A29" s="158" t="s">
        <v>73</v>
      </c>
      <c r="B29" s="159" t="n">
        <f aca="true">RAND()</f>
        <v>0.802890347806788</v>
      </c>
      <c r="C29" s="159" t="n">
        <f aca="true">RAND()</f>
        <v>0.959606043979213</v>
      </c>
      <c r="D29" s="159" t="n">
        <f aca="true">RAND()</f>
        <v>0.289805918718265</v>
      </c>
      <c r="E29" s="159" t="n">
        <f aca="true">RAND()</f>
        <v>0.33454589592147</v>
      </c>
      <c r="F29" s="159" t="n">
        <f aca="true">RAND()</f>
        <v>0.668348155292438</v>
      </c>
      <c r="G29" s="159" t="n">
        <f aca="true">RAND()</f>
        <v>0.781988691581744</v>
      </c>
      <c r="H29" s="159" t="n">
        <f aca="true">RAND()</f>
        <v>0.87975866718441</v>
      </c>
      <c r="I29" s="159" t="n">
        <f aca="true">RAND()</f>
        <v>0.647135481653948</v>
      </c>
      <c r="J29" s="159" t="n">
        <f aca="true">RAND()</f>
        <v>0.94789743409391</v>
      </c>
      <c r="K29" s="159" t="n">
        <f aca="true">RAND()</f>
        <v>0.0326392618837148</v>
      </c>
      <c r="L29" s="159" t="n">
        <f aca="true">RAND()</f>
        <v>0.22846914248907</v>
      </c>
      <c r="M29" s="159" t="n">
        <f aca="true">RAND()</f>
        <v>0.53341908952134</v>
      </c>
      <c r="N29" s="159" t="n">
        <f aca="true">RAND()</f>
        <v>0.458875389891691</v>
      </c>
      <c r="O29" s="159" t="n">
        <f aca="true">RAND()</f>
        <v>0.523775500530648</v>
      </c>
      <c r="P29" s="159" t="n">
        <f aca="true">RAND()</f>
        <v>0.735032811324587</v>
      </c>
      <c r="Q29" s="159" t="n">
        <f aca="true">RAND()</f>
        <v>0.490214555816417</v>
      </c>
      <c r="R29" s="159" t="n">
        <f aca="true">RAND()</f>
        <v>0.181802937750934</v>
      </c>
      <c r="S29" s="159" t="n">
        <f aca="true">RAND()</f>
        <v>0.978517195032803</v>
      </c>
      <c r="T29" s="159" t="n">
        <f aca="true">RAND()</f>
        <v>0.714153163728739</v>
      </c>
      <c r="U29" s="159" t="n">
        <f aca="true">RAND()</f>
        <v>0.206681028000398</v>
      </c>
      <c r="V29" s="159" t="n">
        <f aca="true">RAND()</f>
        <v>0.842988260368938</v>
      </c>
      <c r="W29" s="159" t="n">
        <f aca="true">RAND()</f>
        <v>0.0455071614660865</v>
      </c>
      <c r="X29" s="159" t="n">
        <f aca="true">RAND()</f>
        <v>0.893096698664339</v>
      </c>
      <c r="Y29" s="159" t="n">
        <f aca="true">RAND()</f>
        <v>0.410637078453638</v>
      </c>
      <c r="Z29" s="159" t="n">
        <f aca="true">RAND()</f>
        <v>0.277537701481886</v>
      </c>
      <c r="AA29" s="159" t="n">
        <f aca="true">RAND()</f>
        <v>0.12249958428096</v>
      </c>
      <c r="AB29" s="159" t="n">
        <f aca="true">RAND()</f>
        <v>0.529744396678038</v>
      </c>
      <c r="AC29" s="159" t="n">
        <f aca="true">RAND()</f>
        <v>0.776095408293602</v>
      </c>
      <c r="AD29" s="159" t="n">
        <f aca="true">RAND()</f>
        <v>0.597191669020481</v>
      </c>
      <c r="AE29" s="159" t="n">
        <f aca="true">RAND()</f>
        <v>0.57242649323232</v>
      </c>
      <c r="AF29" s="159" t="n">
        <f aca="true">RAND()</f>
        <v>0.715559571191295</v>
      </c>
      <c r="AG29" s="159" t="n">
        <f aca="true">RAND()</f>
        <v>0.194596527959504</v>
      </c>
      <c r="AH29" s="159" t="n">
        <f aca="true">RAND()</f>
        <v>0.586567671371061</v>
      </c>
      <c r="AI29" s="159" t="n">
        <f aca="true">RAND()</f>
        <v>0.971321505948049</v>
      </c>
      <c r="AJ29" s="159" t="n">
        <f aca="true">RAND()</f>
        <v>0.736912220171324</v>
      </c>
      <c r="AK29" s="159" t="n">
        <f aca="true">RAND()</f>
        <v>0.544026392364961</v>
      </c>
      <c r="AL29" s="159" t="n">
        <f aca="true">RAND()</f>
        <v>0.306477179256754</v>
      </c>
      <c r="AM29" s="159" t="n">
        <f aca="true">RAND()</f>
        <v>0.935838583109336</v>
      </c>
      <c r="AN29" s="159" t="n">
        <f aca="true">RAND()</f>
        <v>0.252856658814385</v>
      </c>
      <c r="AO29" s="159" t="n">
        <f aca="true">RAND()</f>
        <v>0.898222589497612</v>
      </c>
      <c r="AP29" s="159" t="n">
        <f aca="true">RAND()</f>
        <v>0.371708817309668</v>
      </c>
      <c r="AQ29" s="159" t="n">
        <f aca="true">RAND()</f>
        <v>0.842439046983207</v>
      </c>
      <c r="AR29" s="159" t="n">
        <f aca="true">RAND()</f>
        <v>0.0358543276913363</v>
      </c>
      <c r="AS29" s="159" t="n">
        <f aca="true">RAND()</f>
        <v>0.166114320611756</v>
      </c>
      <c r="AT29" s="159" t="n">
        <f aca="true">RAND()</f>
        <v>0.667959651370013</v>
      </c>
      <c r="AU29" s="159" t="n">
        <f aca="true">RAND()</f>
        <v>0.207200273808494</v>
      </c>
      <c r="AV29" s="159" t="n">
        <f aca="true">RAND()</f>
        <v>0.164410009234898</v>
      </c>
      <c r="AW29" s="159" t="n">
        <f aca="true">RAND()</f>
        <v>0.706338521677887</v>
      </c>
      <c r="AX29" s="159" t="n">
        <f aca="true">RAND()</f>
        <v>0.6559566317272</v>
      </c>
      <c r="AY29" s="159" t="n">
        <f aca="true">RAND()</f>
        <v>0.797812807634026</v>
      </c>
      <c r="AZ29" s="159" t="n">
        <f aca="true">RAND()</f>
        <v>0.627035800104961</v>
      </c>
      <c r="BA29" s="159" t="n">
        <f aca="true">RAND()</f>
        <v>0.14242222315267</v>
      </c>
      <c r="BB29" s="159" t="n">
        <f aca="true">RAND()</f>
        <v>0.827691981979754</v>
      </c>
      <c r="BC29" s="159" t="n">
        <f aca="true">RAND()</f>
        <v>0.608028244628028</v>
      </c>
      <c r="BD29" s="159" t="n">
        <f aca="true">RAND()</f>
        <v>0.418906252466979</v>
      </c>
      <c r="BE29" s="159" t="n">
        <f aca="true">RAND()</f>
        <v>0.929547525342142</v>
      </c>
      <c r="BF29" s="159" t="n">
        <f aca="true">RAND()</f>
        <v>0.868673891631273</v>
      </c>
      <c r="BG29" s="159" t="n">
        <f aca="true">RAND()</f>
        <v>0.0698173844195248</v>
      </c>
      <c r="BH29" s="159" t="n">
        <f aca="true">RAND()</f>
        <v>0.641026464056091</v>
      </c>
      <c r="BI29" s="159" t="n">
        <f aca="true">RAND()</f>
        <v>0.584638359784354</v>
      </c>
      <c r="BJ29" s="159" t="n">
        <f aca="true">RAND()</f>
        <v>0.0378739174855182</v>
      </c>
      <c r="BK29" s="159" t="n">
        <f aca="true">RAND()</f>
        <v>0.554955098384532</v>
      </c>
      <c r="BL29" s="159" t="n">
        <f aca="true">RAND()</f>
        <v>0.0708191670499616</v>
      </c>
      <c r="BM29" s="159" t="n">
        <f aca="true">RAND()</f>
        <v>0.429930993521161</v>
      </c>
      <c r="BN29" s="159" t="n">
        <f aca="true">RAND()</f>
        <v>0.702751546898136</v>
      </c>
      <c r="BO29" s="159" t="n">
        <f aca="true">RAND()</f>
        <v>0.598511433844883</v>
      </c>
      <c r="BP29" s="159" t="n">
        <f aca="true">RAND()</f>
        <v>0.0742568283238722</v>
      </c>
      <c r="BQ29" s="159" t="n">
        <f aca="true">RAND()</f>
        <v>0.222645368046233</v>
      </c>
      <c r="BR29" s="159" t="n">
        <f aca="true">RAND()</f>
        <v>0.704398253169414</v>
      </c>
      <c r="BS29" s="159" t="n">
        <f aca="true">RAND()</f>
        <v>0.755533527510966</v>
      </c>
      <c r="BT29" s="159" t="n">
        <f aca="true">RAND()</f>
        <v>0.941099912350179</v>
      </c>
      <c r="BU29" s="159" t="n">
        <f aca="true">RAND()</f>
        <v>0.597168829545058</v>
      </c>
      <c r="BV29" s="159" t="n">
        <f aca="true">RAND()</f>
        <v>0.237677679005021</v>
      </c>
      <c r="BW29" s="159" t="n">
        <f aca="true">RAND()</f>
        <v>0.540988636574841</v>
      </c>
      <c r="BX29" s="159" t="n">
        <f aca="true">RAND()</f>
        <v>0.792822416929061</v>
      </c>
      <c r="BY29" s="159" t="n">
        <f aca="true">RAND()</f>
        <v>0.571385099256546</v>
      </c>
      <c r="BZ29" s="160" t="n">
        <f aca="false">Simulator!J32*Simulator!$D$5+Simulator!K32*Simulator!$D$6+Simulator!L32*Simulator!$D$7+Simulator!M32*Simulator!$D$8+Simulator!N32*Simulator!$D$9+Simulator!O32*Simulator!$D$10</f>
        <v>0.652145930614637</v>
      </c>
      <c r="CA29" s="160" t="n">
        <f aca="false">IF($BZ29=0,0.1667,(Simulator!J32*Simulator!$D$5)/$BZ29)</f>
        <v>0.286069634497912</v>
      </c>
      <c r="CB29" s="160" t="n">
        <f aca="false">IF($BZ29=0,0.3333,(Simulator!J32*Simulator!$D$5+Simulator!K32*Simulator!$D$6)/$BZ29)</f>
        <v>0.877121132379455</v>
      </c>
      <c r="CC29" s="160" t="n">
        <f aca="false">IF($BZ29=0,0.5,(Simulator!J32*Simulator!$D$5+Simulator!K32*Simulator!$D$6+Simulator!L32*Simulator!$D$7)/$BZ29)</f>
        <v>0.950875169476908</v>
      </c>
      <c r="CD29" s="160" t="n">
        <f aca="false">IF($BZ29=0,0.6667,(Simulator!J32*Simulator!$D$5+Simulator!K32*Simulator!$D$6+Simulator!L32*Simulator!$D$7+Simulator!M32*Simulator!$D$8)/$BZ29)</f>
        <v>0.994111348120543</v>
      </c>
      <c r="CE29" s="160" t="n">
        <f aca="false">IF($BZ29=0,0.8333,(Simulator!J32*Simulator!$D$5+Simulator!K32*Simulator!$D$6+Simulator!L32*Simulator!$D$7+Simulator!M32*Simulator!$D$8+Simulator!N32*Simulator!$D$9)/$BZ29)</f>
        <v>0.999700566466324</v>
      </c>
    </row>
    <row r="30" customFormat="false" ht="15" hidden="false" customHeight="false" outlineLevel="0" collapsed="false">
      <c r="A30" s="158" t="s">
        <v>74</v>
      </c>
      <c r="B30" s="159" t="n">
        <f aca="true">RAND()</f>
        <v>0.0636057168387193</v>
      </c>
      <c r="C30" s="159" t="n">
        <f aca="true">RAND()</f>
        <v>0.895601211158564</v>
      </c>
      <c r="D30" s="159" t="n">
        <f aca="true">RAND()</f>
        <v>0.846480852766548</v>
      </c>
      <c r="E30" s="159" t="n">
        <f aca="true">RAND()</f>
        <v>0.865328849474139</v>
      </c>
      <c r="F30" s="159" t="n">
        <f aca="true">RAND()</f>
        <v>0.0890060329297115</v>
      </c>
      <c r="G30" s="159" t="n">
        <f aca="true">RAND()</f>
        <v>0.529684337233218</v>
      </c>
      <c r="H30" s="159" t="n">
        <f aca="true">RAND()</f>
        <v>0.823345629629814</v>
      </c>
      <c r="I30" s="159" t="n">
        <f aca="true">RAND()</f>
        <v>0.418685933251319</v>
      </c>
      <c r="J30" s="159" t="n">
        <f aca="true">RAND()</f>
        <v>0.610187230238625</v>
      </c>
      <c r="K30" s="159" t="n">
        <f aca="true">RAND()</f>
        <v>0.637870572465781</v>
      </c>
      <c r="L30" s="159" t="n">
        <f aca="true">RAND()</f>
        <v>0.632575588416082</v>
      </c>
      <c r="M30" s="159" t="n">
        <f aca="true">RAND()</f>
        <v>0.463752280569145</v>
      </c>
      <c r="N30" s="159" t="n">
        <f aca="true">RAND()</f>
        <v>0.667089646013031</v>
      </c>
      <c r="O30" s="159" t="n">
        <f aca="true">RAND()</f>
        <v>0.269511916902772</v>
      </c>
      <c r="P30" s="159" t="n">
        <f aca="true">RAND()</f>
        <v>0.609998812512211</v>
      </c>
      <c r="Q30" s="159" t="n">
        <f aca="true">RAND()</f>
        <v>0.670476134366474</v>
      </c>
      <c r="R30" s="159" t="n">
        <f aca="true">RAND()</f>
        <v>0.284791396001967</v>
      </c>
      <c r="S30" s="159" t="n">
        <f aca="true">RAND()</f>
        <v>0.821640959548694</v>
      </c>
      <c r="T30" s="159" t="n">
        <f aca="true">RAND()</f>
        <v>0.507977662407224</v>
      </c>
      <c r="U30" s="159" t="n">
        <f aca="true">RAND()</f>
        <v>0.70073610053132</v>
      </c>
      <c r="V30" s="159" t="n">
        <f aca="true">RAND()</f>
        <v>0.377149886756558</v>
      </c>
      <c r="W30" s="159" t="n">
        <f aca="true">RAND()</f>
        <v>0.977263134577587</v>
      </c>
      <c r="X30" s="159" t="n">
        <f aca="true">RAND()</f>
        <v>0.908762085133928</v>
      </c>
      <c r="Y30" s="159" t="n">
        <f aca="true">RAND()</f>
        <v>0.58499825448245</v>
      </c>
      <c r="Z30" s="159" t="n">
        <f aca="true">RAND()</f>
        <v>0.236687240081965</v>
      </c>
      <c r="AA30" s="159" t="n">
        <f aca="true">RAND()</f>
        <v>0.385091599592739</v>
      </c>
      <c r="AB30" s="159" t="n">
        <f aca="true">RAND()</f>
        <v>0.620716691482977</v>
      </c>
      <c r="AC30" s="159" t="n">
        <f aca="true">RAND()</f>
        <v>0.256175218469511</v>
      </c>
      <c r="AD30" s="159" t="n">
        <f aca="true">RAND()</f>
        <v>0.826745328981858</v>
      </c>
      <c r="AE30" s="159" t="n">
        <f aca="true">RAND()</f>
        <v>0.293759122056499</v>
      </c>
      <c r="AF30" s="159" t="n">
        <f aca="true">RAND()</f>
        <v>0.177481921185787</v>
      </c>
      <c r="AG30" s="159" t="n">
        <f aca="true">RAND()</f>
        <v>0.892945376796589</v>
      </c>
      <c r="AH30" s="159" t="n">
        <f aca="true">RAND()</f>
        <v>0.848510587389919</v>
      </c>
      <c r="AI30" s="159" t="n">
        <f aca="true">RAND()</f>
        <v>0.155963504130002</v>
      </c>
      <c r="AJ30" s="159" t="n">
        <f aca="true">RAND()</f>
        <v>0.723237746402484</v>
      </c>
      <c r="AK30" s="159" t="n">
        <f aca="true">RAND()</f>
        <v>0.286866052816509</v>
      </c>
      <c r="AL30" s="159" t="n">
        <f aca="true">RAND()</f>
        <v>0.256313339384467</v>
      </c>
      <c r="AM30" s="159" t="n">
        <f aca="true">RAND()</f>
        <v>0.917168720441864</v>
      </c>
      <c r="AN30" s="159" t="n">
        <f aca="true">RAND()</f>
        <v>0.721659334997692</v>
      </c>
      <c r="AO30" s="159" t="n">
        <f aca="true">RAND()</f>
        <v>0.339175558175692</v>
      </c>
      <c r="AP30" s="159" t="n">
        <f aca="true">RAND()</f>
        <v>0.456907720449309</v>
      </c>
      <c r="AQ30" s="159" t="n">
        <f aca="true">RAND()</f>
        <v>0.841530802425344</v>
      </c>
      <c r="AR30" s="159" t="n">
        <f aca="true">RAND()</f>
        <v>0.545243262260776</v>
      </c>
      <c r="AS30" s="159" t="n">
        <f aca="true">RAND()</f>
        <v>0.459323741664794</v>
      </c>
      <c r="AT30" s="159" t="n">
        <f aca="true">RAND()</f>
        <v>0.898719735690912</v>
      </c>
      <c r="AU30" s="159" t="n">
        <f aca="true">RAND()</f>
        <v>0.778067174325585</v>
      </c>
      <c r="AV30" s="159" t="n">
        <f aca="true">RAND()</f>
        <v>0.220370350009125</v>
      </c>
      <c r="AW30" s="159" t="n">
        <f aca="true">RAND()</f>
        <v>0.73571578131232</v>
      </c>
      <c r="AX30" s="159" t="n">
        <f aca="true">RAND()</f>
        <v>0.57401761755585</v>
      </c>
      <c r="AY30" s="159" t="n">
        <f aca="true">RAND()</f>
        <v>0.100191287366037</v>
      </c>
      <c r="AZ30" s="159" t="n">
        <f aca="true">RAND()</f>
        <v>0.835785244934604</v>
      </c>
      <c r="BA30" s="159" t="n">
        <f aca="true">RAND()</f>
        <v>0.160610794873755</v>
      </c>
      <c r="BB30" s="159" t="n">
        <f aca="true">RAND()</f>
        <v>0.0903112058561709</v>
      </c>
      <c r="BC30" s="159" t="n">
        <f aca="true">RAND()</f>
        <v>0.240054807235801</v>
      </c>
      <c r="BD30" s="159" t="n">
        <f aca="true">RAND()</f>
        <v>0.524332030932701</v>
      </c>
      <c r="BE30" s="159" t="n">
        <f aca="true">RAND()</f>
        <v>0.326118307971242</v>
      </c>
      <c r="BF30" s="159" t="n">
        <f aca="true">RAND()</f>
        <v>0.0233885099671681</v>
      </c>
      <c r="BG30" s="159" t="n">
        <f aca="true">RAND()</f>
        <v>0.0892843080540247</v>
      </c>
      <c r="BH30" s="159" t="n">
        <f aca="true">RAND()</f>
        <v>0.988178905106489</v>
      </c>
      <c r="BI30" s="159" t="n">
        <f aca="true">RAND()</f>
        <v>0.670860263967906</v>
      </c>
      <c r="BJ30" s="159" t="n">
        <f aca="true">RAND()</f>
        <v>0.585797037243913</v>
      </c>
      <c r="BK30" s="159" t="n">
        <f aca="true">RAND()</f>
        <v>0.266921778654283</v>
      </c>
      <c r="BL30" s="159" t="n">
        <f aca="true">RAND()</f>
        <v>0.0937208328584141</v>
      </c>
      <c r="BM30" s="159" t="n">
        <f aca="true">RAND()</f>
        <v>0.884866714352949</v>
      </c>
      <c r="BN30" s="159" t="n">
        <f aca="true">RAND()</f>
        <v>0.0250194874809456</v>
      </c>
      <c r="BO30" s="159" t="n">
        <f aca="true">RAND()</f>
        <v>0.808445978984288</v>
      </c>
      <c r="BP30" s="159" t="n">
        <f aca="true">RAND()</f>
        <v>0.843984999682261</v>
      </c>
      <c r="BQ30" s="159" t="n">
        <f aca="true">RAND()</f>
        <v>0.886744152133332</v>
      </c>
      <c r="BR30" s="159" t="n">
        <f aca="true">RAND()</f>
        <v>0.410375262726837</v>
      </c>
      <c r="BS30" s="159" t="n">
        <f aca="true">RAND()</f>
        <v>0.781782996435751</v>
      </c>
      <c r="BT30" s="159" t="n">
        <f aca="true">RAND()</f>
        <v>0.145435902630234</v>
      </c>
      <c r="BU30" s="159" t="n">
        <f aca="true">RAND()</f>
        <v>0.403232155614746</v>
      </c>
      <c r="BV30" s="159" t="n">
        <f aca="true">RAND()</f>
        <v>0.0448687876950831</v>
      </c>
      <c r="BW30" s="159" t="n">
        <f aca="true">RAND()</f>
        <v>0.106270670093499</v>
      </c>
      <c r="BX30" s="159" t="n">
        <f aca="true">RAND()</f>
        <v>0.642905013842087</v>
      </c>
      <c r="BY30" s="159" t="n">
        <f aca="true">RAND()</f>
        <v>0.195623696998396</v>
      </c>
      <c r="BZ30" s="160" t="n">
        <f aca="false">Simulator!J33*Simulator!$D$5+Simulator!K33*Simulator!$D$6+Simulator!L33*Simulator!$D$7+Simulator!M33*Simulator!$D$8+Simulator!N33*Simulator!$D$9+Simulator!O33*Simulator!$D$10</f>
        <v>0.661364804463865</v>
      </c>
      <c r="CA30" s="160" t="n">
        <f aca="false">IF($BZ30=0,0.1667,(Simulator!J33*Simulator!$D$5)/$BZ30)</f>
        <v>0.277278126344732</v>
      </c>
      <c r="CB30" s="160" t="n">
        <f aca="false">IF($BZ30=0,0.3333,(Simulator!J33*Simulator!$D$5+Simulator!K33*Simulator!$D$6)/$BZ30)</f>
        <v>0.8794699014233</v>
      </c>
      <c r="CC30" s="160" t="n">
        <f aca="false">IF($BZ30=0,0.5,(Simulator!J33*Simulator!$D$5+Simulator!K33*Simulator!$D$6+Simulator!L33*Simulator!$D$7)/$BZ30)</f>
        <v>0.950759251726584</v>
      </c>
      <c r="CD30" s="160" t="n">
        <f aca="false">IF($BZ30=0,0.6667,(Simulator!J33*Simulator!$D$5+Simulator!K33*Simulator!$D$6+Simulator!L33*Simulator!$D$7+Simulator!M33*Simulator!$D$8)/$BZ30)</f>
        <v>0.994854438140948</v>
      </c>
      <c r="CE30" s="160" t="n">
        <f aca="false">IF($BZ30=0,0.8333,(Simulator!J33*Simulator!$D$5+Simulator!K33*Simulator!$D$6+Simulator!L33*Simulator!$D$7+Simulator!M33*Simulator!$D$8+Simulator!N33*Simulator!$D$9)/$BZ30)</f>
        <v>0.99970474032008</v>
      </c>
    </row>
    <row r="31" customFormat="false" ht="15" hidden="false" customHeight="false" outlineLevel="0" collapsed="false">
      <c r="A31" s="158" t="s">
        <v>76</v>
      </c>
      <c r="B31" s="159" t="n">
        <f aca="true">RAND()</f>
        <v>0.986875861826587</v>
      </c>
      <c r="C31" s="159" t="n">
        <f aca="true">RAND()</f>
        <v>0.735305082760561</v>
      </c>
      <c r="D31" s="159" t="n">
        <f aca="true">RAND()</f>
        <v>0.455462969972839</v>
      </c>
      <c r="E31" s="159" t="n">
        <f aca="true">RAND()</f>
        <v>0.0190606968365107</v>
      </c>
      <c r="F31" s="159" t="n">
        <f aca="true">RAND()</f>
        <v>0.497414106683269</v>
      </c>
      <c r="G31" s="159" t="n">
        <f aca="true">RAND()</f>
        <v>0.448444761740104</v>
      </c>
      <c r="H31" s="159" t="n">
        <f aca="true">RAND()</f>
        <v>0.393401774247418</v>
      </c>
      <c r="I31" s="159" t="n">
        <f aca="true">RAND()</f>
        <v>0.677894951961579</v>
      </c>
      <c r="J31" s="159" t="n">
        <f aca="true">RAND()</f>
        <v>0.441302023846782</v>
      </c>
      <c r="K31" s="159" t="n">
        <f aca="true">RAND()</f>
        <v>0.0562929665217612</v>
      </c>
      <c r="L31" s="159" t="n">
        <f aca="true">RAND()</f>
        <v>0.564860956208276</v>
      </c>
      <c r="M31" s="159" t="n">
        <f aca="true">RAND()</f>
        <v>0.888419990531222</v>
      </c>
      <c r="N31" s="159" t="n">
        <f aca="true">RAND()</f>
        <v>0.237113134016315</v>
      </c>
      <c r="O31" s="159" t="n">
        <f aca="true">RAND()</f>
        <v>0.555686948273712</v>
      </c>
      <c r="P31" s="159" t="n">
        <f aca="true">RAND()</f>
        <v>0.232059608212312</v>
      </c>
      <c r="Q31" s="159" t="n">
        <f aca="true">RAND()</f>
        <v>0.102254313056634</v>
      </c>
      <c r="R31" s="159" t="n">
        <f aca="true">RAND()</f>
        <v>0.384195402561004</v>
      </c>
      <c r="S31" s="159" t="n">
        <f aca="true">RAND()</f>
        <v>0.694705784559298</v>
      </c>
      <c r="T31" s="159" t="n">
        <f aca="true">RAND()</f>
        <v>0.709713053027538</v>
      </c>
      <c r="U31" s="159" t="n">
        <f aca="true">RAND()</f>
        <v>0.00398469849764387</v>
      </c>
      <c r="V31" s="159" t="n">
        <f aca="true">RAND()</f>
        <v>0.0856529656153748</v>
      </c>
      <c r="W31" s="159" t="n">
        <f aca="true">RAND()</f>
        <v>0.534407357008333</v>
      </c>
      <c r="X31" s="159" t="n">
        <f aca="true">RAND()</f>
        <v>0.959894674427847</v>
      </c>
      <c r="Y31" s="159" t="n">
        <f aca="true">RAND()</f>
        <v>0.459022871852478</v>
      </c>
      <c r="Z31" s="159" t="n">
        <f aca="true">RAND()</f>
        <v>0.860133755876172</v>
      </c>
      <c r="AA31" s="159" t="n">
        <f aca="true">RAND()</f>
        <v>0.0703419795573849</v>
      </c>
      <c r="AB31" s="159" t="n">
        <f aca="true">RAND()</f>
        <v>0.297920023536251</v>
      </c>
      <c r="AC31" s="159" t="n">
        <f aca="true">RAND()</f>
        <v>0.992959209342358</v>
      </c>
      <c r="AD31" s="159" t="n">
        <f aca="true">RAND()</f>
        <v>0.851015709456338</v>
      </c>
      <c r="AE31" s="159" t="n">
        <f aca="true">RAND()</f>
        <v>0.947692551344462</v>
      </c>
      <c r="AF31" s="159" t="n">
        <f aca="true">RAND()</f>
        <v>0.381805249688219</v>
      </c>
      <c r="AG31" s="159" t="n">
        <f aca="true">RAND()</f>
        <v>0.592491670845589</v>
      </c>
      <c r="AH31" s="159" t="n">
        <f aca="true">RAND()</f>
        <v>0.386972277358712</v>
      </c>
      <c r="AI31" s="159" t="n">
        <f aca="true">RAND()</f>
        <v>0.104237456971268</v>
      </c>
      <c r="AJ31" s="159" t="n">
        <f aca="true">RAND()</f>
        <v>0.0368733437853234</v>
      </c>
      <c r="AK31" s="159" t="n">
        <f aca="true">RAND()</f>
        <v>0.924784269290812</v>
      </c>
      <c r="AL31" s="159" t="n">
        <f aca="true">RAND()</f>
        <v>0.447787503724355</v>
      </c>
      <c r="AM31" s="159" t="n">
        <f aca="true">RAND()</f>
        <v>0.785488200095286</v>
      </c>
      <c r="AN31" s="159" t="n">
        <f aca="true">RAND()</f>
        <v>0.958645078319554</v>
      </c>
      <c r="AO31" s="159" t="n">
        <f aca="true">RAND()</f>
        <v>0.808502812169973</v>
      </c>
      <c r="AP31" s="159" t="n">
        <f aca="true">RAND()</f>
        <v>0.822887886467368</v>
      </c>
      <c r="AQ31" s="159" t="n">
        <f aca="true">RAND()</f>
        <v>0.325632259449144</v>
      </c>
      <c r="AR31" s="159" t="n">
        <f aca="true">RAND()</f>
        <v>0.129175291296785</v>
      </c>
      <c r="AS31" s="159" t="n">
        <f aca="true">RAND()</f>
        <v>0.686932625561831</v>
      </c>
      <c r="AT31" s="159" t="n">
        <f aca="true">RAND()</f>
        <v>0.561588878708534</v>
      </c>
      <c r="AU31" s="159" t="n">
        <f aca="true">RAND()</f>
        <v>0.0736759176723835</v>
      </c>
      <c r="AV31" s="159" t="n">
        <f aca="true">RAND()</f>
        <v>0.178320000980464</v>
      </c>
      <c r="AW31" s="159" t="n">
        <f aca="true">RAND()</f>
        <v>0.462008368671607</v>
      </c>
      <c r="AX31" s="159" t="n">
        <f aca="true">RAND()</f>
        <v>0.0689359977324207</v>
      </c>
      <c r="AY31" s="159" t="n">
        <f aca="true">RAND()</f>
        <v>0.0975693053574193</v>
      </c>
      <c r="AZ31" s="159" t="n">
        <f aca="true">RAND()</f>
        <v>0.0228530154205226</v>
      </c>
      <c r="BA31" s="159" t="n">
        <f aca="true">RAND()</f>
        <v>0.566044268027389</v>
      </c>
      <c r="BB31" s="159" t="n">
        <f aca="true">RAND()</f>
        <v>0.17661796265117</v>
      </c>
      <c r="BC31" s="159" t="n">
        <f aca="true">RAND()</f>
        <v>0.460062238618986</v>
      </c>
      <c r="BD31" s="159" t="n">
        <f aca="true">RAND()</f>
        <v>0.756665923797381</v>
      </c>
      <c r="BE31" s="159" t="n">
        <f aca="true">RAND()</f>
        <v>0.675003556561791</v>
      </c>
      <c r="BF31" s="159" t="n">
        <f aca="true">RAND()</f>
        <v>0.439889233115067</v>
      </c>
      <c r="BG31" s="159" t="n">
        <f aca="true">RAND()</f>
        <v>0.636214197037266</v>
      </c>
      <c r="BH31" s="159" t="n">
        <f aca="true">RAND()</f>
        <v>0.335954977085509</v>
      </c>
      <c r="BI31" s="159" t="n">
        <f aca="true">RAND()</f>
        <v>0.606572916844949</v>
      </c>
      <c r="BJ31" s="159" t="n">
        <f aca="true">RAND()</f>
        <v>0.269617699606274</v>
      </c>
      <c r="BK31" s="159" t="n">
        <f aca="true">RAND()</f>
        <v>0.605876610405735</v>
      </c>
      <c r="BL31" s="159" t="n">
        <f aca="true">RAND()</f>
        <v>0.289928840881984</v>
      </c>
      <c r="BM31" s="159" t="n">
        <f aca="true">RAND()</f>
        <v>0.126114630636622</v>
      </c>
      <c r="BN31" s="159" t="n">
        <f aca="true">RAND()</f>
        <v>0.942026048432312</v>
      </c>
      <c r="BO31" s="159" t="n">
        <f aca="true">RAND()</f>
        <v>0.195030213409027</v>
      </c>
      <c r="BP31" s="159" t="n">
        <f aca="true">RAND()</f>
        <v>0.55307605946159</v>
      </c>
      <c r="BQ31" s="159" t="n">
        <f aca="true">RAND()</f>
        <v>0.502655395304496</v>
      </c>
      <c r="BR31" s="159" t="n">
        <f aca="true">RAND()</f>
        <v>0.0707057089168148</v>
      </c>
      <c r="BS31" s="159" t="n">
        <f aca="true">RAND()</f>
        <v>0.176487502082925</v>
      </c>
      <c r="BT31" s="159" t="n">
        <f aca="true">RAND()</f>
        <v>0.655734384649615</v>
      </c>
      <c r="BU31" s="159" t="n">
        <f aca="true">RAND()</f>
        <v>0.636930697845065</v>
      </c>
      <c r="BV31" s="159" t="n">
        <f aca="true">RAND()</f>
        <v>0.214333827184542</v>
      </c>
      <c r="BW31" s="159" t="n">
        <f aca="true">RAND()</f>
        <v>0.504725640053254</v>
      </c>
      <c r="BX31" s="159" t="n">
        <f aca="true">RAND()</f>
        <v>0.90223220495856</v>
      </c>
      <c r="BY31" s="159" t="n">
        <f aca="true">RAND()</f>
        <v>0.822745844097672</v>
      </c>
      <c r="BZ31" s="160" t="n">
        <f aca="false">Simulator!J34*Simulator!$D$5+Simulator!K34*Simulator!$D$6+Simulator!L34*Simulator!$D$7+Simulator!M34*Simulator!$D$8+Simulator!N34*Simulator!$D$9+Simulator!O34*Simulator!$D$10</f>
        <v>0.677081636855054</v>
      </c>
      <c r="CA31" s="160" t="n">
        <f aca="false">IF($BZ31=0,0.1667,(Simulator!J34*Simulator!$D$5)/$BZ31)</f>
        <v>0.399150114173506</v>
      </c>
      <c r="CB31" s="160" t="n">
        <f aca="false">IF($BZ31=0,0.3333,(Simulator!J34*Simulator!$D$5+Simulator!K34*Simulator!$D$6)/$BZ31)</f>
        <v>0.887749469892686</v>
      </c>
      <c r="CC31" s="160" t="n">
        <f aca="false">IF($BZ31=0,0.5,(Simulator!J34*Simulator!$D$5+Simulator!K34*Simulator!$D$6+Simulator!L34*Simulator!$D$7)/$BZ31)</f>
        <v>0.932638992550722</v>
      </c>
      <c r="CD31" s="160" t="n">
        <f aca="false">IF($BZ31=0,0.6667,(Simulator!J34*Simulator!$D$5+Simulator!K34*Simulator!$D$6+Simulator!L34*Simulator!$D$7+Simulator!M34*Simulator!$D$8)/$BZ31)</f>
        <v>0.995187568134733</v>
      </c>
      <c r="CE31" s="160" t="n">
        <f aca="false">IF($BZ31=0,0.8333,(Simulator!J34*Simulator!$D$5+Simulator!K34*Simulator!$D$6+Simulator!L34*Simulator!$D$7+Simulator!M34*Simulator!$D$8+Simulator!N34*Simulator!$D$9)/$BZ31)</f>
        <v>0.99971159406806</v>
      </c>
    </row>
    <row r="32" customFormat="false" ht="15" hidden="false" customHeight="false" outlineLevel="0" collapsed="false">
      <c r="A32" s="158" t="s">
        <v>78</v>
      </c>
      <c r="B32" s="159" t="n">
        <f aca="true">RAND()</f>
        <v>0.100631966636117</v>
      </c>
      <c r="C32" s="159" t="n">
        <f aca="true">RAND()</f>
        <v>0.510273409993466</v>
      </c>
      <c r="D32" s="159" t="n">
        <f aca="true">RAND()</f>
        <v>0.400214967640556</v>
      </c>
      <c r="E32" s="159" t="n">
        <f aca="true">RAND()</f>
        <v>0.379503147161713</v>
      </c>
      <c r="F32" s="159" t="n">
        <f aca="true">RAND()</f>
        <v>0.828357684702258</v>
      </c>
      <c r="G32" s="159" t="n">
        <f aca="true">RAND()</f>
        <v>0.904175757107126</v>
      </c>
      <c r="H32" s="159" t="n">
        <f aca="true">RAND()</f>
        <v>0.83145653153436</v>
      </c>
      <c r="I32" s="159" t="n">
        <f aca="true">RAND()</f>
        <v>0.622268524604205</v>
      </c>
      <c r="J32" s="159" t="n">
        <f aca="true">RAND()</f>
        <v>0.810866693677629</v>
      </c>
      <c r="K32" s="159" t="n">
        <f aca="true">RAND()</f>
        <v>0.256885430242073</v>
      </c>
      <c r="L32" s="159" t="n">
        <f aca="true">RAND()</f>
        <v>0.507720575461174</v>
      </c>
      <c r="M32" s="159" t="n">
        <f aca="true">RAND()</f>
        <v>0.403881495656839</v>
      </c>
      <c r="N32" s="159" t="n">
        <f aca="true">RAND()</f>
        <v>0.371638563593763</v>
      </c>
      <c r="O32" s="159" t="n">
        <f aca="true">RAND()</f>
        <v>0.583719594422969</v>
      </c>
      <c r="P32" s="159" t="n">
        <f aca="true">RAND()</f>
        <v>0.428327123643285</v>
      </c>
      <c r="Q32" s="159" t="n">
        <f aca="true">RAND()</f>
        <v>0.912973824114854</v>
      </c>
      <c r="R32" s="159" t="n">
        <f aca="true">RAND()</f>
        <v>0.981220645098584</v>
      </c>
      <c r="S32" s="159" t="n">
        <f aca="true">RAND()</f>
        <v>0.240911885820179</v>
      </c>
      <c r="T32" s="159" t="n">
        <f aca="true">RAND()</f>
        <v>0.325755060589543</v>
      </c>
      <c r="U32" s="159" t="n">
        <f aca="true">RAND()</f>
        <v>0.499520431816806</v>
      </c>
      <c r="V32" s="159" t="n">
        <f aca="true">RAND()</f>
        <v>0.182654949391039</v>
      </c>
      <c r="W32" s="159" t="n">
        <f aca="true">RAND()</f>
        <v>0.608394866050269</v>
      </c>
      <c r="X32" s="159" t="n">
        <f aca="true">RAND()</f>
        <v>0.591448460033946</v>
      </c>
      <c r="Y32" s="159" t="n">
        <f aca="true">RAND()</f>
        <v>0.333817568311861</v>
      </c>
      <c r="Z32" s="159" t="n">
        <f aca="true">RAND()</f>
        <v>0.787904626730144</v>
      </c>
      <c r="AA32" s="159" t="n">
        <f aca="true">RAND()</f>
        <v>0.282332751875143</v>
      </c>
      <c r="AB32" s="159" t="n">
        <f aca="true">RAND()</f>
        <v>0.465315115078514</v>
      </c>
      <c r="AC32" s="159" t="n">
        <f aca="true">RAND()</f>
        <v>0.477809292993387</v>
      </c>
      <c r="AD32" s="159" t="n">
        <f aca="true">RAND()</f>
        <v>0.719276444799564</v>
      </c>
      <c r="AE32" s="159" t="n">
        <f aca="true">RAND()</f>
        <v>0.693660085864445</v>
      </c>
      <c r="AF32" s="159" t="n">
        <f aca="true">RAND()</f>
        <v>0.869583550775606</v>
      </c>
      <c r="AG32" s="159" t="n">
        <f aca="true">RAND()</f>
        <v>0.313685439738139</v>
      </c>
      <c r="AH32" s="159" t="n">
        <f aca="true">RAND()</f>
        <v>0.577028096614996</v>
      </c>
      <c r="AI32" s="159" t="n">
        <f aca="true">RAND()</f>
        <v>0.538928151260544</v>
      </c>
      <c r="AJ32" s="159" t="n">
        <f aca="true">RAND()</f>
        <v>0.0515494428112111</v>
      </c>
      <c r="AK32" s="159" t="n">
        <f aca="true">RAND()</f>
        <v>0.67063739335153</v>
      </c>
      <c r="AL32" s="159" t="n">
        <f aca="true">RAND()</f>
        <v>0.812686053716838</v>
      </c>
      <c r="AM32" s="159" t="n">
        <f aca="true">RAND()</f>
        <v>0.497268149849164</v>
      </c>
      <c r="AN32" s="159" t="n">
        <f aca="true">RAND()</f>
        <v>0.489387466282069</v>
      </c>
      <c r="AO32" s="159" t="n">
        <f aca="true">RAND()</f>
        <v>0.76489741623383</v>
      </c>
      <c r="AP32" s="159" t="n">
        <f aca="true">RAND()</f>
        <v>0.222436654833524</v>
      </c>
      <c r="AQ32" s="159" t="n">
        <f aca="true">RAND()</f>
        <v>0.602767264090673</v>
      </c>
      <c r="AR32" s="159" t="n">
        <f aca="true">RAND()</f>
        <v>0.528620526410904</v>
      </c>
      <c r="AS32" s="159" t="n">
        <f aca="true">RAND()</f>
        <v>0.522124092384164</v>
      </c>
      <c r="AT32" s="159" t="n">
        <f aca="true">RAND()</f>
        <v>0.656127092818952</v>
      </c>
      <c r="AU32" s="159" t="n">
        <f aca="true">RAND()</f>
        <v>0.655483535477219</v>
      </c>
      <c r="AV32" s="159" t="n">
        <f aca="true">RAND()</f>
        <v>0.0902617381796896</v>
      </c>
      <c r="AW32" s="159" t="n">
        <f aca="true">RAND()</f>
        <v>0.119015273133473</v>
      </c>
      <c r="AX32" s="159" t="n">
        <f aca="true">RAND()</f>
        <v>0.131689044543848</v>
      </c>
      <c r="AY32" s="159" t="n">
        <f aca="true">RAND()</f>
        <v>0.536850068414245</v>
      </c>
      <c r="AZ32" s="159" t="n">
        <f aca="true">RAND()</f>
        <v>0.688124020182273</v>
      </c>
      <c r="BA32" s="159" t="n">
        <f aca="true">RAND()</f>
        <v>0.496076012477579</v>
      </c>
      <c r="BB32" s="159" t="n">
        <f aca="true">RAND()</f>
        <v>0.398299974264442</v>
      </c>
      <c r="BC32" s="159" t="n">
        <f aca="true">RAND()</f>
        <v>0.742448926171287</v>
      </c>
      <c r="BD32" s="159" t="n">
        <f aca="true">RAND()</f>
        <v>0.220621129263281</v>
      </c>
      <c r="BE32" s="159" t="n">
        <f aca="true">RAND()</f>
        <v>0.759589996738936</v>
      </c>
      <c r="BF32" s="159" t="n">
        <f aca="true">RAND()</f>
        <v>0.544307595415047</v>
      </c>
      <c r="BG32" s="159" t="n">
        <f aca="true">RAND()</f>
        <v>0.58095265185059</v>
      </c>
      <c r="BH32" s="159" t="n">
        <f aca="true">RAND()</f>
        <v>0.424747310882176</v>
      </c>
      <c r="BI32" s="159" t="n">
        <f aca="true">RAND()</f>
        <v>0.107513346401712</v>
      </c>
      <c r="BJ32" s="159" t="n">
        <f aca="true">RAND()</f>
        <v>0.0917333632863515</v>
      </c>
      <c r="BK32" s="159" t="n">
        <f aca="true">RAND()</f>
        <v>0.426097633344569</v>
      </c>
      <c r="BL32" s="159" t="n">
        <f aca="true">RAND()</f>
        <v>0.931905738144179</v>
      </c>
      <c r="BM32" s="159" t="n">
        <f aca="true">RAND()</f>
        <v>0.958235118835912</v>
      </c>
      <c r="BN32" s="159" t="n">
        <f aca="true">RAND()</f>
        <v>0.164209298142823</v>
      </c>
      <c r="BO32" s="159" t="n">
        <f aca="true">RAND()</f>
        <v>0.635096442244216</v>
      </c>
      <c r="BP32" s="159" t="n">
        <f aca="true">RAND()</f>
        <v>0.321556302647319</v>
      </c>
      <c r="BQ32" s="159" t="n">
        <f aca="true">RAND()</f>
        <v>0.218395376753368</v>
      </c>
      <c r="BR32" s="159" t="n">
        <f aca="true">RAND()</f>
        <v>0.873233522627555</v>
      </c>
      <c r="BS32" s="159" t="n">
        <f aca="true">RAND()</f>
        <v>0.157258556417507</v>
      </c>
      <c r="BT32" s="159" t="n">
        <f aca="true">RAND()</f>
        <v>0.00937114169254913</v>
      </c>
      <c r="BU32" s="159" t="n">
        <f aca="true">RAND()</f>
        <v>0.858093595581914</v>
      </c>
      <c r="BV32" s="159" t="n">
        <f aca="true">RAND()</f>
        <v>0.374407196532785</v>
      </c>
      <c r="BW32" s="159" t="n">
        <f aca="true">RAND()</f>
        <v>0.0906817865576264</v>
      </c>
      <c r="BX32" s="159" t="n">
        <f aca="true">RAND()</f>
        <v>0.731530161013498</v>
      </c>
      <c r="BY32" s="159" t="n">
        <f aca="true">RAND()</f>
        <v>0.562438238150805</v>
      </c>
      <c r="BZ32" s="160" t="n">
        <f aca="false">Simulator!J35*Simulator!$D$5+Simulator!K35*Simulator!$D$6+Simulator!L35*Simulator!$D$7+Simulator!M35*Simulator!$D$8+Simulator!N35*Simulator!$D$9+Simulator!O35*Simulator!$D$10</f>
        <v>0.661122731608669</v>
      </c>
      <c r="CA32" s="160" t="n">
        <f aca="false">IF($BZ32=0,0.1667,(Simulator!J35*Simulator!$D$5)/$BZ32)</f>
        <v>0.29292567784232</v>
      </c>
      <c r="CB32" s="160" t="n">
        <f aca="false">IF($BZ32=0,0.3333,(Simulator!J35*Simulator!$D$5+Simulator!K35*Simulator!$D$6)/$BZ32)</f>
        <v>0.884046654928759</v>
      </c>
      <c r="CC32" s="160" t="n">
        <f aca="false">IF($BZ32=0,0.5,(Simulator!J35*Simulator!$D$5+Simulator!K35*Simulator!$D$6+Simulator!L35*Simulator!$D$7)/$BZ32)</f>
        <v>0.953783995560215</v>
      </c>
      <c r="CD32" s="160" t="n">
        <f aca="false">IF($BZ32=0,0.6667,(Simulator!J35*Simulator!$D$5+Simulator!K35*Simulator!$D$6+Simulator!L35*Simulator!$D$7+Simulator!M35*Simulator!$D$8)/$BZ32)</f>
        <v>0.993905022479148</v>
      </c>
      <c r="CE32" s="160" t="n">
        <f aca="false">IF($BZ32=0,0.8333,(Simulator!J35*Simulator!$D$5+Simulator!K35*Simulator!$D$6+Simulator!L35*Simulator!$D$7+Simulator!M35*Simulator!$D$8+Simulator!N35*Simulator!$D$9)/$BZ32)</f>
        <v>0.999704632209512</v>
      </c>
    </row>
    <row r="33" customFormat="false" ht="15" hidden="false" customHeight="false" outlineLevel="0" collapsed="false">
      <c r="A33" s="158" t="s">
        <v>80</v>
      </c>
      <c r="B33" s="159" t="n">
        <f aca="true">RAND()</f>
        <v>0.00589530580266222</v>
      </c>
      <c r="C33" s="159" t="n">
        <f aca="true">RAND()</f>
        <v>0.434649042786884</v>
      </c>
      <c r="D33" s="159" t="n">
        <f aca="true">RAND()</f>
        <v>0.0941774217701807</v>
      </c>
      <c r="E33" s="159" t="n">
        <f aca="true">RAND()</f>
        <v>0.0606072845771938</v>
      </c>
      <c r="F33" s="159" t="n">
        <f aca="true">RAND()</f>
        <v>0.790549319730544</v>
      </c>
      <c r="G33" s="159" t="n">
        <f aca="true">RAND()</f>
        <v>0.187059462509036</v>
      </c>
      <c r="H33" s="159" t="n">
        <f aca="true">RAND()</f>
        <v>0.530383587843278</v>
      </c>
      <c r="I33" s="159" t="n">
        <f aca="true">RAND()</f>
        <v>0.778374428474062</v>
      </c>
      <c r="J33" s="159" t="n">
        <f aca="true">RAND()</f>
        <v>0.883212777580695</v>
      </c>
      <c r="K33" s="159" t="n">
        <f aca="true">RAND()</f>
        <v>0.886926037443996</v>
      </c>
      <c r="L33" s="159" t="n">
        <f aca="true">RAND()</f>
        <v>0.697795201161432</v>
      </c>
      <c r="M33" s="159" t="n">
        <f aca="true">RAND()</f>
        <v>0.433887884884728</v>
      </c>
      <c r="N33" s="159" t="n">
        <f aca="true">RAND()</f>
        <v>0.0429927632916185</v>
      </c>
      <c r="O33" s="159" t="n">
        <f aca="true">RAND()</f>
        <v>0.824783018866051</v>
      </c>
      <c r="P33" s="159" t="n">
        <f aca="true">RAND()</f>
        <v>0.140287775687107</v>
      </c>
      <c r="Q33" s="159" t="n">
        <f aca="true">RAND()</f>
        <v>0.122832063389598</v>
      </c>
      <c r="R33" s="159" t="n">
        <f aca="true">RAND()</f>
        <v>0.815066638845023</v>
      </c>
      <c r="S33" s="159" t="n">
        <f aca="true">RAND()</f>
        <v>0.213998885586632</v>
      </c>
      <c r="T33" s="159" t="n">
        <f aca="true">RAND()</f>
        <v>0.857949189804025</v>
      </c>
      <c r="U33" s="159" t="n">
        <f aca="true">RAND()</f>
        <v>0.487216514008164</v>
      </c>
      <c r="V33" s="159" t="n">
        <f aca="true">RAND()</f>
        <v>0.836279103281264</v>
      </c>
      <c r="W33" s="159" t="n">
        <f aca="true">RAND()</f>
        <v>0.360439651273281</v>
      </c>
      <c r="X33" s="159" t="n">
        <f aca="true">RAND()</f>
        <v>0.67827982933704</v>
      </c>
      <c r="Y33" s="159" t="n">
        <f aca="true">RAND()</f>
        <v>0.285622268764717</v>
      </c>
      <c r="Z33" s="159" t="n">
        <f aca="true">RAND()</f>
        <v>0.217394596236538</v>
      </c>
      <c r="AA33" s="159" t="n">
        <f aca="true">RAND()</f>
        <v>0.365334150352647</v>
      </c>
      <c r="AB33" s="159" t="n">
        <f aca="true">RAND()</f>
        <v>0.373491336705329</v>
      </c>
      <c r="AC33" s="159" t="n">
        <f aca="true">RAND()</f>
        <v>0.64613611897738</v>
      </c>
      <c r="AD33" s="159" t="n">
        <f aca="true">RAND()</f>
        <v>0.472366703315478</v>
      </c>
      <c r="AE33" s="159" t="n">
        <f aca="true">RAND()</f>
        <v>0.275892985784205</v>
      </c>
      <c r="AF33" s="159" t="n">
        <f aca="true">RAND()</f>
        <v>0.0378863215676186</v>
      </c>
      <c r="AG33" s="159" t="n">
        <f aca="true">RAND()</f>
        <v>0.276390154691723</v>
      </c>
      <c r="AH33" s="159" t="n">
        <f aca="true">RAND()</f>
        <v>0.81827251496169</v>
      </c>
      <c r="AI33" s="159" t="n">
        <f aca="true">RAND()</f>
        <v>0.00171133765113108</v>
      </c>
      <c r="AJ33" s="159" t="n">
        <f aca="true">RAND()</f>
        <v>0.13751676303881</v>
      </c>
      <c r="AK33" s="159" t="n">
        <f aca="true">RAND()</f>
        <v>0.730508635847314</v>
      </c>
      <c r="AL33" s="159" t="n">
        <f aca="true">RAND()</f>
        <v>0.646223969291725</v>
      </c>
      <c r="AM33" s="159" t="n">
        <f aca="true">RAND()</f>
        <v>0.977627819453435</v>
      </c>
      <c r="AN33" s="159" t="n">
        <f aca="true">RAND()</f>
        <v>0.524680958132625</v>
      </c>
      <c r="AO33" s="159" t="n">
        <f aca="true">RAND()</f>
        <v>0.342204732735812</v>
      </c>
      <c r="AP33" s="159" t="n">
        <f aca="true">RAND()</f>
        <v>0.930505683644163</v>
      </c>
      <c r="AQ33" s="159" t="n">
        <f aca="true">RAND()</f>
        <v>0.584628238345142</v>
      </c>
      <c r="AR33" s="159" t="n">
        <f aca="true">RAND()</f>
        <v>0.949437404534179</v>
      </c>
      <c r="AS33" s="159" t="n">
        <f aca="true">RAND()</f>
        <v>0.417397203767277</v>
      </c>
      <c r="AT33" s="159" t="n">
        <f aca="true">RAND()</f>
        <v>0.455182618508735</v>
      </c>
      <c r="AU33" s="159" t="n">
        <f aca="true">RAND()</f>
        <v>0.734528032833979</v>
      </c>
      <c r="AV33" s="159" t="n">
        <f aca="true">RAND()</f>
        <v>0.784068207370176</v>
      </c>
      <c r="AW33" s="159" t="n">
        <f aca="true">RAND()</f>
        <v>0.588998121631109</v>
      </c>
      <c r="AX33" s="159" t="n">
        <f aca="true">RAND()</f>
        <v>0.397556720804751</v>
      </c>
      <c r="AY33" s="159" t="n">
        <f aca="true">RAND()</f>
        <v>0.715825011166774</v>
      </c>
      <c r="AZ33" s="159" t="n">
        <f aca="true">RAND()</f>
        <v>0.558733721726462</v>
      </c>
      <c r="BA33" s="159" t="n">
        <f aca="true">RAND()</f>
        <v>0.450349544447606</v>
      </c>
      <c r="BB33" s="159" t="n">
        <f aca="true">RAND()</f>
        <v>0.752762708484219</v>
      </c>
      <c r="BC33" s="159" t="n">
        <f aca="true">RAND()</f>
        <v>0.56635755724457</v>
      </c>
      <c r="BD33" s="159" t="n">
        <f aca="true">RAND()</f>
        <v>0.161287518704194</v>
      </c>
      <c r="BE33" s="159" t="n">
        <f aca="true">RAND()</f>
        <v>0.135556700551468</v>
      </c>
      <c r="BF33" s="159" t="n">
        <f aca="true">RAND()</f>
        <v>0.330403851507515</v>
      </c>
      <c r="BG33" s="159" t="n">
        <f aca="true">RAND()</f>
        <v>0.919364987258306</v>
      </c>
      <c r="BH33" s="159" t="n">
        <f aca="true">RAND()</f>
        <v>0.198432626542406</v>
      </c>
      <c r="BI33" s="159" t="n">
        <f aca="true">RAND()</f>
        <v>0.0185537952474818</v>
      </c>
      <c r="BJ33" s="159" t="n">
        <f aca="true">RAND()</f>
        <v>0.713040230879008</v>
      </c>
      <c r="BK33" s="159" t="n">
        <f aca="true">RAND()</f>
        <v>0.631290458049222</v>
      </c>
      <c r="BL33" s="159" t="n">
        <f aca="true">RAND()</f>
        <v>0.484955350956651</v>
      </c>
      <c r="BM33" s="159" t="n">
        <f aca="true">RAND()</f>
        <v>0.327997625543124</v>
      </c>
      <c r="BN33" s="159" t="n">
        <f aca="true">RAND()</f>
        <v>0.607020349703119</v>
      </c>
      <c r="BO33" s="159" t="n">
        <f aca="true">RAND()</f>
        <v>0.00290334040355733</v>
      </c>
      <c r="BP33" s="159" t="n">
        <f aca="true">RAND()</f>
        <v>0.510372349610468</v>
      </c>
      <c r="BQ33" s="159" t="n">
        <f aca="true">RAND()</f>
        <v>0.895672886071776</v>
      </c>
      <c r="BR33" s="159" t="n">
        <f aca="true">RAND()</f>
        <v>0.553656862902534</v>
      </c>
      <c r="BS33" s="159" t="n">
        <f aca="true">RAND()</f>
        <v>0.512899787676339</v>
      </c>
      <c r="BT33" s="159" t="n">
        <f aca="true">RAND()</f>
        <v>0.554915814953537</v>
      </c>
      <c r="BU33" s="159" t="n">
        <f aca="true">RAND()</f>
        <v>0.863239667019413</v>
      </c>
      <c r="BV33" s="159" t="n">
        <f aca="true">RAND()</f>
        <v>0.714528367688304</v>
      </c>
      <c r="BW33" s="159" t="n">
        <f aca="true">RAND()</f>
        <v>0.239476344804568</v>
      </c>
      <c r="BX33" s="159" t="n">
        <f aca="true">RAND()</f>
        <v>0.621492336128081</v>
      </c>
      <c r="BY33" s="159" t="n">
        <f aca="true">RAND()</f>
        <v>0.94013555118098</v>
      </c>
      <c r="BZ33" s="160" t="n">
        <f aca="false">Simulator!J36*Simulator!$D$5+Simulator!K36*Simulator!$D$6+Simulator!L36*Simulator!$D$7+Simulator!M36*Simulator!$D$8+Simulator!N36*Simulator!$D$9+Simulator!O36*Simulator!$D$10</f>
        <v>0.647899648790087</v>
      </c>
      <c r="CA33" s="160" t="n">
        <f aca="false">IF($BZ33=0,0.1667,(Simulator!J36*Simulator!$D$5)/$BZ33)</f>
        <v>0.417902609919561</v>
      </c>
      <c r="CB33" s="160" t="n">
        <f aca="false">IF($BZ33=0,0.3333,(Simulator!J36*Simulator!$D$5+Simulator!K36*Simulator!$D$6)/$BZ33)</f>
        <v>0.872282633179934</v>
      </c>
      <c r="CC33" s="160" t="n">
        <f aca="false">IF($BZ33=0,0.5,(Simulator!J36*Simulator!$D$5+Simulator!K36*Simulator!$D$6+Simulator!L36*Simulator!$D$7)/$BZ33)</f>
        <v>0.922240216408956</v>
      </c>
      <c r="CD33" s="160" t="n">
        <f aca="false">IF($BZ33=0,0.6667,(Simulator!J36*Simulator!$D$5+Simulator!K36*Simulator!$D$6+Simulator!L36*Simulator!$D$7+Simulator!M36*Simulator!$D$8)/$BZ33)</f>
        <v>0.994510926686019</v>
      </c>
      <c r="CE33" s="160" t="n">
        <f aca="false">IF($BZ33=0,0.8333,(Simulator!J36*Simulator!$D$5+Simulator!K36*Simulator!$D$6+Simulator!L36*Simulator!$D$7+Simulator!M36*Simulator!$D$8+Simulator!N36*Simulator!$D$9)/$BZ33)</f>
        <v>0.999698604003195</v>
      </c>
    </row>
    <row r="34" customFormat="false" ht="15" hidden="false" customHeight="false" outlineLevel="0" collapsed="false">
      <c r="A34" s="158" t="s">
        <v>82</v>
      </c>
      <c r="B34" s="159" t="n">
        <f aca="true">RAND()</f>
        <v>0.204860809747132</v>
      </c>
      <c r="C34" s="159" t="n">
        <f aca="true">RAND()</f>
        <v>0.903031530934899</v>
      </c>
      <c r="D34" s="159" t="n">
        <f aca="true">RAND()</f>
        <v>0.653955183818508</v>
      </c>
      <c r="E34" s="159" t="n">
        <f aca="true">RAND()</f>
        <v>0.366335108750047</v>
      </c>
      <c r="F34" s="159" t="n">
        <f aca="true">RAND()</f>
        <v>0.667178046158737</v>
      </c>
      <c r="G34" s="159" t="n">
        <f aca="true">RAND()</f>
        <v>0.244976173097418</v>
      </c>
      <c r="H34" s="159" t="n">
        <f aca="true">RAND()</f>
        <v>0.204076089105851</v>
      </c>
      <c r="I34" s="159" t="n">
        <f aca="true">RAND()</f>
        <v>0.969948118758105</v>
      </c>
      <c r="J34" s="159" t="n">
        <f aca="true">RAND()</f>
        <v>0.391294960471767</v>
      </c>
      <c r="K34" s="159" t="n">
        <f aca="true">RAND()</f>
        <v>0.155626471655374</v>
      </c>
      <c r="L34" s="159" t="n">
        <f aca="true">RAND()</f>
        <v>0.259292201843868</v>
      </c>
      <c r="M34" s="159" t="n">
        <f aca="true">RAND()</f>
        <v>0.881388899880852</v>
      </c>
      <c r="N34" s="159" t="n">
        <f aca="true">RAND()</f>
        <v>0.614452505772379</v>
      </c>
      <c r="O34" s="159" t="n">
        <f aca="true">RAND()</f>
        <v>0.52483339831392</v>
      </c>
      <c r="P34" s="159" t="n">
        <f aca="true">RAND()</f>
        <v>0.116000423427943</v>
      </c>
      <c r="Q34" s="159" t="n">
        <f aca="true">RAND()</f>
        <v>0.985148099182355</v>
      </c>
      <c r="R34" s="159" t="n">
        <f aca="true">RAND()</f>
        <v>0.266862418537448</v>
      </c>
      <c r="S34" s="159" t="n">
        <f aca="true">RAND()</f>
        <v>0.456545815603054</v>
      </c>
      <c r="T34" s="159" t="n">
        <f aca="true">RAND()</f>
        <v>0.929622818251145</v>
      </c>
      <c r="U34" s="159" t="n">
        <f aca="true">RAND()</f>
        <v>0.998541090910116</v>
      </c>
      <c r="V34" s="159" t="n">
        <f aca="true">RAND()</f>
        <v>0.239876341368093</v>
      </c>
      <c r="W34" s="159" t="n">
        <f aca="true">RAND()</f>
        <v>0.0153086565928605</v>
      </c>
      <c r="X34" s="159" t="n">
        <f aca="true">RAND()</f>
        <v>0.926221021431368</v>
      </c>
      <c r="Y34" s="159" t="n">
        <f aca="true">RAND()</f>
        <v>0.234069461498051</v>
      </c>
      <c r="Z34" s="159" t="n">
        <f aca="true">RAND()</f>
        <v>0.09243058843919</v>
      </c>
      <c r="AA34" s="159" t="n">
        <f aca="true">RAND()</f>
        <v>0.384417911712613</v>
      </c>
      <c r="AB34" s="159" t="n">
        <f aca="true">RAND()</f>
        <v>0.326571338056902</v>
      </c>
      <c r="AC34" s="159" t="n">
        <f aca="true">RAND()</f>
        <v>0.0591503984348008</v>
      </c>
      <c r="AD34" s="159" t="n">
        <f aca="true">RAND()</f>
        <v>0.983310462727856</v>
      </c>
      <c r="AE34" s="159" t="n">
        <f aca="true">RAND()</f>
        <v>0.585057738481165</v>
      </c>
      <c r="AF34" s="159" t="n">
        <f aca="true">RAND()</f>
        <v>0.825878013761689</v>
      </c>
      <c r="AG34" s="159" t="n">
        <f aca="true">RAND()</f>
        <v>0.940043776832607</v>
      </c>
      <c r="AH34" s="159" t="n">
        <f aca="true">RAND()</f>
        <v>0.298704931573284</v>
      </c>
      <c r="AI34" s="159" t="n">
        <f aca="true">RAND()</f>
        <v>0.0178603036218431</v>
      </c>
      <c r="AJ34" s="159" t="n">
        <f aca="true">RAND()</f>
        <v>0.85472376791707</v>
      </c>
      <c r="AK34" s="159" t="n">
        <f aca="true">RAND()</f>
        <v>0.89350751414404</v>
      </c>
      <c r="AL34" s="159" t="n">
        <f aca="true">RAND()</f>
        <v>0.680642971978343</v>
      </c>
      <c r="AM34" s="159" t="n">
        <f aca="true">RAND()</f>
        <v>0.658862991682864</v>
      </c>
      <c r="AN34" s="159" t="n">
        <f aca="true">RAND()</f>
        <v>0.175490347918441</v>
      </c>
      <c r="AO34" s="159" t="n">
        <f aca="true">RAND()</f>
        <v>0.939747865588432</v>
      </c>
      <c r="AP34" s="159" t="n">
        <f aca="true">RAND()</f>
        <v>0.154259345791438</v>
      </c>
      <c r="AQ34" s="159" t="n">
        <f aca="true">RAND()</f>
        <v>0.18065110685534</v>
      </c>
      <c r="AR34" s="159" t="n">
        <f aca="true">RAND()</f>
        <v>0.692918640670233</v>
      </c>
      <c r="AS34" s="159" t="n">
        <f aca="true">RAND()</f>
        <v>0.00602374832803487</v>
      </c>
      <c r="AT34" s="159" t="n">
        <f aca="true">RAND()</f>
        <v>0.225847394975799</v>
      </c>
      <c r="AU34" s="159" t="n">
        <f aca="true">RAND()</f>
        <v>0.18037744163671</v>
      </c>
      <c r="AV34" s="159" t="n">
        <f aca="true">RAND()</f>
        <v>0.488455715788455</v>
      </c>
      <c r="AW34" s="159" t="n">
        <f aca="true">RAND()</f>
        <v>0.951192535698242</v>
      </c>
      <c r="AX34" s="159" t="n">
        <f aca="true">RAND()</f>
        <v>0.864392959956204</v>
      </c>
      <c r="AY34" s="159" t="n">
        <f aca="true">RAND()</f>
        <v>0.0539402934048521</v>
      </c>
      <c r="AZ34" s="159" t="n">
        <f aca="true">RAND()</f>
        <v>0.396327601666702</v>
      </c>
      <c r="BA34" s="159" t="n">
        <f aca="true">RAND()</f>
        <v>0.503180421911957</v>
      </c>
      <c r="BB34" s="159" t="n">
        <f aca="true">RAND()</f>
        <v>0.904967397033553</v>
      </c>
      <c r="BC34" s="159" t="n">
        <f aca="true">RAND()</f>
        <v>0.328590600414771</v>
      </c>
      <c r="BD34" s="159" t="n">
        <f aca="true">RAND()</f>
        <v>0.763440535120008</v>
      </c>
      <c r="BE34" s="159" t="n">
        <f aca="true">RAND()</f>
        <v>0.226057034308239</v>
      </c>
      <c r="BF34" s="159" t="n">
        <f aca="true">RAND()</f>
        <v>0.510866492682935</v>
      </c>
      <c r="BG34" s="159" t="n">
        <f aca="true">RAND()</f>
        <v>0.671577261558517</v>
      </c>
      <c r="BH34" s="159" t="n">
        <f aca="true">RAND()</f>
        <v>0.980073758416728</v>
      </c>
      <c r="BI34" s="159" t="n">
        <f aca="true">RAND()</f>
        <v>0.662882641631412</v>
      </c>
      <c r="BJ34" s="159" t="n">
        <f aca="true">RAND()</f>
        <v>0.859760813655069</v>
      </c>
      <c r="BK34" s="159" t="n">
        <f aca="true">RAND()</f>
        <v>0.0151314253510044</v>
      </c>
      <c r="BL34" s="159" t="n">
        <f aca="true">RAND()</f>
        <v>0.739401859559322</v>
      </c>
      <c r="BM34" s="159" t="n">
        <f aca="true">RAND()</f>
        <v>0.569643649363266</v>
      </c>
      <c r="BN34" s="159" t="n">
        <f aca="true">RAND()</f>
        <v>0.946007282003423</v>
      </c>
      <c r="BO34" s="159" t="n">
        <f aca="true">RAND()</f>
        <v>0.0344391119970135</v>
      </c>
      <c r="BP34" s="159" t="n">
        <f aca="true">RAND()</f>
        <v>0.50748099852378</v>
      </c>
      <c r="BQ34" s="159" t="n">
        <f aca="true">RAND()</f>
        <v>0.268057919366723</v>
      </c>
      <c r="BR34" s="159" t="n">
        <f aca="true">RAND()</f>
        <v>0.195487896361081</v>
      </c>
      <c r="BS34" s="159" t="n">
        <f aca="true">RAND()</f>
        <v>0.231540696774764</v>
      </c>
      <c r="BT34" s="159" t="n">
        <f aca="true">RAND()</f>
        <v>0.311800364667157</v>
      </c>
      <c r="BU34" s="159" t="n">
        <f aca="true">RAND()</f>
        <v>0.31775278635623</v>
      </c>
      <c r="BV34" s="159" t="n">
        <f aca="true">RAND()</f>
        <v>0.359415537734184</v>
      </c>
      <c r="BW34" s="159" t="n">
        <f aca="true">RAND()</f>
        <v>0.401722652992051</v>
      </c>
      <c r="BX34" s="159" t="n">
        <f aca="true">RAND()</f>
        <v>0.480908877477866</v>
      </c>
      <c r="BY34" s="159" t="n">
        <f aca="true">RAND()</f>
        <v>0.284630273089561</v>
      </c>
      <c r="BZ34" s="160" t="n">
        <f aca="false">Simulator!J37*Simulator!$D$5+Simulator!K37*Simulator!$D$6+Simulator!L37*Simulator!$D$7+Simulator!M37*Simulator!$D$8+Simulator!N37*Simulator!$D$9+Simulator!O37*Simulator!$D$10</f>
        <v>0.682101044025632</v>
      </c>
      <c r="CA34" s="160" t="n">
        <f aca="false">IF($BZ34=0,0.1667,(Simulator!J37*Simulator!$D$5)/$BZ34)</f>
        <v>0.327827766820505</v>
      </c>
      <c r="CB34" s="160" t="n">
        <f aca="false">IF($BZ34=0,0.3333,(Simulator!J37*Simulator!$D$5+Simulator!K37*Simulator!$D$6)/$BZ34)</f>
        <v>0.891338751986003</v>
      </c>
      <c r="CC34" s="160" t="n">
        <f aca="false">IF($BZ34=0,0.5,(Simulator!J37*Simulator!$D$5+Simulator!K37*Simulator!$D$6+Simulator!L37*Simulator!$D$7)/$BZ34)</f>
        <v>0.94236611172167</v>
      </c>
      <c r="CD34" s="160" t="n">
        <f aca="false">IF($BZ34=0,0.6667,(Simulator!J37*Simulator!$D$5+Simulator!K37*Simulator!$D$6+Simulator!L37*Simulator!$D$7+Simulator!M37*Simulator!$D$8)/$BZ34)</f>
        <v>0.995085045433766</v>
      </c>
      <c r="CE34" s="160" t="n">
        <f aca="false">IF($BZ34=0,0.8333,(Simulator!J37*Simulator!$D$5+Simulator!K37*Simulator!$D$6+Simulator!L37*Simulator!$D$7+Simulator!M37*Simulator!$D$8+Simulator!N37*Simulator!$D$9)/$BZ34)</f>
        <v>0.999713716373568</v>
      </c>
    </row>
    <row r="35" customFormat="false" ht="15" hidden="false" customHeight="false" outlineLevel="0" collapsed="false">
      <c r="A35" s="158" t="s">
        <v>83</v>
      </c>
      <c r="B35" s="159" t="n">
        <f aca="true">RAND()</f>
        <v>0.368175726919781</v>
      </c>
      <c r="C35" s="159" t="n">
        <f aca="true">RAND()</f>
        <v>0.615829884823974</v>
      </c>
      <c r="D35" s="159" t="n">
        <f aca="true">RAND()</f>
        <v>0.0740334830036437</v>
      </c>
      <c r="E35" s="159" t="n">
        <f aca="true">RAND()</f>
        <v>0.476206943156571</v>
      </c>
      <c r="F35" s="159" t="n">
        <f aca="true">RAND()</f>
        <v>0.325136928960883</v>
      </c>
      <c r="G35" s="159" t="n">
        <f aca="true">RAND()</f>
        <v>0.0756025133710343</v>
      </c>
      <c r="H35" s="159" t="n">
        <f aca="true">RAND()</f>
        <v>0.364064975547287</v>
      </c>
      <c r="I35" s="159" t="n">
        <f aca="true">RAND()</f>
        <v>0.913588344297099</v>
      </c>
      <c r="J35" s="159" t="n">
        <f aca="true">RAND()</f>
        <v>0.0975925059493428</v>
      </c>
      <c r="K35" s="159" t="n">
        <f aca="true">RAND()</f>
        <v>0.364679391718425</v>
      </c>
      <c r="L35" s="159" t="n">
        <f aca="true">RAND()</f>
        <v>0.0648608779706601</v>
      </c>
      <c r="M35" s="159" t="n">
        <f aca="true">RAND()</f>
        <v>0.168907083306745</v>
      </c>
      <c r="N35" s="159" t="n">
        <f aca="true">RAND()</f>
        <v>0.487942070010745</v>
      </c>
      <c r="O35" s="159" t="n">
        <f aca="true">RAND()</f>
        <v>0.796377880866304</v>
      </c>
      <c r="P35" s="159" t="n">
        <f aca="true">RAND()</f>
        <v>0.478874689957377</v>
      </c>
      <c r="Q35" s="159" t="n">
        <f aca="true">RAND()</f>
        <v>0.98311220103153</v>
      </c>
      <c r="R35" s="159" t="n">
        <f aca="true">RAND()</f>
        <v>0.876559465265069</v>
      </c>
      <c r="S35" s="159" t="n">
        <f aca="true">RAND()</f>
        <v>0.945926749550709</v>
      </c>
      <c r="T35" s="159" t="n">
        <f aca="true">RAND()</f>
        <v>0.623803623705107</v>
      </c>
      <c r="U35" s="159" t="n">
        <f aca="true">RAND()</f>
        <v>0.626661880173245</v>
      </c>
      <c r="V35" s="159" t="n">
        <f aca="true">RAND()</f>
        <v>0.586332810096537</v>
      </c>
      <c r="W35" s="159" t="n">
        <f aca="true">RAND()</f>
        <v>0.914393297091452</v>
      </c>
      <c r="X35" s="159" t="n">
        <f aca="true">RAND()</f>
        <v>0.448349627806453</v>
      </c>
      <c r="Y35" s="159" t="n">
        <f aca="true">RAND()</f>
        <v>0.418023808085411</v>
      </c>
      <c r="Z35" s="159" t="n">
        <f aca="true">RAND()</f>
        <v>0.869893147593919</v>
      </c>
      <c r="AA35" s="159" t="n">
        <f aca="true">RAND()</f>
        <v>0.336586585240029</v>
      </c>
      <c r="AB35" s="159" t="n">
        <f aca="true">RAND()</f>
        <v>0.128487059403405</v>
      </c>
      <c r="AC35" s="159" t="n">
        <f aca="true">RAND()</f>
        <v>0.921309106683687</v>
      </c>
      <c r="AD35" s="159" t="n">
        <f aca="true">RAND()</f>
        <v>0.425170591672595</v>
      </c>
      <c r="AE35" s="159" t="n">
        <f aca="true">RAND()</f>
        <v>0.979419181870543</v>
      </c>
      <c r="AF35" s="159" t="n">
        <f aca="true">RAND()</f>
        <v>0.395574520390974</v>
      </c>
      <c r="AG35" s="159" t="n">
        <f aca="true">RAND()</f>
        <v>0.505300169532795</v>
      </c>
      <c r="AH35" s="159" t="n">
        <f aca="true">RAND()</f>
        <v>0.791569315841333</v>
      </c>
      <c r="AI35" s="159" t="n">
        <f aca="true">RAND()</f>
        <v>0.278526936545718</v>
      </c>
      <c r="AJ35" s="159" t="n">
        <f aca="true">RAND()</f>
        <v>0.885918036758606</v>
      </c>
      <c r="AK35" s="159" t="n">
        <f aca="true">RAND()</f>
        <v>0.93881415162716</v>
      </c>
      <c r="AL35" s="159" t="n">
        <f aca="true">RAND()</f>
        <v>0.595672613555202</v>
      </c>
      <c r="AM35" s="159" t="n">
        <f aca="true">RAND()</f>
        <v>0.307211540612978</v>
      </c>
      <c r="AN35" s="159" t="n">
        <f aca="true">RAND()</f>
        <v>0.88316793868572</v>
      </c>
      <c r="AO35" s="159" t="n">
        <f aca="true">RAND()</f>
        <v>0.815283464768379</v>
      </c>
      <c r="AP35" s="159" t="n">
        <f aca="true">RAND()</f>
        <v>0.659663047121519</v>
      </c>
      <c r="AQ35" s="159" t="n">
        <f aca="true">RAND()</f>
        <v>0.448912518704353</v>
      </c>
      <c r="AR35" s="159" t="n">
        <f aca="true">RAND()</f>
        <v>0.479528100367692</v>
      </c>
      <c r="AS35" s="159" t="n">
        <f aca="true">RAND()</f>
        <v>0.365633560678167</v>
      </c>
      <c r="AT35" s="159" t="n">
        <f aca="true">RAND()</f>
        <v>0.516384529639519</v>
      </c>
      <c r="AU35" s="159" t="n">
        <f aca="true">RAND()</f>
        <v>0.439490001277248</v>
      </c>
      <c r="AV35" s="159" t="n">
        <f aca="true">RAND()</f>
        <v>0.138157574093141</v>
      </c>
      <c r="AW35" s="159" t="n">
        <f aca="true">RAND()</f>
        <v>0.930617769701119</v>
      </c>
      <c r="AX35" s="159" t="n">
        <f aca="true">RAND()</f>
        <v>0.389995627244891</v>
      </c>
      <c r="AY35" s="159" t="n">
        <f aca="true">RAND()</f>
        <v>0.876422170344859</v>
      </c>
      <c r="AZ35" s="159" t="n">
        <f aca="true">RAND()</f>
        <v>0.264923922145265</v>
      </c>
      <c r="BA35" s="159" t="n">
        <f aca="true">RAND()</f>
        <v>0.125010621514789</v>
      </c>
      <c r="BB35" s="159" t="n">
        <f aca="true">RAND()</f>
        <v>0.318361103519694</v>
      </c>
      <c r="BC35" s="159" t="n">
        <f aca="true">RAND()</f>
        <v>0.688301591590811</v>
      </c>
      <c r="BD35" s="159" t="n">
        <f aca="true">RAND()</f>
        <v>0.735169918064596</v>
      </c>
      <c r="BE35" s="159" t="n">
        <f aca="true">RAND()</f>
        <v>0.609587234695654</v>
      </c>
      <c r="BF35" s="159" t="n">
        <f aca="true">RAND()</f>
        <v>0.497915345699195</v>
      </c>
      <c r="BG35" s="159" t="n">
        <f aca="true">RAND()</f>
        <v>0.281533385209708</v>
      </c>
      <c r="BH35" s="159" t="n">
        <f aca="true">RAND()</f>
        <v>0.0262242283428039</v>
      </c>
      <c r="BI35" s="159" t="n">
        <f aca="true">RAND()</f>
        <v>0.180770514735923</v>
      </c>
      <c r="BJ35" s="159" t="n">
        <f aca="true">RAND()</f>
        <v>0.264767212987218</v>
      </c>
      <c r="BK35" s="159" t="n">
        <f aca="true">RAND()</f>
        <v>0.7754555027978</v>
      </c>
      <c r="BL35" s="159" t="n">
        <f aca="true">RAND()</f>
        <v>0.66260060185157</v>
      </c>
      <c r="BM35" s="159" t="n">
        <f aca="true">RAND()</f>
        <v>0.654602255590706</v>
      </c>
      <c r="BN35" s="159" t="n">
        <f aca="true">RAND()</f>
        <v>0.512934445357061</v>
      </c>
      <c r="BO35" s="159" t="n">
        <f aca="true">RAND()</f>
        <v>0.0877840714191016</v>
      </c>
      <c r="BP35" s="159" t="n">
        <f aca="true">RAND()</f>
        <v>0.187956115808756</v>
      </c>
      <c r="BQ35" s="159" t="n">
        <f aca="true">RAND()</f>
        <v>0.977852892306748</v>
      </c>
      <c r="BR35" s="159" t="n">
        <f aca="true">RAND()</f>
        <v>0.891040948413167</v>
      </c>
      <c r="BS35" s="159" t="n">
        <f aca="true">RAND()</f>
        <v>0.452000870039899</v>
      </c>
      <c r="BT35" s="159" t="n">
        <f aca="true">RAND()</f>
        <v>0.919103512180495</v>
      </c>
      <c r="BU35" s="159" t="n">
        <f aca="true">RAND()</f>
        <v>0.147153420023818</v>
      </c>
      <c r="BV35" s="159" t="n">
        <f aca="true">RAND()</f>
        <v>0.557474533214664</v>
      </c>
      <c r="BW35" s="159" t="n">
        <f aca="true">RAND()</f>
        <v>0.0379563016936938</v>
      </c>
      <c r="BX35" s="159" t="n">
        <f aca="true">RAND()</f>
        <v>0.356452176480531</v>
      </c>
      <c r="BY35" s="159" t="n">
        <f aca="true">RAND()</f>
        <v>0.0910907408505699</v>
      </c>
      <c r="BZ35" s="160" t="n">
        <f aca="false">Simulator!J38*Simulator!$D$5+Simulator!K38*Simulator!$D$6+Simulator!L38*Simulator!$D$7+Simulator!M38*Simulator!$D$8+Simulator!N38*Simulator!$D$9+Simulator!O38*Simulator!$D$10</f>
        <v>0.703432422592488</v>
      </c>
      <c r="CA35" s="160" t="n">
        <f aca="false">IF($BZ35=0,0.1667,(Simulator!J38*Simulator!$D$5)/$BZ35)</f>
        <v>0.353742703379927</v>
      </c>
      <c r="CB35" s="160" t="n">
        <f aca="false">IF($BZ35=0,0.3333,(Simulator!J38*Simulator!$D$5+Simulator!K38*Simulator!$D$6)/$BZ35)</f>
        <v>0.902001490844451</v>
      </c>
      <c r="CC35" s="160" t="n">
        <f aca="false">IF($BZ35=0,0.5,(Simulator!J38*Simulator!$D$5+Simulator!K38*Simulator!$D$6+Simulator!L38*Simulator!$D$7)/$BZ35)</f>
        <v>0.953037976861892</v>
      </c>
      <c r="CD35" s="160" t="n">
        <f aca="false">IF($BZ35=0,0.6667,(Simulator!J38*Simulator!$D$5+Simulator!K38*Simulator!$D$6+Simulator!L38*Simulator!$D$7+Simulator!M38*Simulator!$D$8)/$BZ35)</f>
        <v>0.995471867829832</v>
      </c>
      <c r="CE35" s="160" t="n">
        <f aca="false">IF($BZ35=0,0.8333,(Simulator!J38*Simulator!$D$5+Simulator!K38*Simulator!$D$6+Simulator!L38*Simulator!$D$7+Simulator!M38*Simulator!$D$8+Simulator!N38*Simulator!$D$9)/$BZ35)</f>
        <v>0.999722397839217</v>
      </c>
    </row>
    <row r="36" customFormat="false" ht="15" hidden="false" customHeight="false" outlineLevel="0" collapsed="false">
      <c r="A36" s="158" t="s">
        <v>85</v>
      </c>
      <c r="B36" s="159" t="n">
        <f aca="true">RAND()</f>
        <v>0.397701847803362</v>
      </c>
      <c r="C36" s="159" t="n">
        <f aca="true">RAND()</f>
        <v>0.969730939990711</v>
      </c>
      <c r="D36" s="159" t="n">
        <f aca="true">RAND()</f>
        <v>0.0551508074782387</v>
      </c>
      <c r="E36" s="159" t="n">
        <f aca="true">RAND()</f>
        <v>0.826988835814589</v>
      </c>
      <c r="F36" s="159" t="n">
        <f aca="true">RAND()</f>
        <v>0.284121471869297</v>
      </c>
      <c r="G36" s="159" t="n">
        <f aca="true">RAND()</f>
        <v>0.742273224032393</v>
      </c>
      <c r="H36" s="159" t="n">
        <f aca="true">RAND()</f>
        <v>0.608618108808329</v>
      </c>
      <c r="I36" s="159" t="n">
        <f aca="true">RAND()</f>
        <v>0.513357091298186</v>
      </c>
      <c r="J36" s="159" t="n">
        <f aca="true">RAND()</f>
        <v>0.637026780017307</v>
      </c>
      <c r="K36" s="159" t="n">
        <f aca="true">RAND()</f>
        <v>0.486528010314458</v>
      </c>
      <c r="L36" s="159" t="n">
        <f aca="true">RAND()</f>
        <v>0.535980906186799</v>
      </c>
      <c r="M36" s="159" t="n">
        <f aca="true">RAND()</f>
        <v>0.835083569972483</v>
      </c>
      <c r="N36" s="159" t="n">
        <f aca="true">RAND()</f>
        <v>0.0509630693652122</v>
      </c>
      <c r="O36" s="159" t="n">
        <f aca="true">RAND()</f>
        <v>0.119260544795889</v>
      </c>
      <c r="P36" s="159" t="n">
        <f aca="true">RAND()</f>
        <v>0.849024258009089</v>
      </c>
      <c r="Q36" s="159" t="n">
        <f aca="true">RAND()</f>
        <v>0.391002349145762</v>
      </c>
      <c r="R36" s="159" t="n">
        <f aca="true">RAND()</f>
        <v>0.209657846149942</v>
      </c>
      <c r="S36" s="159" t="n">
        <f aca="true">RAND()</f>
        <v>0.129407393801429</v>
      </c>
      <c r="T36" s="159" t="n">
        <f aca="true">RAND()</f>
        <v>0.850579905995797</v>
      </c>
      <c r="U36" s="159" t="n">
        <f aca="true">RAND()</f>
        <v>0.00202746598507071</v>
      </c>
      <c r="V36" s="159" t="n">
        <f aca="true">RAND()</f>
        <v>0.214516394735289</v>
      </c>
      <c r="W36" s="159" t="n">
        <f aca="true">RAND()</f>
        <v>0.540379075095017</v>
      </c>
      <c r="X36" s="159" t="n">
        <f aca="true">RAND()</f>
        <v>0.609175457650596</v>
      </c>
      <c r="Y36" s="159" t="n">
        <f aca="true">RAND()</f>
        <v>0.828433864675711</v>
      </c>
      <c r="Z36" s="159" t="n">
        <f aca="true">RAND()</f>
        <v>0.0766423512672291</v>
      </c>
      <c r="AA36" s="159" t="n">
        <f aca="true">RAND()</f>
        <v>0.0267021009378372</v>
      </c>
      <c r="AB36" s="159" t="n">
        <f aca="true">RAND()</f>
        <v>0.705837537015133</v>
      </c>
      <c r="AC36" s="159" t="n">
        <f aca="true">RAND()</f>
        <v>0.294162585013528</v>
      </c>
      <c r="AD36" s="159" t="n">
        <f aca="true">RAND()</f>
        <v>0.635164696618764</v>
      </c>
      <c r="AE36" s="159" t="n">
        <f aca="true">RAND()</f>
        <v>0.415988700718844</v>
      </c>
      <c r="AF36" s="159" t="n">
        <f aca="true">RAND()</f>
        <v>0.137970547751212</v>
      </c>
      <c r="AG36" s="159" t="n">
        <f aca="true">RAND()</f>
        <v>0.941235104530684</v>
      </c>
      <c r="AH36" s="159" t="n">
        <f aca="true">RAND()</f>
        <v>0.806045461757272</v>
      </c>
      <c r="AI36" s="159" t="n">
        <f aca="true">RAND()</f>
        <v>0.585195146613331</v>
      </c>
      <c r="AJ36" s="159" t="n">
        <f aca="true">RAND()</f>
        <v>0.254137109991942</v>
      </c>
      <c r="AK36" s="159" t="n">
        <f aca="true">RAND()</f>
        <v>0.78690155850914</v>
      </c>
      <c r="AL36" s="159" t="n">
        <f aca="true">RAND()</f>
        <v>0.807639496299415</v>
      </c>
      <c r="AM36" s="159" t="n">
        <f aca="true">RAND()</f>
        <v>0.850895813792922</v>
      </c>
      <c r="AN36" s="159" t="n">
        <f aca="true">RAND()</f>
        <v>0.936378899952903</v>
      </c>
      <c r="AO36" s="159" t="n">
        <f aca="true">RAND()</f>
        <v>0.292899742599678</v>
      </c>
      <c r="AP36" s="159" t="n">
        <f aca="true">RAND()</f>
        <v>0.66961700493543</v>
      </c>
      <c r="AQ36" s="159" t="n">
        <f aca="true">RAND()</f>
        <v>0.233529890521157</v>
      </c>
      <c r="AR36" s="159" t="n">
        <f aca="true">RAND()</f>
        <v>0.787697213143144</v>
      </c>
      <c r="AS36" s="159" t="n">
        <f aca="true">RAND()</f>
        <v>0.770616617644017</v>
      </c>
      <c r="AT36" s="159" t="n">
        <f aca="true">RAND()</f>
        <v>0.525761336116289</v>
      </c>
      <c r="AU36" s="159" t="n">
        <f aca="true">RAND()</f>
        <v>0.482758845020168</v>
      </c>
      <c r="AV36" s="159" t="n">
        <f aca="true">RAND()</f>
        <v>0.859357457913811</v>
      </c>
      <c r="AW36" s="159" t="n">
        <f aca="true">RAND()</f>
        <v>0.0873693601847344</v>
      </c>
      <c r="AX36" s="159" t="n">
        <f aca="true">RAND()</f>
        <v>0.126982252728357</v>
      </c>
      <c r="AY36" s="159" t="n">
        <f aca="true">RAND()</f>
        <v>0.992501570953218</v>
      </c>
      <c r="AZ36" s="159" t="n">
        <f aca="true">RAND()</f>
        <v>0.508391332676453</v>
      </c>
      <c r="BA36" s="159" t="n">
        <f aca="true">RAND()</f>
        <v>0.0888205643734151</v>
      </c>
      <c r="BB36" s="159" t="n">
        <f aca="true">RAND()</f>
        <v>0.034899248283167</v>
      </c>
      <c r="BC36" s="159" t="n">
        <f aca="true">RAND()</f>
        <v>0.517496629261365</v>
      </c>
      <c r="BD36" s="159" t="n">
        <f aca="true">RAND()</f>
        <v>0.188157482367608</v>
      </c>
      <c r="BE36" s="159" t="n">
        <f aca="true">RAND()</f>
        <v>0.45227785460427</v>
      </c>
      <c r="BF36" s="159" t="n">
        <f aca="true">RAND()</f>
        <v>0.222865675800381</v>
      </c>
      <c r="BG36" s="159" t="n">
        <f aca="true">RAND()</f>
        <v>0.765423046814554</v>
      </c>
      <c r="BH36" s="159" t="n">
        <f aca="true">RAND()</f>
        <v>0.471128985575379</v>
      </c>
      <c r="BI36" s="159" t="n">
        <f aca="true">RAND()</f>
        <v>0.58587106981301</v>
      </c>
      <c r="BJ36" s="159" t="n">
        <f aca="true">RAND()</f>
        <v>0.784160571366292</v>
      </c>
      <c r="BK36" s="159" t="n">
        <f aca="true">RAND()</f>
        <v>0.456589276970074</v>
      </c>
      <c r="BL36" s="159" t="n">
        <f aca="true">RAND()</f>
        <v>0.595458523327043</v>
      </c>
      <c r="BM36" s="159" t="n">
        <f aca="true">RAND()</f>
        <v>0.704023238688265</v>
      </c>
      <c r="BN36" s="159" t="n">
        <f aca="true">RAND()</f>
        <v>0.505956360335624</v>
      </c>
      <c r="BO36" s="159" t="n">
        <f aca="true">RAND()</f>
        <v>0.264894698452864</v>
      </c>
      <c r="BP36" s="159" t="n">
        <f aca="true">RAND()</f>
        <v>0.159133806477086</v>
      </c>
      <c r="BQ36" s="159" t="n">
        <f aca="true">RAND()</f>
        <v>0.0913926723409188</v>
      </c>
      <c r="BR36" s="159" t="n">
        <f aca="true">RAND()</f>
        <v>0.701732082163383</v>
      </c>
      <c r="BS36" s="159" t="n">
        <f aca="true">RAND()</f>
        <v>0.113806953604427</v>
      </c>
      <c r="BT36" s="159" t="n">
        <f aca="true">RAND()</f>
        <v>0.222354793839762</v>
      </c>
      <c r="BU36" s="159" t="n">
        <f aca="true">RAND()</f>
        <v>0.839310742321796</v>
      </c>
      <c r="BV36" s="159" t="n">
        <f aca="true">RAND()</f>
        <v>0.670703384279076</v>
      </c>
      <c r="BW36" s="159" t="n">
        <f aca="true">RAND()</f>
        <v>0.491271728778731</v>
      </c>
      <c r="BX36" s="159" t="n">
        <f aca="true">RAND()</f>
        <v>0.138793026262228</v>
      </c>
      <c r="BY36" s="159" t="n">
        <f aca="true">RAND()</f>
        <v>0.0846762350070853</v>
      </c>
      <c r="BZ36" s="160" t="n">
        <f aca="false">Simulator!J39*Simulator!$D$5+Simulator!K39*Simulator!$D$6+Simulator!L39*Simulator!$D$7+Simulator!M39*Simulator!$D$8+Simulator!N39*Simulator!$D$9+Simulator!O39*Simulator!$D$10</f>
        <v>0.670571346696801</v>
      </c>
      <c r="CA36" s="160" t="n">
        <f aca="false">IF($BZ36=0,0.1667,(Simulator!J39*Simulator!$D$5)/$BZ36)</f>
        <v>0.499976220966956</v>
      </c>
      <c r="CB36" s="160" t="n">
        <f aca="false">IF($BZ36=0,0.3333,(Simulator!J39*Simulator!$D$5+Simulator!K39*Simulator!$D$6)/$BZ36)</f>
        <v>0.888225633718526</v>
      </c>
      <c r="CC36" s="160" t="n">
        <f aca="false">IF($BZ36=0,0.5,(Simulator!J39*Simulator!$D$5+Simulator!K39*Simulator!$D$6+Simulator!L39*Simulator!$D$7)/$BZ36)</f>
        <v>0.960334872983624</v>
      </c>
      <c r="CD36" s="160" t="n">
        <f aca="false">IF($BZ36=0,0.6667,(Simulator!J39*Simulator!$D$5+Simulator!K39*Simulator!$D$6+Simulator!L39*Simulator!$D$7+Simulator!M39*Simulator!$D$8)/$BZ36)</f>
        <v>0.994277532443349</v>
      </c>
      <c r="CE36" s="160" t="n">
        <f aca="false">IF($BZ36=0,0.8333,(Simulator!J39*Simulator!$D$5+Simulator!K39*Simulator!$D$6+Simulator!L39*Simulator!$D$7+Simulator!M39*Simulator!$D$8+Simulator!N39*Simulator!$D$9)/$BZ36)</f>
        <v>0.999708794058323</v>
      </c>
    </row>
    <row r="37" customFormat="false" ht="15" hidden="false" customHeight="false" outlineLevel="0" collapsed="false">
      <c r="A37" s="158" t="s">
        <v>87</v>
      </c>
      <c r="B37" s="159" t="n">
        <f aca="true">RAND()</f>
        <v>0.359610053035592</v>
      </c>
      <c r="C37" s="159" t="n">
        <f aca="true">RAND()</f>
        <v>0.813818883008007</v>
      </c>
      <c r="D37" s="159" t="n">
        <f aca="true">RAND()</f>
        <v>0.105427116173953</v>
      </c>
      <c r="E37" s="159" t="n">
        <f aca="true">RAND()</f>
        <v>0.220306448083686</v>
      </c>
      <c r="F37" s="159" t="n">
        <f aca="true">RAND()</f>
        <v>0.886202158976234</v>
      </c>
      <c r="G37" s="159" t="n">
        <f aca="true">RAND()</f>
        <v>0.78820897950637</v>
      </c>
      <c r="H37" s="159" t="n">
        <f aca="true">RAND()</f>
        <v>0.344913534919333</v>
      </c>
      <c r="I37" s="159" t="n">
        <f aca="true">RAND()</f>
        <v>0.12372151015828</v>
      </c>
      <c r="J37" s="159" t="n">
        <f aca="true">RAND()</f>
        <v>0.19243555865442</v>
      </c>
      <c r="K37" s="159" t="n">
        <f aca="true">RAND()</f>
        <v>0.975837440203462</v>
      </c>
      <c r="L37" s="159" t="n">
        <f aca="true">RAND()</f>
        <v>0.593022780116455</v>
      </c>
      <c r="M37" s="159" t="n">
        <f aca="true">RAND()</f>
        <v>0.85455697493776</v>
      </c>
      <c r="N37" s="159" t="n">
        <f aca="true">RAND()</f>
        <v>0.414703350498857</v>
      </c>
      <c r="O37" s="159" t="n">
        <f aca="true">RAND()</f>
        <v>0.665977986601057</v>
      </c>
      <c r="P37" s="159" t="n">
        <f aca="true">RAND()</f>
        <v>0.760738017308478</v>
      </c>
      <c r="Q37" s="159" t="n">
        <f aca="true">RAND()</f>
        <v>0.790502309930138</v>
      </c>
      <c r="R37" s="159" t="n">
        <f aca="true">RAND()</f>
        <v>0.628462821933194</v>
      </c>
      <c r="S37" s="159" t="n">
        <f aca="true">RAND()</f>
        <v>0.444502439966678</v>
      </c>
      <c r="T37" s="159" t="n">
        <f aca="true">RAND()</f>
        <v>0.562009901039194</v>
      </c>
      <c r="U37" s="159" t="n">
        <f aca="true">RAND()</f>
        <v>0.842364782847788</v>
      </c>
      <c r="V37" s="159" t="n">
        <f aca="true">RAND()</f>
        <v>0.557554143301841</v>
      </c>
      <c r="W37" s="159" t="n">
        <f aca="true">RAND()</f>
        <v>0.889902733354533</v>
      </c>
      <c r="X37" s="159" t="n">
        <f aca="true">RAND()</f>
        <v>0.655986771612738</v>
      </c>
      <c r="Y37" s="159" t="n">
        <f aca="true">RAND()</f>
        <v>0.0447922552155949</v>
      </c>
      <c r="Z37" s="159" t="n">
        <f aca="true">RAND()</f>
        <v>0.14795227276316</v>
      </c>
      <c r="AA37" s="159" t="n">
        <f aca="true">RAND()</f>
        <v>0.0351006807512979</v>
      </c>
      <c r="AB37" s="159" t="n">
        <f aca="true">RAND()</f>
        <v>0.594972698483686</v>
      </c>
      <c r="AC37" s="159" t="n">
        <f aca="true">RAND()</f>
        <v>0.576617740632989</v>
      </c>
      <c r="AD37" s="159" t="n">
        <f aca="true">RAND()</f>
        <v>0.429434559718682</v>
      </c>
      <c r="AE37" s="159" t="n">
        <f aca="true">RAND()</f>
        <v>0.333804990455812</v>
      </c>
      <c r="AF37" s="159" t="n">
        <f aca="true">RAND()</f>
        <v>0.584353054563255</v>
      </c>
      <c r="AG37" s="159" t="n">
        <f aca="true">RAND()</f>
        <v>0.936459608452446</v>
      </c>
      <c r="AH37" s="159" t="n">
        <f aca="true">RAND()</f>
        <v>0.634257880021245</v>
      </c>
      <c r="AI37" s="159" t="n">
        <f aca="true">RAND()</f>
        <v>0.630189529021246</v>
      </c>
      <c r="AJ37" s="159" t="n">
        <f aca="true">RAND()</f>
        <v>0.109311642354133</v>
      </c>
      <c r="AK37" s="159" t="n">
        <f aca="true">RAND()</f>
        <v>0.621960188894933</v>
      </c>
      <c r="AL37" s="159" t="n">
        <f aca="true">RAND()</f>
        <v>0.761741003244195</v>
      </c>
      <c r="AM37" s="159" t="n">
        <f aca="true">RAND()</f>
        <v>0.610851901922398</v>
      </c>
      <c r="AN37" s="159" t="n">
        <f aca="true">RAND()</f>
        <v>0.228834703611534</v>
      </c>
      <c r="AO37" s="159" t="n">
        <f aca="true">RAND()</f>
        <v>0.771973093113375</v>
      </c>
      <c r="AP37" s="159" t="n">
        <f aca="true">RAND()</f>
        <v>0.755355339815192</v>
      </c>
      <c r="AQ37" s="159" t="n">
        <f aca="true">RAND()</f>
        <v>0.250335895899604</v>
      </c>
      <c r="AR37" s="159" t="n">
        <f aca="true">RAND()</f>
        <v>0.856474644676113</v>
      </c>
      <c r="AS37" s="159" t="n">
        <f aca="true">RAND()</f>
        <v>0.797895062808268</v>
      </c>
      <c r="AT37" s="159" t="n">
        <f aca="true">RAND()</f>
        <v>0.578126659905234</v>
      </c>
      <c r="AU37" s="159" t="n">
        <f aca="true">RAND()</f>
        <v>0.873077097402884</v>
      </c>
      <c r="AV37" s="159" t="n">
        <f aca="true">RAND()</f>
        <v>0.486991194983382</v>
      </c>
      <c r="AW37" s="159" t="n">
        <f aca="true">RAND()</f>
        <v>0.734962867364436</v>
      </c>
      <c r="AX37" s="159" t="n">
        <f aca="true">RAND()</f>
        <v>0.350480930457332</v>
      </c>
      <c r="AY37" s="159" t="n">
        <f aca="true">RAND()</f>
        <v>0.353633451453897</v>
      </c>
      <c r="AZ37" s="159" t="n">
        <f aca="true">RAND()</f>
        <v>0.551565278516122</v>
      </c>
      <c r="BA37" s="159" t="n">
        <f aca="true">RAND()</f>
        <v>0.0793183031521552</v>
      </c>
      <c r="BB37" s="159" t="n">
        <f aca="true">RAND()</f>
        <v>0.0149996644240292</v>
      </c>
      <c r="BC37" s="159" t="n">
        <f aca="true">RAND()</f>
        <v>0.447165335055252</v>
      </c>
      <c r="BD37" s="159" t="n">
        <f aca="true">RAND()</f>
        <v>0.286509196478537</v>
      </c>
      <c r="BE37" s="159" t="n">
        <f aca="true">RAND()</f>
        <v>0.257665144605555</v>
      </c>
      <c r="BF37" s="159" t="n">
        <f aca="true">RAND()</f>
        <v>0.82950690395432</v>
      </c>
      <c r="BG37" s="159" t="n">
        <f aca="true">RAND()</f>
        <v>0.794350920233313</v>
      </c>
      <c r="BH37" s="159" t="n">
        <f aca="true">RAND()</f>
        <v>0.0467893945188533</v>
      </c>
      <c r="BI37" s="159" t="n">
        <f aca="true">RAND()</f>
        <v>0.989339984986436</v>
      </c>
      <c r="BJ37" s="159" t="n">
        <f aca="true">RAND()</f>
        <v>0.541921050321273</v>
      </c>
      <c r="BK37" s="159" t="n">
        <f aca="true">RAND()</f>
        <v>0.620180329381243</v>
      </c>
      <c r="BL37" s="159" t="n">
        <f aca="true">RAND()</f>
        <v>0.895565738413129</v>
      </c>
      <c r="BM37" s="159" t="n">
        <f aca="true">RAND()</f>
        <v>0.634249583807455</v>
      </c>
      <c r="BN37" s="159" t="n">
        <f aca="true">RAND()</f>
        <v>0.571091773199917</v>
      </c>
      <c r="BO37" s="159" t="n">
        <f aca="true">RAND()</f>
        <v>0.580496532076912</v>
      </c>
      <c r="BP37" s="159" t="n">
        <f aca="true">RAND()</f>
        <v>0.491623174781692</v>
      </c>
      <c r="BQ37" s="159" t="n">
        <f aca="true">RAND()</f>
        <v>0.596541347480031</v>
      </c>
      <c r="BR37" s="159" t="n">
        <f aca="true">RAND()</f>
        <v>0.741533567274047</v>
      </c>
      <c r="BS37" s="159" t="n">
        <f aca="true">RAND()</f>
        <v>0.429681874142651</v>
      </c>
      <c r="BT37" s="159" t="n">
        <f aca="true">RAND()</f>
        <v>0.729360694509934</v>
      </c>
      <c r="BU37" s="159" t="n">
        <f aca="true">RAND()</f>
        <v>0.725545501032052</v>
      </c>
      <c r="BV37" s="159" t="n">
        <f aca="true">RAND()</f>
        <v>0.0430307238667242</v>
      </c>
      <c r="BW37" s="159" t="n">
        <f aca="true">RAND()</f>
        <v>0.454949642889903</v>
      </c>
      <c r="BX37" s="159" t="n">
        <f aca="true">RAND()</f>
        <v>0.925348565319152</v>
      </c>
      <c r="BY37" s="159" t="n">
        <f aca="true">RAND()</f>
        <v>0.0844301247855344</v>
      </c>
      <c r="BZ37" s="160" t="n">
        <f aca="false">Simulator!J40*Simulator!$D$5+Simulator!K40*Simulator!$D$6+Simulator!L40*Simulator!$D$7+Simulator!M40*Simulator!$D$8+Simulator!N40*Simulator!$D$9+Simulator!O40*Simulator!$D$10</f>
        <v>0.771522412851676</v>
      </c>
      <c r="CA37" s="160" t="n">
        <f aca="false">IF($BZ37=0,0.1667,(Simulator!J40*Simulator!$D$5)/$BZ37)</f>
        <v>0.154481488828939</v>
      </c>
      <c r="CB37" s="160" t="n">
        <f aca="false">IF($BZ37=0,0.3333,(Simulator!J40*Simulator!$D$5+Simulator!K40*Simulator!$D$6)/$BZ37)</f>
        <v>0.473984354997676</v>
      </c>
      <c r="CC37" s="160" t="n">
        <f aca="false">IF($BZ37=0,0.5,(Simulator!J40*Simulator!$D$5+Simulator!K40*Simulator!$D$6+Simulator!L40*Simulator!$D$7)/$BZ37)</f>
        <v>0.497648839498431</v>
      </c>
      <c r="CD37" s="160" t="n">
        <f aca="false">IF($BZ37=0,0.6667,(Simulator!J40*Simulator!$D$5+Simulator!K40*Simulator!$D$6+Simulator!L40*Simulator!$D$7+Simulator!M40*Simulator!$D$8)/$BZ37)</f>
        <v>0.535454902763698</v>
      </c>
      <c r="CE37" s="160" t="n">
        <f aca="false">IF($BZ37=0,0.8333,(Simulator!J40*Simulator!$D$5+Simulator!K40*Simulator!$D$6+Simulator!L40*Simulator!$D$7+Simulator!M40*Simulator!$D$8+Simulator!N40*Simulator!$D$9)/$BZ37)</f>
        <v>0.539139606091875</v>
      </c>
    </row>
    <row r="40" customFormat="false" ht="15" hidden="false" customHeight="false" outlineLevel="0" collapsed="false">
      <c r="A40" s="72" t="s">
        <v>201</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G1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22"/>
    <col collapsed="false" customWidth="true" hidden="false" outlineLevel="0" max="3" min="3" style="0" width="13"/>
    <col collapsed="false" customWidth="true" hidden="false" outlineLevel="0" max="4" min="4" style="0" width="10"/>
    <col collapsed="false" customWidth="true" hidden="false" outlineLevel="0" max="5" min="5" style="0" width="11"/>
    <col collapsed="false" customWidth="true" hidden="false" outlineLevel="0" max="6" min="6" style="0" width="13"/>
    <col collapsed="false" customWidth="true" hidden="false" outlineLevel="0" max="7" min="7" style="0" width="11"/>
  </cols>
  <sheetData>
    <row r="1" customFormat="false" ht="30" hidden="false" customHeight="true" outlineLevel="0" collapsed="false">
      <c r="B1" s="60" t="s">
        <v>202</v>
      </c>
      <c r="C1" s="60"/>
      <c r="D1" s="60"/>
      <c r="E1" s="60"/>
      <c r="F1" s="60"/>
      <c r="G1" s="60"/>
    </row>
    <row r="2" customFormat="false" ht="15" hidden="false" customHeight="false" outlineLevel="0" collapsed="false">
      <c r="B2" s="2" t="s">
        <v>203</v>
      </c>
      <c r="C2" s="2"/>
      <c r="D2" s="2"/>
      <c r="E2" s="2"/>
      <c r="F2" s="2"/>
      <c r="G2" s="2"/>
    </row>
    <row r="4" customFormat="false" ht="15" hidden="false" customHeight="true" outlineLevel="0" collapsed="false">
      <c r="B4" s="6" t="s">
        <v>204</v>
      </c>
      <c r="C4" s="161" t="n">
        <v>1000</v>
      </c>
      <c r="E4" s="59" t="s">
        <v>205</v>
      </c>
      <c r="F4" s="59"/>
      <c r="G4" s="59"/>
    </row>
    <row r="5" customFormat="false" ht="15" hidden="false" customHeight="false" outlineLevel="0" collapsed="false">
      <c r="E5" s="59"/>
      <c r="F5" s="59"/>
      <c r="G5" s="59"/>
    </row>
    <row r="6" customFormat="false" ht="15" hidden="false" customHeight="false" outlineLevel="0" collapsed="false">
      <c r="B6" s="6" t="s">
        <v>206</v>
      </c>
      <c r="C6" s="12"/>
    </row>
    <row r="8" customFormat="false" ht="25.5" hidden="false" customHeight="true" outlineLevel="0" collapsed="false">
      <c r="B8" s="5" t="s">
        <v>172</v>
      </c>
      <c r="C8" s="5" t="s">
        <v>207</v>
      </c>
      <c r="D8" s="5" t="s">
        <v>208</v>
      </c>
      <c r="E8" s="5" t="s">
        <v>209</v>
      </c>
      <c r="F8" s="5" t="s">
        <v>210</v>
      </c>
      <c r="G8" s="5" t="s">
        <v>211</v>
      </c>
    </row>
    <row r="9" customFormat="false" ht="15" hidden="false" customHeight="false" outlineLevel="0" collapsed="false">
      <c r="B9" s="162"/>
      <c r="C9" s="12"/>
      <c r="D9" s="53"/>
      <c r="E9" s="131"/>
      <c r="F9" s="12"/>
      <c r="G9" s="53"/>
    </row>
    <row r="10" customFormat="false" ht="15" hidden="false" customHeight="false" outlineLevel="0" collapsed="false">
      <c r="B10" s="163"/>
      <c r="C10" s="12"/>
      <c r="D10" s="53"/>
      <c r="E10" s="131"/>
      <c r="F10" s="12"/>
      <c r="G10" s="53"/>
    </row>
    <row r="11" customFormat="false" ht="15" hidden="false" customHeight="false" outlineLevel="0" collapsed="false">
      <c r="B11" s="164"/>
      <c r="C11" s="12"/>
      <c r="D11" s="53"/>
      <c r="E11" s="131"/>
      <c r="F11" s="12"/>
      <c r="G11" s="53"/>
    </row>
    <row r="12" customFormat="false" ht="15" hidden="false" customHeight="false" outlineLevel="0" collapsed="false">
      <c r="B12" s="165"/>
      <c r="C12" s="12"/>
      <c r="D12" s="53"/>
      <c r="E12" s="131"/>
      <c r="F12" s="12"/>
      <c r="G12" s="53"/>
    </row>
    <row r="13" customFormat="false" ht="15" hidden="false" customHeight="false" outlineLevel="0" collapsed="false">
      <c r="B13" s="166"/>
      <c r="C13" s="12"/>
      <c r="D13" s="53"/>
      <c r="E13" s="131"/>
      <c r="F13" s="12"/>
      <c r="G13" s="53"/>
    </row>
    <row r="14" customFormat="false" ht="15" hidden="false" customHeight="false" outlineLevel="0" collapsed="false">
      <c r="B14" s="167"/>
      <c r="C14" s="12"/>
      <c r="D14" s="53"/>
      <c r="E14" s="131"/>
      <c r="F14" s="12"/>
      <c r="G14" s="53"/>
    </row>
    <row r="15" customFormat="false" ht="15" hidden="false" customHeight="false" outlineLevel="0" collapsed="false">
      <c r="B15" s="123" t="s">
        <v>212</v>
      </c>
      <c r="C15" s="12"/>
      <c r="D15" s="53"/>
    </row>
    <row r="16" customFormat="false" ht="15" hidden="false" customHeight="false" outlineLevel="0" collapsed="false">
      <c r="B16" s="168" t="s">
        <v>213</v>
      </c>
      <c r="C16" s="12"/>
      <c r="D16" s="53"/>
    </row>
  </sheetData>
  <mergeCells count="3">
    <mergeCell ref="B1:G1"/>
    <mergeCell ref="B2:G2"/>
    <mergeCell ref="E4:G5"/>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B1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115"/>
  </cols>
  <sheetData>
    <row r="1" customFormat="false" ht="24" hidden="false" customHeight="true" outlineLevel="0" collapsed="false">
      <c r="B1" s="169" t="s">
        <v>214</v>
      </c>
    </row>
    <row r="2" customFormat="false" ht="15" hidden="false" customHeight="false" outlineLevel="0" collapsed="false">
      <c r="B2" s="170" t="s">
        <v>215</v>
      </c>
    </row>
    <row r="3" customFormat="false" ht="48" hidden="false" customHeight="true" outlineLevel="0" collapsed="false">
      <c r="B3" s="171" t="s">
        <v>216</v>
      </c>
    </row>
    <row r="4" customFormat="false" ht="15" hidden="false" customHeight="false" outlineLevel="0" collapsed="false">
      <c r="B4" s="170" t="s">
        <v>217</v>
      </c>
    </row>
    <row r="5" customFormat="false" ht="48" hidden="false" customHeight="true" outlineLevel="0" collapsed="false">
      <c r="B5" s="171" t="s">
        <v>218</v>
      </c>
    </row>
    <row r="6" customFormat="false" ht="15" hidden="false" customHeight="false" outlineLevel="0" collapsed="false">
      <c r="B6" s="170" t="s">
        <v>219</v>
      </c>
    </row>
    <row r="7" customFormat="false" ht="48" hidden="false" customHeight="true" outlineLevel="0" collapsed="false">
      <c r="B7" s="171" t="s">
        <v>220</v>
      </c>
    </row>
    <row r="8" customFormat="false" ht="15" hidden="false" customHeight="false" outlineLevel="0" collapsed="false">
      <c r="B8" s="170" t="s">
        <v>221</v>
      </c>
    </row>
    <row r="9" customFormat="false" ht="48" hidden="false" customHeight="true" outlineLevel="0" collapsed="false">
      <c r="B9" s="171" t="s">
        <v>222</v>
      </c>
    </row>
    <row r="10" customFormat="false" ht="15" hidden="false" customHeight="false" outlineLevel="0" collapsed="false">
      <c r="B10" s="170" t="s">
        <v>223</v>
      </c>
    </row>
    <row r="11" customFormat="false" ht="48" hidden="false" customHeight="true" outlineLevel="0" collapsed="false">
      <c r="B11" s="171" t="s">
        <v>224</v>
      </c>
    </row>
    <row r="12" customFormat="false" ht="15" hidden="false" customHeight="false" outlineLevel="0" collapsed="false">
      <c r="B12" s="170" t="s">
        <v>225</v>
      </c>
    </row>
    <row r="13" customFormat="false" ht="48" hidden="false" customHeight="true" outlineLevel="0" collapsed="false">
      <c r="B13" s="171" t="s">
        <v>226</v>
      </c>
    </row>
    <row r="14" customFormat="false" ht="15" hidden="false" customHeight="false" outlineLevel="0" collapsed="false">
      <c r="B14" s="170" t="s">
        <v>227</v>
      </c>
    </row>
    <row r="15" customFormat="false" ht="48" hidden="false" customHeight="true" outlineLevel="0" collapsed="false">
      <c r="B15" s="171" t="s">
        <v>228</v>
      </c>
    </row>
    <row r="16" customFormat="false" ht="15" hidden="false" customHeight="false" outlineLevel="0" collapsed="false">
      <c r="B16" s="170" t="s">
        <v>229</v>
      </c>
    </row>
    <row r="17" customFormat="false" ht="48" hidden="false" customHeight="true" outlineLevel="0" collapsed="false">
      <c r="B17" s="171" t="s">
        <v>230</v>
      </c>
    </row>
    <row r="18" customFormat="false" ht="15" hidden="false" customHeight="false" outlineLevel="0" collapsed="false">
      <c r="B18" s="170" t="s">
        <v>231</v>
      </c>
    </row>
    <row r="19" customFormat="false" ht="48" hidden="false" customHeight="true" outlineLevel="0" collapsed="false">
      <c r="B19" s="171" t="s">
        <v>232</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B13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2"/>
    <col collapsed="false" customWidth="true" hidden="false" outlineLevel="0" max="2" min="2" style="0" width="112"/>
  </cols>
  <sheetData>
    <row r="1" customFormat="false" ht="25.5" hidden="false" customHeight="true" outlineLevel="0" collapsed="false">
      <c r="B1" s="169" t="s">
        <v>233</v>
      </c>
    </row>
    <row r="2" customFormat="false" ht="15" hidden="false" customHeight="false" outlineLevel="0" collapsed="false">
      <c r="B2" s="171"/>
    </row>
    <row r="3" customFormat="false" ht="15" hidden="false" customHeight="false" outlineLevel="0" collapsed="false">
      <c r="B3" s="170" t="s">
        <v>234</v>
      </c>
    </row>
    <row r="4" customFormat="false" ht="15" hidden="false" customHeight="false" outlineLevel="0" collapsed="false">
      <c r="B4" s="171" t="s">
        <v>235</v>
      </c>
    </row>
    <row r="5" customFormat="false" ht="15" hidden="false" customHeight="false" outlineLevel="0" collapsed="false">
      <c r="B5" s="171" t="s">
        <v>236</v>
      </c>
    </row>
    <row r="6" customFormat="false" ht="15" hidden="false" customHeight="false" outlineLevel="0" collapsed="false">
      <c r="B6" s="171" t="s">
        <v>237</v>
      </c>
    </row>
    <row r="7" customFormat="false" ht="15" hidden="false" customHeight="false" outlineLevel="0" collapsed="false">
      <c r="B7" s="171" t="s">
        <v>238</v>
      </c>
    </row>
    <row r="8" customFormat="false" ht="15" hidden="false" customHeight="false" outlineLevel="0" collapsed="false">
      <c r="B8" s="171" t="s">
        <v>239</v>
      </c>
    </row>
    <row r="9" customFormat="false" ht="15" hidden="false" customHeight="false" outlineLevel="0" collapsed="false">
      <c r="B9" s="171" t="s">
        <v>240</v>
      </c>
    </row>
    <row r="10" customFormat="false" ht="15" hidden="false" customHeight="false" outlineLevel="0" collapsed="false">
      <c r="B10" s="171" t="s">
        <v>241</v>
      </c>
    </row>
    <row r="11" customFormat="false" ht="15" hidden="false" customHeight="false" outlineLevel="0" collapsed="false">
      <c r="B11" s="171" t="s">
        <v>242</v>
      </c>
    </row>
    <row r="12" customFormat="false" ht="15" hidden="false" customHeight="false" outlineLevel="0" collapsed="false">
      <c r="B12" s="171" t="s">
        <v>243</v>
      </c>
    </row>
    <row r="13" customFormat="false" ht="15" hidden="false" customHeight="false" outlineLevel="0" collapsed="false">
      <c r="B13" s="171"/>
    </row>
    <row r="14" customFormat="false" ht="15" hidden="false" customHeight="false" outlineLevel="0" collapsed="false">
      <c r="B14" s="170" t="s">
        <v>244</v>
      </c>
    </row>
    <row r="15" customFormat="false" ht="15" hidden="false" customHeight="false" outlineLevel="0" collapsed="false">
      <c r="B15" s="171" t="s">
        <v>245</v>
      </c>
    </row>
    <row r="16" customFormat="false" ht="26.85" hidden="false" customHeight="false" outlineLevel="0" collapsed="false">
      <c r="B16" s="171" t="s">
        <v>246</v>
      </c>
    </row>
    <row r="17" customFormat="false" ht="15" hidden="false" customHeight="false" outlineLevel="0" collapsed="false">
      <c r="B17" s="171" t="s">
        <v>247</v>
      </c>
    </row>
    <row r="18" customFormat="false" ht="15" hidden="false" customHeight="false" outlineLevel="0" collapsed="false">
      <c r="B18" s="171"/>
    </row>
    <row r="19" customFormat="false" ht="15" hidden="false" customHeight="false" outlineLevel="0" collapsed="false">
      <c r="B19" s="170" t="s">
        <v>248</v>
      </c>
    </row>
    <row r="20" customFormat="false" ht="15" hidden="false" customHeight="false" outlineLevel="0" collapsed="false">
      <c r="B20" s="172" t="s">
        <v>249</v>
      </c>
    </row>
    <row r="21" customFormat="false" ht="15" hidden="false" customHeight="false" outlineLevel="0" collapsed="false">
      <c r="B21" s="172" t="s">
        <v>250</v>
      </c>
    </row>
    <row r="22" customFormat="false" ht="15" hidden="false" customHeight="false" outlineLevel="0" collapsed="false">
      <c r="B22" s="172" t="s">
        <v>251</v>
      </c>
    </row>
    <row r="23" customFormat="false" ht="15" hidden="false" customHeight="false" outlineLevel="0" collapsed="false">
      <c r="B23" s="172" t="s">
        <v>252</v>
      </c>
    </row>
    <row r="24" customFormat="false" ht="15" hidden="false" customHeight="false" outlineLevel="0" collapsed="false">
      <c r="B24" s="172" t="s">
        <v>253</v>
      </c>
    </row>
    <row r="25" customFormat="false" ht="15" hidden="false" customHeight="false" outlineLevel="0" collapsed="false">
      <c r="B25" s="172" t="s">
        <v>254</v>
      </c>
    </row>
    <row r="26" customFormat="false" ht="15" hidden="false" customHeight="false" outlineLevel="0" collapsed="false">
      <c r="B26" s="172" t="s">
        <v>255</v>
      </c>
    </row>
    <row r="27" customFormat="false" ht="15" hidden="false" customHeight="false" outlineLevel="0" collapsed="false">
      <c r="B27" s="172" t="s">
        <v>256</v>
      </c>
    </row>
    <row r="28" customFormat="false" ht="15" hidden="false" customHeight="false" outlineLevel="0" collapsed="false">
      <c r="B28" s="172" t="s">
        <v>257</v>
      </c>
    </row>
    <row r="29" customFormat="false" ht="15" hidden="false" customHeight="false" outlineLevel="0" collapsed="false">
      <c r="B29" s="172" t="s">
        <v>258</v>
      </c>
    </row>
    <row r="30" customFormat="false" ht="15" hidden="false" customHeight="false" outlineLevel="0" collapsed="false">
      <c r="B30" s="172" t="s">
        <v>251</v>
      </c>
    </row>
    <row r="31" customFormat="false" ht="15" hidden="false" customHeight="false" outlineLevel="0" collapsed="false">
      <c r="B31" s="172" t="s">
        <v>250</v>
      </c>
    </row>
    <row r="32" customFormat="false" ht="15" hidden="false" customHeight="false" outlineLevel="0" collapsed="false">
      <c r="B32" s="172" t="s">
        <v>259</v>
      </c>
    </row>
    <row r="33" customFormat="false" ht="15" hidden="false" customHeight="false" outlineLevel="0" collapsed="false">
      <c r="B33" s="172" t="s">
        <v>260</v>
      </c>
    </row>
    <row r="34" customFormat="false" ht="15" hidden="false" customHeight="false" outlineLevel="0" collapsed="false">
      <c r="B34" s="172" t="s">
        <v>261</v>
      </c>
    </row>
    <row r="35" customFormat="false" ht="15" hidden="false" customHeight="false" outlineLevel="0" collapsed="false">
      <c r="B35" s="172" t="s">
        <v>262</v>
      </c>
    </row>
    <row r="36" customFormat="false" ht="15" hidden="false" customHeight="false" outlineLevel="0" collapsed="false">
      <c r="B36" s="172" t="s">
        <v>263</v>
      </c>
    </row>
    <row r="37" customFormat="false" ht="15" hidden="false" customHeight="false" outlineLevel="0" collapsed="false">
      <c r="B37" s="172" t="s">
        <v>264</v>
      </c>
    </row>
    <row r="38" customFormat="false" ht="15" hidden="false" customHeight="false" outlineLevel="0" collapsed="false">
      <c r="B38" s="172" t="s">
        <v>265</v>
      </c>
    </row>
    <row r="39" customFormat="false" ht="15" hidden="false" customHeight="false" outlineLevel="0" collapsed="false">
      <c r="B39" s="172" t="s">
        <v>266</v>
      </c>
    </row>
    <row r="40" customFormat="false" ht="15" hidden="false" customHeight="false" outlineLevel="0" collapsed="false">
      <c r="B40" s="172" t="s">
        <v>267</v>
      </c>
    </row>
    <row r="41" customFormat="false" ht="15" hidden="false" customHeight="false" outlineLevel="0" collapsed="false">
      <c r="B41" s="172" t="s">
        <v>268</v>
      </c>
    </row>
    <row r="42" customFormat="false" ht="15" hidden="false" customHeight="false" outlineLevel="0" collapsed="false">
      <c r="B42" s="172" t="s">
        <v>269</v>
      </c>
    </row>
    <row r="43" customFormat="false" ht="15" hidden="false" customHeight="false" outlineLevel="0" collapsed="false">
      <c r="B43" s="172" t="s">
        <v>270</v>
      </c>
    </row>
    <row r="44" customFormat="false" ht="15" hidden="false" customHeight="false" outlineLevel="0" collapsed="false">
      <c r="B44" s="172" t="s">
        <v>271</v>
      </c>
    </row>
    <row r="45" customFormat="false" ht="15" hidden="false" customHeight="false" outlineLevel="0" collapsed="false">
      <c r="B45" s="172" t="s">
        <v>272</v>
      </c>
    </row>
    <row r="46" customFormat="false" ht="15" hidden="false" customHeight="false" outlineLevel="0" collapsed="false">
      <c r="B46" s="172" t="s">
        <v>250</v>
      </c>
    </row>
    <row r="47" customFormat="false" ht="15" hidden="false" customHeight="false" outlineLevel="0" collapsed="false">
      <c r="B47" s="172" t="s">
        <v>273</v>
      </c>
    </row>
    <row r="48" customFormat="false" ht="15" hidden="false" customHeight="false" outlineLevel="0" collapsed="false">
      <c r="B48" s="172" t="s">
        <v>274</v>
      </c>
    </row>
    <row r="49" customFormat="false" ht="15" hidden="false" customHeight="false" outlineLevel="0" collapsed="false">
      <c r="B49" s="172" t="s">
        <v>275</v>
      </c>
    </row>
    <row r="50" customFormat="false" ht="15" hidden="false" customHeight="false" outlineLevel="0" collapsed="false">
      <c r="B50" s="172" t="s">
        <v>276</v>
      </c>
    </row>
    <row r="51" customFormat="false" ht="15" hidden="false" customHeight="false" outlineLevel="0" collapsed="false">
      <c r="B51" s="172" t="s">
        <v>250</v>
      </c>
    </row>
    <row r="52" customFormat="false" ht="15" hidden="false" customHeight="false" outlineLevel="0" collapsed="false">
      <c r="B52" s="172" t="s">
        <v>277</v>
      </c>
    </row>
    <row r="53" customFormat="false" ht="15" hidden="false" customHeight="false" outlineLevel="0" collapsed="false">
      <c r="B53" s="172" t="s">
        <v>278</v>
      </c>
    </row>
    <row r="54" customFormat="false" ht="15" hidden="false" customHeight="false" outlineLevel="0" collapsed="false">
      <c r="B54" s="172" t="s">
        <v>250</v>
      </c>
    </row>
    <row r="55" customFormat="false" ht="15" hidden="false" customHeight="false" outlineLevel="0" collapsed="false">
      <c r="B55" s="172" t="s">
        <v>279</v>
      </c>
    </row>
    <row r="56" customFormat="false" ht="15" hidden="false" customHeight="false" outlineLevel="0" collapsed="false">
      <c r="B56" s="172" t="s">
        <v>280</v>
      </c>
    </row>
    <row r="57" customFormat="false" ht="15" hidden="false" customHeight="false" outlineLevel="0" collapsed="false">
      <c r="B57" s="172" t="s">
        <v>281</v>
      </c>
    </row>
    <row r="58" customFormat="false" ht="15" hidden="false" customHeight="false" outlineLevel="0" collapsed="false">
      <c r="B58" s="172" t="s">
        <v>282</v>
      </c>
    </row>
    <row r="59" customFormat="false" ht="15" hidden="false" customHeight="false" outlineLevel="0" collapsed="false">
      <c r="B59" s="172" t="s">
        <v>250</v>
      </c>
    </row>
    <row r="60" customFormat="false" ht="15" hidden="false" customHeight="false" outlineLevel="0" collapsed="false">
      <c r="B60" s="172" t="s">
        <v>283</v>
      </c>
    </row>
    <row r="61" customFormat="false" ht="15" hidden="false" customHeight="false" outlineLevel="0" collapsed="false">
      <c r="B61" s="172" t="s">
        <v>284</v>
      </c>
    </row>
    <row r="62" customFormat="false" ht="15" hidden="false" customHeight="false" outlineLevel="0" collapsed="false">
      <c r="B62" s="172" t="s">
        <v>285</v>
      </c>
    </row>
    <row r="63" customFormat="false" ht="15" hidden="false" customHeight="false" outlineLevel="0" collapsed="false">
      <c r="B63" s="172" t="s">
        <v>286</v>
      </c>
    </row>
    <row r="64" customFormat="false" ht="15" hidden="false" customHeight="false" outlineLevel="0" collapsed="false">
      <c r="B64" s="172" t="s">
        <v>287</v>
      </c>
    </row>
    <row r="65" customFormat="false" ht="15" hidden="false" customHeight="false" outlineLevel="0" collapsed="false">
      <c r="B65" s="172" t="s">
        <v>288</v>
      </c>
    </row>
    <row r="66" customFormat="false" ht="15" hidden="false" customHeight="false" outlineLevel="0" collapsed="false">
      <c r="B66" s="172" t="s">
        <v>289</v>
      </c>
    </row>
    <row r="67" customFormat="false" ht="15" hidden="false" customHeight="false" outlineLevel="0" collapsed="false">
      <c r="B67" s="172" t="s">
        <v>290</v>
      </c>
    </row>
    <row r="68" customFormat="false" ht="15" hidden="false" customHeight="false" outlineLevel="0" collapsed="false">
      <c r="B68" s="172" t="s">
        <v>291</v>
      </c>
    </row>
    <row r="69" customFormat="false" ht="15" hidden="false" customHeight="false" outlineLevel="0" collapsed="false">
      <c r="B69" s="172" t="s">
        <v>292</v>
      </c>
    </row>
    <row r="70" customFormat="false" ht="15" hidden="false" customHeight="false" outlineLevel="0" collapsed="false">
      <c r="B70" s="172" t="s">
        <v>267</v>
      </c>
    </row>
    <row r="71" customFormat="false" ht="15" hidden="false" customHeight="false" outlineLevel="0" collapsed="false">
      <c r="B71" s="172" t="s">
        <v>293</v>
      </c>
    </row>
    <row r="72" customFormat="false" ht="15" hidden="false" customHeight="false" outlineLevel="0" collapsed="false">
      <c r="B72" s="172" t="s">
        <v>294</v>
      </c>
    </row>
    <row r="73" customFormat="false" ht="15" hidden="false" customHeight="false" outlineLevel="0" collapsed="false">
      <c r="B73" s="172" t="s">
        <v>295</v>
      </c>
    </row>
    <row r="74" customFormat="false" ht="15" hidden="false" customHeight="false" outlineLevel="0" collapsed="false">
      <c r="B74" s="172" t="s">
        <v>296</v>
      </c>
    </row>
    <row r="75" customFormat="false" ht="15" hidden="false" customHeight="false" outlineLevel="0" collapsed="false">
      <c r="B75" s="172" t="s">
        <v>297</v>
      </c>
    </row>
    <row r="76" customFormat="false" ht="15" hidden="false" customHeight="false" outlineLevel="0" collapsed="false">
      <c r="B76" s="172" t="s">
        <v>298</v>
      </c>
    </row>
    <row r="77" customFormat="false" ht="15" hidden="false" customHeight="false" outlineLevel="0" collapsed="false">
      <c r="B77" s="172" t="s">
        <v>299</v>
      </c>
    </row>
    <row r="78" customFormat="false" ht="15" hidden="false" customHeight="false" outlineLevel="0" collapsed="false">
      <c r="B78" s="172" t="s">
        <v>300</v>
      </c>
    </row>
    <row r="79" customFormat="false" ht="15" hidden="false" customHeight="false" outlineLevel="0" collapsed="false">
      <c r="B79" s="172" t="s">
        <v>301</v>
      </c>
    </row>
    <row r="80" customFormat="false" ht="15" hidden="false" customHeight="false" outlineLevel="0" collapsed="false">
      <c r="B80" s="172" t="s">
        <v>302</v>
      </c>
    </row>
    <row r="81" customFormat="false" ht="15" hidden="false" customHeight="false" outlineLevel="0" collapsed="false">
      <c r="B81" s="172" t="s">
        <v>250</v>
      </c>
    </row>
    <row r="82" customFormat="false" ht="15" hidden="false" customHeight="false" outlineLevel="0" collapsed="false">
      <c r="B82" s="172" t="s">
        <v>303</v>
      </c>
    </row>
    <row r="83" customFormat="false" ht="15" hidden="false" customHeight="false" outlineLevel="0" collapsed="false">
      <c r="B83" s="172" t="s">
        <v>304</v>
      </c>
    </row>
    <row r="84" customFormat="false" ht="15" hidden="false" customHeight="false" outlineLevel="0" collapsed="false">
      <c r="B84" s="172" t="s">
        <v>305</v>
      </c>
    </row>
    <row r="85" customFormat="false" ht="15" hidden="false" customHeight="false" outlineLevel="0" collapsed="false">
      <c r="B85" s="172" t="s">
        <v>250</v>
      </c>
    </row>
    <row r="86" customFormat="false" ht="15" hidden="false" customHeight="false" outlineLevel="0" collapsed="false">
      <c r="B86" s="172" t="s">
        <v>306</v>
      </c>
    </row>
    <row r="87" customFormat="false" ht="15" hidden="false" customHeight="false" outlineLevel="0" collapsed="false">
      <c r="B87" s="172" t="s">
        <v>307</v>
      </c>
    </row>
    <row r="88" customFormat="false" ht="15" hidden="false" customHeight="false" outlineLevel="0" collapsed="false">
      <c r="B88" s="172" t="s">
        <v>308</v>
      </c>
    </row>
    <row r="89" customFormat="false" ht="15" hidden="false" customHeight="false" outlineLevel="0" collapsed="false">
      <c r="B89" s="172" t="s">
        <v>250</v>
      </c>
    </row>
    <row r="90" customFormat="false" ht="15" hidden="false" customHeight="false" outlineLevel="0" collapsed="false">
      <c r="B90" s="172" t="s">
        <v>309</v>
      </c>
    </row>
    <row r="91" customFormat="false" ht="15" hidden="false" customHeight="false" outlineLevel="0" collapsed="false">
      <c r="B91" s="172" t="s">
        <v>310</v>
      </c>
    </row>
    <row r="92" customFormat="false" ht="15" hidden="false" customHeight="false" outlineLevel="0" collapsed="false">
      <c r="B92" s="172" t="s">
        <v>311</v>
      </c>
    </row>
    <row r="93" customFormat="false" ht="15" hidden="false" customHeight="false" outlineLevel="0" collapsed="false">
      <c r="B93" s="172" t="s">
        <v>312</v>
      </c>
    </row>
    <row r="94" customFormat="false" ht="15" hidden="false" customHeight="false" outlineLevel="0" collapsed="false">
      <c r="B94" s="172" t="s">
        <v>313</v>
      </c>
    </row>
    <row r="95" customFormat="false" ht="15" hidden="false" customHeight="false" outlineLevel="0" collapsed="false">
      <c r="B95" s="172" t="s">
        <v>314</v>
      </c>
    </row>
    <row r="96" customFormat="false" ht="15" hidden="false" customHeight="false" outlineLevel="0" collapsed="false">
      <c r="B96" s="172" t="s">
        <v>315</v>
      </c>
    </row>
    <row r="97" customFormat="false" ht="15" hidden="false" customHeight="false" outlineLevel="0" collapsed="false">
      <c r="B97" s="172" t="s">
        <v>316</v>
      </c>
    </row>
    <row r="98" customFormat="false" ht="15" hidden="false" customHeight="false" outlineLevel="0" collapsed="false">
      <c r="B98" s="172" t="s">
        <v>317</v>
      </c>
    </row>
    <row r="99" customFormat="false" ht="15" hidden="false" customHeight="false" outlineLevel="0" collapsed="false">
      <c r="B99" s="172" t="s">
        <v>318</v>
      </c>
    </row>
    <row r="100" customFormat="false" ht="15" hidden="false" customHeight="false" outlineLevel="0" collapsed="false">
      <c r="B100" s="172" t="s">
        <v>319</v>
      </c>
    </row>
    <row r="101" customFormat="false" ht="15" hidden="false" customHeight="false" outlineLevel="0" collapsed="false">
      <c r="B101" s="172" t="s">
        <v>320</v>
      </c>
    </row>
    <row r="102" customFormat="false" ht="15" hidden="false" customHeight="false" outlineLevel="0" collapsed="false">
      <c r="B102" s="172" t="s">
        <v>321</v>
      </c>
    </row>
    <row r="103" customFormat="false" ht="15" hidden="false" customHeight="false" outlineLevel="0" collapsed="false">
      <c r="B103" s="172" t="s">
        <v>322</v>
      </c>
    </row>
    <row r="104" customFormat="false" ht="15" hidden="false" customHeight="false" outlineLevel="0" collapsed="false">
      <c r="B104" s="172" t="s">
        <v>290</v>
      </c>
    </row>
    <row r="105" customFormat="false" ht="15" hidden="false" customHeight="false" outlineLevel="0" collapsed="false">
      <c r="B105" s="172" t="s">
        <v>323</v>
      </c>
    </row>
    <row r="106" customFormat="false" ht="15" hidden="false" customHeight="false" outlineLevel="0" collapsed="false">
      <c r="B106" s="172" t="s">
        <v>324</v>
      </c>
    </row>
    <row r="107" customFormat="false" ht="15" hidden="false" customHeight="false" outlineLevel="0" collapsed="false">
      <c r="B107" s="172" t="s">
        <v>325</v>
      </c>
    </row>
    <row r="108" customFormat="false" ht="15" hidden="false" customHeight="false" outlineLevel="0" collapsed="false">
      <c r="B108" s="172" t="s">
        <v>326</v>
      </c>
    </row>
    <row r="109" customFormat="false" ht="15" hidden="false" customHeight="false" outlineLevel="0" collapsed="false">
      <c r="B109" s="172" t="s">
        <v>327</v>
      </c>
    </row>
    <row r="110" customFormat="false" ht="15" hidden="false" customHeight="false" outlineLevel="0" collapsed="false">
      <c r="B110" s="172" t="s">
        <v>328</v>
      </c>
    </row>
    <row r="111" customFormat="false" ht="15" hidden="false" customHeight="false" outlineLevel="0" collapsed="false">
      <c r="B111" s="172" t="s">
        <v>329</v>
      </c>
    </row>
    <row r="112" customFormat="false" ht="15" hidden="false" customHeight="false" outlineLevel="0" collapsed="false">
      <c r="B112" s="172" t="s">
        <v>267</v>
      </c>
    </row>
    <row r="113" customFormat="false" ht="15" hidden="false" customHeight="false" outlineLevel="0" collapsed="false">
      <c r="B113" s="172" t="s">
        <v>330</v>
      </c>
    </row>
    <row r="114" customFormat="false" ht="15" hidden="false" customHeight="false" outlineLevel="0" collapsed="false">
      <c r="B114" s="172" t="s">
        <v>331</v>
      </c>
    </row>
    <row r="115" customFormat="false" ht="15" hidden="false" customHeight="false" outlineLevel="0" collapsed="false">
      <c r="B115" s="172" t="s">
        <v>332</v>
      </c>
    </row>
    <row r="116" customFormat="false" ht="15" hidden="false" customHeight="false" outlineLevel="0" collapsed="false">
      <c r="B116" s="172" t="s">
        <v>250</v>
      </c>
    </row>
    <row r="117" customFormat="false" ht="15" hidden="false" customHeight="false" outlineLevel="0" collapsed="false">
      <c r="B117" s="172" t="s">
        <v>333</v>
      </c>
    </row>
    <row r="118" customFormat="false" ht="15" hidden="false" customHeight="false" outlineLevel="0" collapsed="false">
      <c r="B118" s="172" t="s">
        <v>334</v>
      </c>
    </row>
    <row r="119" customFormat="false" ht="15" hidden="false" customHeight="false" outlineLevel="0" collapsed="false">
      <c r="B119" s="172" t="s">
        <v>335</v>
      </c>
    </row>
    <row r="120" customFormat="false" ht="15" hidden="false" customHeight="false" outlineLevel="0" collapsed="false">
      <c r="B120" s="172" t="s">
        <v>336</v>
      </c>
    </row>
    <row r="121" customFormat="false" ht="15" hidden="false" customHeight="false" outlineLevel="0" collapsed="false">
      <c r="B121" s="172" t="s">
        <v>337</v>
      </c>
    </row>
    <row r="122" customFormat="false" ht="15" hidden="false" customHeight="false" outlineLevel="0" collapsed="false">
      <c r="B122" s="172" t="s">
        <v>338</v>
      </c>
    </row>
    <row r="123" customFormat="false" ht="15" hidden="false" customHeight="false" outlineLevel="0" collapsed="false">
      <c r="B123" s="172" t="s">
        <v>339</v>
      </c>
    </row>
    <row r="124" customFormat="false" ht="15" hidden="false" customHeight="false" outlineLevel="0" collapsed="false">
      <c r="B124" s="172" t="s">
        <v>340</v>
      </c>
    </row>
    <row r="125" customFormat="false" ht="15" hidden="false" customHeight="false" outlineLevel="0" collapsed="false">
      <c r="B125" s="172" t="s">
        <v>341</v>
      </c>
    </row>
    <row r="126" customFormat="false" ht="15" hidden="false" customHeight="false" outlineLevel="0" collapsed="false">
      <c r="B126" s="172" t="s">
        <v>342</v>
      </c>
    </row>
    <row r="127" customFormat="false" ht="15" hidden="false" customHeight="false" outlineLevel="0" collapsed="false">
      <c r="B127" s="172" t="s">
        <v>343</v>
      </c>
    </row>
    <row r="128" customFormat="false" ht="15" hidden="false" customHeight="false" outlineLevel="0" collapsed="false">
      <c r="B128" s="172" t="s">
        <v>344</v>
      </c>
    </row>
    <row r="129" customFormat="false" ht="15" hidden="false" customHeight="false" outlineLevel="0" collapsed="false">
      <c r="B129" s="172" t="s">
        <v>345</v>
      </c>
    </row>
    <row r="130" customFormat="false" ht="15" hidden="false" customHeight="false" outlineLevel="0" collapsed="false">
      <c r="B130" s="172" t="s">
        <v>346</v>
      </c>
    </row>
    <row r="131" customFormat="false" ht="15" hidden="false" customHeight="false" outlineLevel="0" collapsed="false">
      <c r="B131" s="172" t="s">
        <v>347</v>
      </c>
    </row>
    <row r="132" customFormat="false" ht="15" hidden="false" customHeight="false" outlineLevel="0" collapsed="false">
      <c r="B132" s="172" t="s">
        <v>250</v>
      </c>
    </row>
    <row r="133" customFormat="false" ht="15" hidden="false" customHeight="false" outlineLevel="0" collapsed="false">
      <c r="B133" s="172" t="s">
        <v>348</v>
      </c>
    </row>
    <row r="134" customFormat="false" ht="15" hidden="false" customHeight="false" outlineLevel="0" collapsed="false">
      <c r="B134" s="172" t="s">
        <v>349</v>
      </c>
    </row>
    <row r="135" customFormat="false" ht="15" hidden="false" customHeight="false" outlineLevel="0" collapsed="false">
      <c r="B135" s="172" t="s">
        <v>350</v>
      </c>
    </row>
    <row r="136" customFormat="false" ht="15" hidden="false" customHeight="false" outlineLevel="0" collapsed="false">
      <c r="B136" s="172" t="s">
        <v>351</v>
      </c>
    </row>
    <row r="137" customFormat="false" ht="15" hidden="false" customHeight="false" outlineLevel="0" collapsed="false">
      <c r="B137" s="172" t="s">
        <v>272</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2026-06-26T00:05:30Z</dcterms:created>
  <dc:creator>openpyxl</dc:creator>
  <dc:description/>
  <dc:language>en-US</dc:language>
  <cp:lastModifiedBy/>
  <dcterms:modified xsi:type="dcterms:W3CDTF">2026-06-26T00:05:31Z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